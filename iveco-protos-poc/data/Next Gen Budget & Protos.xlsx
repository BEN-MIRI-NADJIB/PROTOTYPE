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vecogroup.sharepoint.com/sites/BUS/Electromobility/0. CHIFFRAGE/2024 - NEW RANGE 2.0/"/>
    </mc:Choice>
  </mc:AlternateContent>
  <xr:revisionPtr revIDLastSave="0" documentId="8_{B4C2C0FD-4FC2-4654-B632-1C67DA6B9A3C}" xr6:coauthVersionLast="47" xr6:coauthVersionMax="47" xr10:uidLastSave="{00000000-0000-0000-0000-000000000000}"/>
  <bookViews>
    <workbookView minimized="1" xWindow="-24555" yWindow="4230" windowWidth="17250" windowHeight="8865" firstSheet="2" activeTab="2" xr2:uid="{C07E3CC4-1392-4057-8EB2-6BF77415C44A}"/>
  </bookViews>
  <sheets>
    <sheet name="2026 spending V2 29_05_2026" sheetId="9" r:id="rId1"/>
    <sheet name="2026 spending" sheetId="8" r:id="rId2"/>
    <sheet name="LF 12M" sheetId="1" r:id="rId3"/>
    <sheet name="LF 18M" sheetId="4" r:id="rId4"/>
    <sheet name="LF 10M" sheetId="5" r:id="rId5"/>
    <sheet name="IC" sheetId="6" r:id="rId6"/>
    <sheet name="Proto_Plan" sheetId="3" r:id="rId7"/>
    <sheet name="Budget" sheetId="7" r:id="rId8"/>
  </sheets>
  <definedNames>
    <definedName name="_xlnm._FilterDatabase" localSheetId="5" hidden="1">IC!$A$3:$X$3</definedName>
    <definedName name="_xlnm._FilterDatabase" localSheetId="4" hidden="1">'LF 10M'!$A$3:$H$3</definedName>
    <definedName name="_xlnm._FilterDatabase" localSheetId="2" hidden="1">'LF 12M'!$A$3:$U$28</definedName>
    <definedName name="_xlnm._FilterDatabase" localSheetId="3" hidden="1">'LF 18M'!$A$3:$L$3</definedName>
    <definedName name="_xlnm._FilterDatabase" localSheetId="6" hidden="1">Proto_Plan!$A$5:$NO$85</definedName>
    <definedName name="_xlnm.Print_Area" localSheetId="1">'2026 spending'!$A$1:$P$50</definedName>
    <definedName name="_xlnm.Print_Area" localSheetId="0">'2026 spending V2 29_05_2026'!$A$1:$P$51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9" l="1"/>
  <c r="G25" i="9"/>
  <c r="H25" i="9"/>
  <c r="I25" i="9"/>
  <c r="J25" i="9"/>
  <c r="K25" i="9"/>
  <c r="L25" i="9"/>
  <c r="N25" i="9"/>
  <c r="P25" i="9"/>
  <c r="E25" i="9"/>
  <c r="P32" i="9"/>
  <c r="O32" i="9"/>
  <c r="N32" i="9"/>
  <c r="M32" i="9"/>
  <c r="L32" i="9"/>
  <c r="K32" i="9"/>
  <c r="J32" i="9"/>
  <c r="I32" i="9"/>
  <c r="H32" i="9"/>
  <c r="G32" i="9"/>
  <c r="F32" i="9"/>
  <c r="E32" i="9"/>
  <c r="P31" i="9"/>
  <c r="O31" i="9"/>
  <c r="N31" i="9"/>
  <c r="M31" i="9"/>
  <c r="L31" i="9"/>
  <c r="K31" i="9"/>
  <c r="J31" i="9"/>
  <c r="I31" i="9"/>
  <c r="H31" i="9"/>
  <c r="G31" i="9"/>
  <c r="F31" i="9"/>
  <c r="E31" i="9"/>
  <c r="P30" i="9"/>
  <c r="O30" i="9"/>
  <c r="N30" i="9"/>
  <c r="M30" i="9"/>
  <c r="L30" i="9"/>
  <c r="K30" i="9"/>
  <c r="J30" i="9"/>
  <c r="I30" i="9"/>
  <c r="H30" i="9"/>
  <c r="G30" i="9"/>
  <c r="F30" i="9"/>
  <c r="E30" i="9"/>
  <c r="P29" i="9"/>
  <c r="O29" i="9"/>
  <c r="N29" i="9"/>
  <c r="M29" i="9"/>
  <c r="L29" i="9"/>
  <c r="K29" i="9"/>
  <c r="J29" i="9"/>
  <c r="I29" i="9"/>
  <c r="H29" i="9"/>
  <c r="G29" i="9"/>
  <c r="F29" i="9"/>
  <c r="E29" i="9"/>
  <c r="E27" i="9"/>
  <c r="P24" i="9"/>
  <c r="O24" i="9"/>
  <c r="O25" i="9" s="1"/>
  <c r="N24" i="9"/>
  <c r="B17" i="9"/>
  <c r="B16" i="9"/>
  <c r="B15" i="9"/>
  <c r="B14" i="9"/>
  <c r="B8" i="9"/>
  <c r="P7" i="9"/>
  <c r="O7" i="9"/>
  <c r="N7" i="9"/>
  <c r="M7" i="9"/>
  <c r="L7" i="9"/>
  <c r="K7" i="9"/>
  <c r="J7" i="9"/>
  <c r="I7" i="9"/>
  <c r="H7" i="9"/>
  <c r="G7" i="9"/>
  <c r="F7" i="9"/>
  <c r="E7" i="9"/>
  <c r="P6" i="9"/>
  <c r="O6" i="9"/>
  <c r="N6" i="9"/>
  <c r="M6" i="9"/>
  <c r="L6" i="9"/>
  <c r="K6" i="9"/>
  <c r="J6" i="9"/>
  <c r="I6" i="9"/>
  <c r="H6" i="9"/>
  <c r="G6" i="9"/>
  <c r="F6" i="9"/>
  <c r="F28" i="9" s="1"/>
  <c r="E6" i="9"/>
  <c r="E28" i="9" s="1"/>
  <c r="P5" i="9"/>
  <c r="P28" i="9" s="1"/>
  <c r="O5" i="9"/>
  <c r="O28" i="9" s="1"/>
  <c r="N5" i="9"/>
  <c r="N28" i="9" s="1"/>
  <c r="M5" i="9"/>
  <c r="L5" i="9"/>
  <c r="K5" i="9"/>
  <c r="K28" i="9" s="1"/>
  <c r="J5" i="9"/>
  <c r="J28" i="9" s="1"/>
  <c r="I5" i="9"/>
  <c r="I28" i="9" s="1"/>
  <c r="H5" i="9"/>
  <c r="H28" i="9" s="1"/>
  <c r="G5" i="9"/>
  <c r="G28" i="9" s="1"/>
  <c r="B5" i="9"/>
  <c r="P4" i="9"/>
  <c r="O4" i="9"/>
  <c r="N4" i="9"/>
  <c r="M4" i="9"/>
  <c r="L4" i="9"/>
  <c r="K4" i="9"/>
  <c r="J4" i="9"/>
  <c r="I4" i="9"/>
  <c r="H4" i="9"/>
  <c r="G4" i="9"/>
  <c r="F4" i="9"/>
  <c r="E4" i="9"/>
  <c r="P3" i="9"/>
  <c r="P27" i="9" s="1"/>
  <c r="O3" i="9"/>
  <c r="O27" i="9" s="1"/>
  <c r="N3" i="9"/>
  <c r="N27" i="9" s="1"/>
  <c r="M3" i="9"/>
  <c r="M27" i="9" s="1"/>
  <c r="L3" i="9"/>
  <c r="K3" i="9"/>
  <c r="J3" i="9"/>
  <c r="J27" i="9" s="1"/>
  <c r="I3" i="9"/>
  <c r="I27" i="9" s="1"/>
  <c r="H3" i="9"/>
  <c r="H27" i="9" s="1"/>
  <c r="G3" i="9"/>
  <c r="G27" i="9" s="1"/>
  <c r="F3" i="9"/>
  <c r="F27" i="9" s="1"/>
  <c r="E3" i="9"/>
  <c r="E24" i="9" s="1"/>
  <c r="C2" i="9"/>
  <c r="H29" i="1"/>
  <c r="F29" i="1"/>
  <c r="L27" i="9" l="1"/>
  <c r="M28" i="9"/>
  <c r="B2" i="9"/>
  <c r="K24" i="9"/>
  <c r="L28" i="9"/>
  <c r="E26" i="9"/>
  <c r="F24" i="9"/>
  <c r="K27" i="9"/>
  <c r="L24" i="9"/>
  <c r="G24" i="9"/>
  <c r="H24" i="9"/>
  <c r="I24" i="9"/>
  <c r="J24" i="9"/>
  <c r="M24" i="9"/>
  <c r="M25" i="9" s="1"/>
  <c r="T10" i="1"/>
  <c r="R10" i="1"/>
  <c r="P10" i="1"/>
  <c r="N10" i="1"/>
  <c r="L10" i="1"/>
  <c r="J10" i="1"/>
  <c r="H10" i="1"/>
  <c r="F10" i="1"/>
  <c r="L14" i="4"/>
  <c r="J14" i="4"/>
  <c r="H14" i="4"/>
  <c r="F14" i="4"/>
  <c r="L15" i="4"/>
  <c r="J15" i="4"/>
  <c r="H15" i="4"/>
  <c r="F15" i="4"/>
  <c r="L10" i="4"/>
  <c r="J10" i="4"/>
  <c r="H10" i="4"/>
  <c r="F10" i="4"/>
  <c r="L11" i="4"/>
  <c r="J11" i="4"/>
  <c r="H11" i="4"/>
  <c r="F11" i="4"/>
  <c r="L12" i="4"/>
  <c r="J12" i="4"/>
  <c r="H12" i="4"/>
  <c r="F12" i="4"/>
  <c r="U16" i="1"/>
  <c r="T16" i="1"/>
  <c r="R16" i="1"/>
  <c r="P16" i="1"/>
  <c r="N16" i="1"/>
  <c r="L16" i="1"/>
  <c r="J16" i="1"/>
  <c r="H16" i="1"/>
  <c r="F16" i="1"/>
  <c r="U13" i="1"/>
  <c r="T13" i="1"/>
  <c r="R13" i="1"/>
  <c r="P13" i="1"/>
  <c r="N13" i="1"/>
  <c r="L13" i="1"/>
  <c r="J13" i="1"/>
  <c r="H13" i="1"/>
  <c r="F13" i="1"/>
  <c r="U12" i="1"/>
  <c r="U14" i="1"/>
  <c r="U15" i="1"/>
  <c r="U17" i="1"/>
  <c r="U11" i="1"/>
  <c r="F17" i="1"/>
  <c r="F15" i="1"/>
  <c r="F14" i="1"/>
  <c r="F12" i="1"/>
  <c r="F11" i="1"/>
  <c r="T15" i="1"/>
  <c r="R15" i="1"/>
  <c r="P15" i="1"/>
  <c r="N15" i="1"/>
  <c r="L15" i="1"/>
  <c r="J15" i="1"/>
  <c r="H15" i="1"/>
  <c r="T11" i="1"/>
  <c r="R11" i="1"/>
  <c r="P11" i="1"/>
  <c r="N11" i="1"/>
  <c r="L11" i="1"/>
  <c r="J11" i="1"/>
  <c r="H11" i="1"/>
  <c r="T12" i="1"/>
  <c r="R12" i="1"/>
  <c r="P12" i="1"/>
  <c r="N12" i="1"/>
  <c r="L12" i="1"/>
  <c r="J12" i="1"/>
  <c r="H12" i="1"/>
  <c r="F26" i="9" l="1"/>
  <c r="G26" i="9" s="1"/>
  <c r="H26" i="9" s="1"/>
  <c r="I26" i="9" s="1"/>
  <c r="J26" i="9" s="1"/>
  <c r="K26" i="9" s="1"/>
  <c r="L26" i="9" s="1"/>
  <c r="M26" i="9" s="1"/>
  <c r="N26" i="9" s="1"/>
  <c r="O26" i="9" s="1"/>
  <c r="P26" i="9" s="1"/>
  <c r="F25" i="1"/>
  <c r="L5" i="8"/>
  <c r="P5" i="8"/>
  <c r="O5" i="8"/>
  <c r="N5" i="8"/>
  <c r="M5" i="8"/>
  <c r="M27" i="8" s="1"/>
  <c r="H5" i="8"/>
  <c r="I5" i="8"/>
  <c r="I27" i="8" s="1"/>
  <c r="J5" i="8"/>
  <c r="J27" i="8" s="1"/>
  <c r="K5" i="8"/>
  <c r="K27" i="8" s="1"/>
  <c r="G5" i="8"/>
  <c r="G27" i="8" s="1"/>
  <c r="F27" i="8"/>
  <c r="H27" i="8"/>
  <c r="F28" i="8"/>
  <c r="G28" i="8"/>
  <c r="H28" i="8"/>
  <c r="I28" i="8"/>
  <c r="J28" i="8"/>
  <c r="K28" i="8"/>
  <c r="L28" i="8"/>
  <c r="M28" i="8"/>
  <c r="N28" i="8"/>
  <c r="O28" i="8"/>
  <c r="P28" i="8"/>
  <c r="F29" i="8"/>
  <c r="G29" i="8"/>
  <c r="H29" i="8"/>
  <c r="I29" i="8"/>
  <c r="J29" i="8"/>
  <c r="K29" i="8"/>
  <c r="L29" i="8"/>
  <c r="M29" i="8"/>
  <c r="N29" i="8"/>
  <c r="O29" i="8"/>
  <c r="P29" i="8"/>
  <c r="F30" i="8"/>
  <c r="G30" i="8"/>
  <c r="H30" i="8"/>
  <c r="I30" i="8"/>
  <c r="J30" i="8"/>
  <c r="K30" i="8"/>
  <c r="L30" i="8"/>
  <c r="M30" i="8"/>
  <c r="N30" i="8"/>
  <c r="O30" i="8"/>
  <c r="P30" i="8"/>
  <c r="F31" i="8"/>
  <c r="G31" i="8"/>
  <c r="H31" i="8"/>
  <c r="I31" i="8"/>
  <c r="J31" i="8"/>
  <c r="K31" i="8"/>
  <c r="L31" i="8"/>
  <c r="M31" i="8"/>
  <c r="N31" i="8"/>
  <c r="O31" i="8"/>
  <c r="P31" i="8"/>
  <c r="E31" i="8"/>
  <c r="E30" i="8"/>
  <c r="E28" i="8"/>
  <c r="E29" i="8"/>
  <c r="E6" i="8"/>
  <c r="E27" i="8" s="1"/>
  <c r="F6" i="8"/>
  <c r="G6" i="8"/>
  <c r="H6" i="8"/>
  <c r="I6" i="8"/>
  <c r="J6" i="8"/>
  <c r="K6" i="8"/>
  <c r="L6" i="8"/>
  <c r="M6" i="8"/>
  <c r="N6" i="8"/>
  <c r="N27" i="8" s="1"/>
  <c r="O6" i="8"/>
  <c r="P6" i="8"/>
  <c r="E7" i="8"/>
  <c r="F7" i="8"/>
  <c r="G7" i="8"/>
  <c r="H7" i="8"/>
  <c r="I7" i="8"/>
  <c r="J7" i="8"/>
  <c r="K7" i="8"/>
  <c r="L7" i="8"/>
  <c r="M7" i="8"/>
  <c r="N7" i="8"/>
  <c r="O7" i="8"/>
  <c r="P7" i="8"/>
  <c r="E4" i="8"/>
  <c r="F4" i="8"/>
  <c r="G4" i="8"/>
  <c r="H4" i="8"/>
  <c r="I4" i="8"/>
  <c r="J4" i="8"/>
  <c r="K4" i="8"/>
  <c r="L4" i="8"/>
  <c r="M4" i="8"/>
  <c r="N4" i="8"/>
  <c r="O4" i="8"/>
  <c r="P4" i="8"/>
  <c r="N3" i="8"/>
  <c r="N23" i="8" s="1"/>
  <c r="N24" i="8" s="1"/>
  <c r="O3" i="8"/>
  <c r="O23" i="8" s="1"/>
  <c r="O24" i="8" s="1"/>
  <c r="P3" i="8"/>
  <c r="P26" i="8" s="1"/>
  <c r="M3" i="8"/>
  <c r="M23" i="8" s="1"/>
  <c r="M24" i="8" s="1"/>
  <c r="L3" i="8"/>
  <c r="L26" i="8" s="1"/>
  <c r="F3" i="8"/>
  <c r="F23" i="8" s="1"/>
  <c r="F24" i="8" s="1"/>
  <c r="G3" i="8"/>
  <c r="G26" i="8" s="1"/>
  <c r="H3" i="8"/>
  <c r="H26" i="8" s="1"/>
  <c r="I3" i="8"/>
  <c r="I26" i="8" s="1"/>
  <c r="J3" i="8"/>
  <c r="J26" i="8" s="1"/>
  <c r="K3" i="8"/>
  <c r="E3" i="8"/>
  <c r="E23" i="8" s="1"/>
  <c r="E25" i="8" s="1"/>
  <c r="C2" i="8"/>
  <c r="B15" i="8"/>
  <c r="B14" i="8"/>
  <c r="B13" i="8"/>
  <c r="B8" i="8"/>
  <c r="B16" i="8"/>
  <c r="B5" i="8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4" i="6"/>
  <c r="X22" i="6" s="1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4" i="6"/>
  <c r="V22" i="6" s="1"/>
  <c r="N4" i="6"/>
  <c r="P4" i="6"/>
  <c r="R4" i="6"/>
  <c r="T4" i="6"/>
  <c r="N7" i="6"/>
  <c r="P7" i="6"/>
  <c r="R7" i="6"/>
  <c r="T7" i="6"/>
  <c r="N8" i="6"/>
  <c r="P8" i="6"/>
  <c r="R8" i="6"/>
  <c r="T8" i="6"/>
  <c r="N9" i="6"/>
  <c r="P9" i="6"/>
  <c r="R9" i="6"/>
  <c r="T9" i="6"/>
  <c r="N10" i="6"/>
  <c r="P10" i="6"/>
  <c r="R10" i="6"/>
  <c r="T10" i="6"/>
  <c r="N11" i="6"/>
  <c r="P11" i="6"/>
  <c r="R11" i="6"/>
  <c r="T11" i="6"/>
  <c r="N12" i="6"/>
  <c r="P12" i="6"/>
  <c r="R12" i="6"/>
  <c r="T12" i="6"/>
  <c r="N13" i="6"/>
  <c r="P13" i="6"/>
  <c r="R13" i="6"/>
  <c r="T13" i="6"/>
  <c r="N14" i="6"/>
  <c r="P14" i="6"/>
  <c r="R14" i="6"/>
  <c r="T14" i="6"/>
  <c r="N15" i="6"/>
  <c r="P15" i="6"/>
  <c r="R15" i="6"/>
  <c r="T15" i="6"/>
  <c r="N16" i="6"/>
  <c r="P16" i="6"/>
  <c r="R16" i="6"/>
  <c r="T16" i="6"/>
  <c r="N17" i="6"/>
  <c r="P17" i="6"/>
  <c r="R17" i="6"/>
  <c r="T17" i="6"/>
  <c r="N18" i="6"/>
  <c r="P18" i="6"/>
  <c r="R18" i="6"/>
  <c r="T18" i="6"/>
  <c r="N19" i="6"/>
  <c r="P19" i="6"/>
  <c r="R19" i="6"/>
  <c r="T19" i="6"/>
  <c r="N20" i="6"/>
  <c r="P20" i="6"/>
  <c r="R20" i="6"/>
  <c r="T20" i="6"/>
  <c r="N21" i="6"/>
  <c r="P21" i="6"/>
  <c r="R21" i="6"/>
  <c r="T21" i="6"/>
  <c r="L21" i="6"/>
  <c r="J21" i="6"/>
  <c r="H21" i="6"/>
  <c r="F21" i="6"/>
  <c r="L20" i="6"/>
  <c r="J20" i="6"/>
  <c r="H20" i="6"/>
  <c r="F20" i="6"/>
  <c r="L19" i="6"/>
  <c r="J19" i="6"/>
  <c r="H19" i="6"/>
  <c r="F19" i="6"/>
  <c r="L18" i="6"/>
  <c r="J18" i="6"/>
  <c r="H18" i="6"/>
  <c r="F18" i="6"/>
  <c r="L17" i="6"/>
  <c r="J17" i="6"/>
  <c r="H17" i="6"/>
  <c r="F17" i="6"/>
  <c r="L16" i="6"/>
  <c r="J16" i="6"/>
  <c r="H16" i="6"/>
  <c r="F16" i="6"/>
  <c r="L15" i="6"/>
  <c r="J15" i="6"/>
  <c r="H15" i="6"/>
  <c r="F15" i="6"/>
  <c r="L14" i="6"/>
  <c r="J14" i="6"/>
  <c r="H14" i="6"/>
  <c r="F14" i="6"/>
  <c r="L13" i="6"/>
  <c r="J13" i="6"/>
  <c r="H13" i="6"/>
  <c r="F13" i="6"/>
  <c r="L12" i="6"/>
  <c r="J12" i="6"/>
  <c r="H12" i="6"/>
  <c r="F12" i="6"/>
  <c r="L11" i="6"/>
  <c r="J11" i="6"/>
  <c r="H11" i="6"/>
  <c r="F11" i="6"/>
  <c r="L10" i="6"/>
  <c r="J10" i="6"/>
  <c r="H10" i="6"/>
  <c r="F10" i="6"/>
  <c r="L9" i="6"/>
  <c r="J9" i="6"/>
  <c r="H9" i="6"/>
  <c r="F9" i="6"/>
  <c r="L8" i="6"/>
  <c r="J8" i="6"/>
  <c r="H8" i="6"/>
  <c r="F8" i="6"/>
  <c r="L7" i="6"/>
  <c r="J7" i="6"/>
  <c r="H7" i="6"/>
  <c r="F7" i="6"/>
  <c r="L4" i="6"/>
  <c r="J4" i="6"/>
  <c r="H4" i="6"/>
  <c r="F4" i="6"/>
  <c r="H21" i="5"/>
  <c r="F21" i="5"/>
  <c r="H20" i="5"/>
  <c r="F20" i="5"/>
  <c r="H19" i="5"/>
  <c r="F19" i="5"/>
  <c r="H18" i="5"/>
  <c r="F18" i="5"/>
  <c r="H17" i="5"/>
  <c r="F17" i="5"/>
  <c r="H16" i="5"/>
  <c r="F16" i="5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4" i="5"/>
  <c r="F4" i="5"/>
  <c r="L26" i="4"/>
  <c r="J26" i="4"/>
  <c r="H26" i="4"/>
  <c r="F26" i="4"/>
  <c r="L25" i="4"/>
  <c r="J25" i="4"/>
  <c r="H25" i="4"/>
  <c r="F25" i="4"/>
  <c r="L24" i="4"/>
  <c r="J24" i="4"/>
  <c r="H24" i="4"/>
  <c r="F24" i="4"/>
  <c r="L23" i="4"/>
  <c r="J23" i="4"/>
  <c r="H23" i="4"/>
  <c r="F23" i="4"/>
  <c r="L22" i="4"/>
  <c r="J22" i="4"/>
  <c r="H22" i="4"/>
  <c r="F22" i="4"/>
  <c r="L21" i="4"/>
  <c r="J21" i="4"/>
  <c r="H21" i="4"/>
  <c r="F21" i="4"/>
  <c r="L20" i="4"/>
  <c r="J20" i="4"/>
  <c r="H20" i="4"/>
  <c r="F20" i="4"/>
  <c r="L19" i="4"/>
  <c r="J19" i="4"/>
  <c r="H19" i="4"/>
  <c r="F19" i="4"/>
  <c r="L18" i="4"/>
  <c r="J18" i="4"/>
  <c r="H18" i="4"/>
  <c r="F18" i="4"/>
  <c r="L17" i="4"/>
  <c r="J17" i="4"/>
  <c r="H17" i="4"/>
  <c r="F17" i="4"/>
  <c r="L16" i="4"/>
  <c r="J16" i="4"/>
  <c r="H16" i="4"/>
  <c r="F16" i="4"/>
  <c r="L13" i="4"/>
  <c r="J13" i="4"/>
  <c r="H13" i="4"/>
  <c r="F13" i="4"/>
  <c r="L9" i="4"/>
  <c r="J9" i="4"/>
  <c r="H9" i="4"/>
  <c r="F9" i="4"/>
  <c r="L8" i="4"/>
  <c r="J8" i="4"/>
  <c r="H8" i="4"/>
  <c r="F8" i="4"/>
  <c r="L7" i="4"/>
  <c r="J7" i="4"/>
  <c r="H7" i="4"/>
  <c r="F7" i="4"/>
  <c r="L4" i="4"/>
  <c r="J4" i="4"/>
  <c r="H4" i="4"/>
  <c r="F4" i="4"/>
  <c r="T27" i="1"/>
  <c r="T26" i="1"/>
  <c r="T25" i="1"/>
  <c r="T24" i="1"/>
  <c r="T23" i="1"/>
  <c r="T22" i="1"/>
  <c r="T21" i="1"/>
  <c r="T20" i="1"/>
  <c r="T19" i="1"/>
  <c r="T18" i="1"/>
  <c r="T17" i="1"/>
  <c r="T14" i="1"/>
  <c r="T9" i="1"/>
  <c r="T8" i="1"/>
  <c r="T7" i="1"/>
  <c r="T4" i="1"/>
  <c r="R27" i="1"/>
  <c r="R26" i="1"/>
  <c r="R25" i="1"/>
  <c r="R24" i="1"/>
  <c r="R23" i="1"/>
  <c r="R22" i="1"/>
  <c r="R21" i="1"/>
  <c r="R20" i="1"/>
  <c r="R19" i="1"/>
  <c r="R18" i="1"/>
  <c r="R17" i="1"/>
  <c r="R14" i="1"/>
  <c r="R9" i="1"/>
  <c r="R8" i="1"/>
  <c r="R7" i="1"/>
  <c r="R4" i="1"/>
  <c r="P27" i="1"/>
  <c r="P26" i="1"/>
  <c r="P25" i="1"/>
  <c r="P24" i="1"/>
  <c r="P23" i="1"/>
  <c r="P22" i="1"/>
  <c r="P21" i="1"/>
  <c r="P20" i="1"/>
  <c r="P19" i="1"/>
  <c r="P18" i="1"/>
  <c r="P17" i="1"/>
  <c r="P14" i="1"/>
  <c r="P9" i="1"/>
  <c r="P8" i="1"/>
  <c r="P7" i="1"/>
  <c r="P4" i="1"/>
  <c r="N27" i="1"/>
  <c r="N26" i="1"/>
  <c r="N25" i="1"/>
  <c r="N24" i="1"/>
  <c r="N23" i="1"/>
  <c r="N22" i="1"/>
  <c r="N21" i="1"/>
  <c r="N20" i="1"/>
  <c r="N19" i="1"/>
  <c r="N18" i="1"/>
  <c r="N17" i="1"/>
  <c r="N14" i="1"/>
  <c r="N9" i="1"/>
  <c r="N8" i="1"/>
  <c r="N7" i="1"/>
  <c r="N4" i="1"/>
  <c r="L27" i="1"/>
  <c r="L26" i="1"/>
  <c r="L25" i="1"/>
  <c r="L24" i="1"/>
  <c r="L23" i="1"/>
  <c r="L22" i="1"/>
  <c r="L21" i="1"/>
  <c r="L20" i="1"/>
  <c r="L19" i="1"/>
  <c r="L18" i="1"/>
  <c r="L17" i="1"/>
  <c r="L14" i="1"/>
  <c r="L9" i="1"/>
  <c r="L8" i="1"/>
  <c r="L7" i="1"/>
  <c r="L4" i="1"/>
  <c r="J27" i="1"/>
  <c r="J26" i="1"/>
  <c r="J25" i="1"/>
  <c r="J24" i="1"/>
  <c r="J23" i="1"/>
  <c r="J22" i="1"/>
  <c r="J21" i="1"/>
  <c r="J20" i="1"/>
  <c r="J19" i="1"/>
  <c r="J18" i="1"/>
  <c r="J17" i="1"/>
  <c r="J14" i="1"/>
  <c r="J9" i="1"/>
  <c r="J8" i="1"/>
  <c r="J7" i="1"/>
  <c r="J4" i="1"/>
  <c r="H27" i="1"/>
  <c r="H26" i="1"/>
  <c r="H25" i="1"/>
  <c r="H24" i="1"/>
  <c r="H23" i="1"/>
  <c r="H22" i="1"/>
  <c r="H21" i="1"/>
  <c r="H20" i="1"/>
  <c r="H19" i="1"/>
  <c r="H18" i="1"/>
  <c r="H17" i="1"/>
  <c r="H14" i="1"/>
  <c r="H9" i="1"/>
  <c r="H8" i="1"/>
  <c r="H7" i="1"/>
  <c r="H4" i="1"/>
  <c r="F8" i="1"/>
  <c r="F9" i="1"/>
  <c r="F18" i="1"/>
  <c r="F19" i="1"/>
  <c r="F20" i="1"/>
  <c r="F21" i="1"/>
  <c r="F22" i="1"/>
  <c r="F23" i="1"/>
  <c r="F24" i="1"/>
  <c r="F26" i="1"/>
  <c r="F27" i="1"/>
  <c r="F7" i="1"/>
  <c r="F4" i="1"/>
  <c r="L85" i="3"/>
  <c r="IR82" i="3"/>
  <c r="IS82" i="3" s="1"/>
  <c r="IT82" i="3" s="1"/>
  <c r="IX82" i="3" s="1"/>
  <c r="IY82" i="3" s="1"/>
  <c r="IZ82" i="3" s="1"/>
  <c r="JA82" i="3" s="1"/>
  <c r="JB82" i="3" s="1"/>
  <c r="JC82" i="3" s="1"/>
  <c r="JD82" i="3" s="1"/>
  <c r="JE82" i="3" s="1"/>
  <c r="JF82" i="3" s="1"/>
  <c r="JG82" i="3" s="1"/>
  <c r="JH82" i="3" s="1"/>
  <c r="JI82" i="3" s="1"/>
  <c r="JJ82" i="3" s="1"/>
  <c r="L82" i="3"/>
  <c r="IN81" i="3"/>
  <c r="IO81" i="3" s="1"/>
  <c r="IP81" i="3" s="1"/>
  <c r="IQ81" i="3" s="1"/>
  <c r="IR81" i="3" s="1"/>
  <c r="IS81" i="3" s="1"/>
  <c r="IT81" i="3" s="1"/>
  <c r="IX81" i="3" s="1"/>
  <c r="IY81" i="3" s="1"/>
  <c r="IZ81" i="3" s="1"/>
  <c r="JA81" i="3" s="1"/>
  <c r="JB81" i="3" s="1"/>
  <c r="JC81" i="3" s="1"/>
  <c r="JD81" i="3" s="1"/>
  <c r="JE81" i="3" s="1"/>
  <c r="JF81" i="3" s="1"/>
  <c r="L81" i="3"/>
  <c r="IH80" i="3"/>
  <c r="II80" i="3" s="1"/>
  <c r="IJ80" i="3" s="1"/>
  <c r="IK80" i="3" s="1"/>
  <c r="IL80" i="3" s="1"/>
  <c r="IM80" i="3" s="1"/>
  <c r="IN80" i="3" s="1"/>
  <c r="IO80" i="3" s="1"/>
  <c r="IP80" i="3" s="1"/>
  <c r="IQ80" i="3" s="1"/>
  <c r="IR80" i="3" s="1"/>
  <c r="IS80" i="3" s="1"/>
  <c r="IT80" i="3" s="1"/>
  <c r="IX80" i="3" s="1"/>
  <c r="IY80" i="3" s="1"/>
  <c r="IZ80" i="3" s="1"/>
  <c r="L80" i="3"/>
  <c r="IB79" i="3"/>
  <c r="IC79" i="3" s="1"/>
  <c r="ID79" i="3" s="1"/>
  <c r="IE79" i="3" s="1"/>
  <c r="IF79" i="3" s="1"/>
  <c r="IG79" i="3" s="1"/>
  <c r="IH79" i="3" s="1"/>
  <c r="II79" i="3" s="1"/>
  <c r="IJ79" i="3" s="1"/>
  <c r="IK79" i="3" s="1"/>
  <c r="IL79" i="3" s="1"/>
  <c r="IM79" i="3" s="1"/>
  <c r="IN79" i="3" s="1"/>
  <c r="IO79" i="3" s="1"/>
  <c r="IP79" i="3" s="1"/>
  <c r="IQ79" i="3" s="1"/>
  <c r="L79" i="3"/>
  <c r="HW78" i="3"/>
  <c r="HX78" i="3" s="1"/>
  <c r="HY78" i="3" s="1"/>
  <c r="HZ78" i="3" s="1"/>
  <c r="IA78" i="3" s="1"/>
  <c r="IB78" i="3" s="1"/>
  <c r="IC78" i="3" s="1"/>
  <c r="ID78" i="3" s="1"/>
  <c r="IE78" i="3" s="1"/>
  <c r="IF78" i="3" s="1"/>
  <c r="IG78" i="3" s="1"/>
  <c r="IH78" i="3" s="1"/>
  <c r="II78" i="3" s="1"/>
  <c r="IJ78" i="3" s="1"/>
  <c r="IK78" i="3" s="1"/>
  <c r="IL78" i="3" s="1"/>
  <c r="L78" i="3"/>
  <c r="HQ77" i="3"/>
  <c r="HR77" i="3" s="1"/>
  <c r="HS77" i="3" s="1"/>
  <c r="HT77" i="3" s="1"/>
  <c r="HU77" i="3" s="1"/>
  <c r="HV77" i="3" s="1"/>
  <c r="HW77" i="3" s="1"/>
  <c r="HX77" i="3" s="1"/>
  <c r="HY77" i="3" s="1"/>
  <c r="HZ77" i="3" s="1"/>
  <c r="IA77" i="3" s="1"/>
  <c r="IB77" i="3" s="1"/>
  <c r="IC77" i="3" s="1"/>
  <c r="ID77" i="3" s="1"/>
  <c r="IE77" i="3" s="1"/>
  <c r="IF77" i="3" s="1"/>
  <c r="L77" i="3"/>
  <c r="KO74" i="3"/>
  <c r="KP74" i="3" s="1"/>
  <c r="KQ74" i="3" s="1"/>
  <c r="KR74" i="3" s="1"/>
  <c r="KS74" i="3" s="1"/>
  <c r="KT74" i="3" s="1"/>
  <c r="KX74" i="3" s="1"/>
  <c r="KY74" i="3" s="1"/>
  <c r="KZ74" i="3" s="1"/>
  <c r="LA74" i="3" s="1"/>
  <c r="LB74" i="3" s="1"/>
  <c r="LC74" i="3" s="1"/>
  <c r="LD74" i="3" s="1"/>
  <c r="LE74" i="3" s="1"/>
  <c r="LF74" i="3" s="1"/>
  <c r="LG74" i="3" s="1"/>
  <c r="LH74" i="3" s="1"/>
  <c r="L74" i="3"/>
  <c r="KO73" i="3"/>
  <c r="KP73" i="3" s="1"/>
  <c r="KQ73" i="3" s="1"/>
  <c r="KR73" i="3" s="1"/>
  <c r="KS73" i="3" s="1"/>
  <c r="KT73" i="3" s="1"/>
  <c r="KX73" i="3" s="1"/>
  <c r="KY73" i="3" s="1"/>
  <c r="KZ73" i="3" s="1"/>
  <c r="LA73" i="3" s="1"/>
  <c r="LB73" i="3" s="1"/>
  <c r="LC73" i="3" s="1"/>
  <c r="LD73" i="3" s="1"/>
  <c r="LE73" i="3" s="1"/>
  <c r="LF73" i="3" s="1"/>
  <c r="LG73" i="3" s="1"/>
  <c r="LH73" i="3" s="1"/>
  <c r="L73" i="3"/>
  <c r="L71" i="3"/>
  <c r="L70" i="3"/>
  <c r="HN68" i="3"/>
  <c r="HP68" i="3" s="1"/>
  <c r="HQ68" i="3" s="1"/>
  <c r="HR68" i="3" s="1"/>
  <c r="HS68" i="3" s="1"/>
  <c r="HT68" i="3" s="1"/>
  <c r="HU68" i="3" s="1"/>
  <c r="HV68" i="3" s="1"/>
  <c r="HW68" i="3" s="1"/>
  <c r="HX68" i="3" s="1"/>
  <c r="HY68" i="3" s="1"/>
  <c r="HZ68" i="3" s="1"/>
  <c r="IA68" i="3" s="1"/>
  <c r="IB68" i="3" s="1"/>
  <c r="IC68" i="3" s="1"/>
  <c r="ID68" i="3" s="1"/>
  <c r="IE68" i="3" s="1"/>
  <c r="IF68" i="3" s="1"/>
  <c r="IG68" i="3" s="1"/>
  <c r="IH68" i="3" s="1"/>
  <c r="II68" i="3" s="1"/>
  <c r="L68" i="3"/>
  <c r="M68" i="3" s="1"/>
  <c r="JL67" i="3"/>
  <c r="JM67" i="3" s="1"/>
  <c r="JN67" i="3" s="1"/>
  <c r="JP67" i="3" s="1"/>
  <c r="JQ67" i="3" s="1"/>
  <c r="JR67" i="3" s="1"/>
  <c r="JS67" i="3" s="1"/>
  <c r="JT67" i="3" s="1"/>
  <c r="JU67" i="3" s="1"/>
  <c r="JV67" i="3" s="1"/>
  <c r="JW67" i="3" s="1"/>
  <c r="JX67" i="3" s="1"/>
  <c r="JY67" i="3" s="1"/>
  <c r="JZ67" i="3" s="1"/>
  <c r="KA67" i="3" s="1"/>
  <c r="KB67" i="3" s="1"/>
  <c r="L67" i="3"/>
  <c r="JI66" i="3"/>
  <c r="JJ66" i="3" s="1"/>
  <c r="JK66" i="3" s="1"/>
  <c r="JL66" i="3" s="1"/>
  <c r="JM66" i="3" s="1"/>
  <c r="JN66" i="3" s="1"/>
  <c r="JP66" i="3" s="1"/>
  <c r="JQ66" i="3" s="1"/>
  <c r="JR66" i="3" s="1"/>
  <c r="JS66" i="3" s="1"/>
  <c r="JT66" i="3" s="1"/>
  <c r="JU66" i="3" s="1"/>
  <c r="JV66" i="3" s="1"/>
  <c r="JW66" i="3" s="1"/>
  <c r="JX66" i="3" s="1"/>
  <c r="JY66" i="3" s="1"/>
  <c r="L66" i="3"/>
  <c r="GY65" i="3"/>
  <c r="GZ65" i="3" s="1"/>
  <c r="HA65" i="3" s="1"/>
  <c r="HB65" i="3" s="1"/>
  <c r="HC65" i="3" s="1"/>
  <c r="HD65" i="3" s="1"/>
  <c r="HE65" i="3" s="1"/>
  <c r="HF65" i="3" s="1"/>
  <c r="HG65" i="3" s="1"/>
  <c r="HH65" i="3" s="1"/>
  <c r="HI65" i="3" s="1"/>
  <c r="HJ65" i="3" s="1"/>
  <c r="HK65" i="3" s="1"/>
  <c r="HL65" i="3" s="1"/>
  <c r="HM65" i="3" s="1"/>
  <c r="HN65" i="3" s="1"/>
  <c r="L65" i="3"/>
  <c r="EL64" i="3"/>
  <c r="EM64" i="3" s="1"/>
  <c r="EN64" i="3" s="1"/>
  <c r="EO64" i="3" s="1"/>
  <c r="EP64" i="3" s="1"/>
  <c r="EQ64" i="3" s="1"/>
  <c r="ER64" i="3" s="1"/>
  <c r="ES64" i="3" s="1"/>
  <c r="ET64" i="3" s="1"/>
  <c r="EX64" i="3" s="1"/>
  <c r="EY64" i="3" s="1"/>
  <c r="EZ64" i="3" s="1"/>
  <c r="FA64" i="3" s="1"/>
  <c r="FB64" i="3" s="1"/>
  <c r="FC64" i="3" s="1"/>
  <c r="FD64" i="3" s="1"/>
  <c r="FE64" i="3" s="1"/>
  <c r="FF64" i="3" s="1"/>
  <c r="FG64" i="3" s="1"/>
  <c r="FH64" i="3" s="1"/>
  <c r="FI64" i="3" s="1"/>
  <c r="FJ64" i="3" s="1"/>
  <c r="FK64" i="3" s="1"/>
  <c r="FL64" i="3" s="1"/>
  <c r="FM64" i="3" s="1"/>
  <c r="FN64" i="3" s="1"/>
  <c r="FP64" i="3" s="1"/>
  <c r="FQ64" i="3" s="1"/>
  <c r="L64" i="3"/>
  <c r="DW62" i="3"/>
  <c r="DX62" i="3" s="1"/>
  <c r="DY62" i="3" s="1"/>
  <c r="DZ62" i="3" s="1"/>
  <c r="EA62" i="3" s="1"/>
  <c r="EB62" i="3" s="1"/>
  <c r="EC62" i="3" s="1"/>
  <c r="ED62" i="3" s="1"/>
  <c r="EE62" i="3" s="1"/>
  <c r="EF62" i="3" s="1"/>
  <c r="EG62" i="3" s="1"/>
  <c r="EH62" i="3" s="1"/>
  <c r="EI62" i="3" s="1"/>
  <c r="EJ62" i="3" s="1"/>
  <c r="EK62" i="3" s="1"/>
  <c r="EL62" i="3" s="1"/>
  <c r="EM62" i="3" s="1"/>
  <c r="EN62" i="3" s="1"/>
  <c r="EO62" i="3" s="1"/>
  <c r="EP62" i="3" s="1"/>
  <c r="EQ62" i="3" s="1"/>
  <c r="ER62" i="3" s="1"/>
  <c r="ES62" i="3" s="1"/>
  <c r="ET62" i="3" s="1"/>
  <c r="EX62" i="3" s="1"/>
  <c r="EY62" i="3" s="1"/>
  <c r="EZ62" i="3" s="1"/>
  <c r="FA62" i="3" s="1"/>
  <c r="FB62" i="3" s="1"/>
  <c r="FC62" i="3" s="1"/>
  <c r="FD62" i="3" s="1"/>
  <c r="FE62" i="3" s="1"/>
  <c r="FF62" i="3" s="1"/>
  <c r="L62" i="3"/>
  <c r="KX59" i="3"/>
  <c r="KY59" i="3" s="1"/>
  <c r="KZ59" i="3" s="1"/>
  <c r="LA59" i="3" s="1"/>
  <c r="LB59" i="3" s="1"/>
  <c r="LC59" i="3" s="1"/>
  <c r="LD59" i="3" s="1"/>
  <c r="LE59" i="3" s="1"/>
  <c r="LF59" i="3" s="1"/>
  <c r="LG59" i="3" s="1"/>
  <c r="LH59" i="3" s="1"/>
  <c r="LI59" i="3" s="1"/>
  <c r="LJ59" i="3" s="1"/>
  <c r="LK59" i="3" s="1"/>
  <c r="LL59" i="3" s="1"/>
  <c r="LM59" i="3" s="1"/>
  <c r="L59" i="3"/>
  <c r="KQ58" i="3"/>
  <c r="KR58" i="3" s="1"/>
  <c r="KS58" i="3" s="1"/>
  <c r="KT58" i="3" s="1"/>
  <c r="KX58" i="3" s="1"/>
  <c r="KY58" i="3" s="1"/>
  <c r="KZ58" i="3" s="1"/>
  <c r="LA58" i="3" s="1"/>
  <c r="LB58" i="3" s="1"/>
  <c r="LC58" i="3" s="1"/>
  <c r="LD58" i="3" s="1"/>
  <c r="LE58" i="3" s="1"/>
  <c r="LF58" i="3" s="1"/>
  <c r="LG58" i="3" s="1"/>
  <c r="LH58" i="3" s="1"/>
  <c r="LI58" i="3" s="1"/>
  <c r="L58" i="3"/>
  <c r="L56" i="3"/>
  <c r="L55" i="3"/>
  <c r="JW53" i="3"/>
  <c r="JX53" i="3" s="1"/>
  <c r="JY53" i="3" s="1"/>
  <c r="JZ53" i="3" s="1"/>
  <c r="KA53" i="3" s="1"/>
  <c r="KB53" i="3" s="1"/>
  <c r="KC53" i="3" s="1"/>
  <c r="KD53" i="3" s="1"/>
  <c r="KE53" i="3" s="1"/>
  <c r="KF53" i="3" s="1"/>
  <c r="KG53" i="3" s="1"/>
  <c r="KH53" i="3" s="1"/>
  <c r="KI53" i="3" s="1"/>
  <c r="KJ53" i="3" s="1"/>
  <c r="KK53" i="3" s="1"/>
  <c r="KL53" i="3" s="1"/>
  <c r="KM53" i="3" s="1"/>
  <c r="KN53" i="3" s="1"/>
  <c r="L53" i="3"/>
  <c r="JQ52" i="3"/>
  <c r="JR52" i="3" s="1"/>
  <c r="JS52" i="3" s="1"/>
  <c r="JT52" i="3" s="1"/>
  <c r="JU52" i="3" s="1"/>
  <c r="JV52" i="3" s="1"/>
  <c r="JW52" i="3" s="1"/>
  <c r="JX52" i="3" s="1"/>
  <c r="JY52" i="3" s="1"/>
  <c r="JZ52" i="3" s="1"/>
  <c r="KA52" i="3" s="1"/>
  <c r="KB52" i="3" s="1"/>
  <c r="KC52" i="3" s="1"/>
  <c r="KD52" i="3" s="1"/>
  <c r="KE52" i="3" s="1"/>
  <c r="KF52" i="3" s="1"/>
  <c r="KG52" i="3" s="1"/>
  <c r="KH52" i="3" s="1"/>
  <c r="L52" i="3"/>
  <c r="ES51" i="3"/>
  <c r="ET51" i="3" s="1"/>
  <c r="EU51" i="3" s="1"/>
  <c r="EV51" i="3" s="1"/>
  <c r="EW51" i="3" s="1"/>
  <c r="EX51" i="3" s="1"/>
  <c r="EY51" i="3" s="1"/>
  <c r="EZ51" i="3" s="1"/>
  <c r="FA51" i="3" s="1"/>
  <c r="FB51" i="3" s="1"/>
  <c r="FC51" i="3" s="1"/>
  <c r="FD51" i="3" s="1"/>
  <c r="FE51" i="3" s="1"/>
  <c r="FF51" i="3" s="1"/>
  <c r="FG51" i="3" s="1"/>
  <c r="FH51" i="3" s="1"/>
  <c r="FI51" i="3" s="1"/>
  <c r="FJ51" i="3" s="1"/>
  <c r="FK51" i="3" s="1"/>
  <c r="FL51" i="3" s="1"/>
  <c r="FM51" i="3" s="1"/>
  <c r="FN51" i="3" s="1"/>
  <c r="FP51" i="3" s="1"/>
  <c r="L51" i="3"/>
  <c r="M51" i="3" s="1"/>
  <c r="ES50" i="3"/>
  <c r="ET50" i="3" s="1"/>
  <c r="EU50" i="3" s="1"/>
  <c r="EV50" i="3" s="1"/>
  <c r="EW50" i="3" s="1"/>
  <c r="EX50" i="3" s="1"/>
  <c r="EY50" i="3" s="1"/>
  <c r="EZ50" i="3" s="1"/>
  <c r="FA50" i="3" s="1"/>
  <c r="FB50" i="3" s="1"/>
  <c r="FC50" i="3" s="1"/>
  <c r="FD50" i="3" s="1"/>
  <c r="FE50" i="3" s="1"/>
  <c r="FF50" i="3" s="1"/>
  <c r="FG50" i="3" s="1"/>
  <c r="FH50" i="3" s="1"/>
  <c r="FI50" i="3" s="1"/>
  <c r="FJ50" i="3" s="1"/>
  <c r="FK50" i="3" s="1"/>
  <c r="FL50" i="3" s="1"/>
  <c r="FM50" i="3" s="1"/>
  <c r="FN50" i="3" s="1"/>
  <c r="FP50" i="3" s="1"/>
  <c r="L50" i="3"/>
  <c r="M50" i="3" s="1"/>
  <c r="JC49" i="3"/>
  <c r="JD49" i="3" s="1"/>
  <c r="JE49" i="3" s="1"/>
  <c r="JF49" i="3" s="1"/>
  <c r="JG49" i="3" s="1"/>
  <c r="JH49" i="3" s="1"/>
  <c r="JI49" i="3" s="1"/>
  <c r="JJ49" i="3" s="1"/>
  <c r="JK49" i="3" s="1"/>
  <c r="JL49" i="3" s="1"/>
  <c r="JM49" i="3" s="1"/>
  <c r="JN49" i="3" s="1"/>
  <c r="JP49" i="3" s="1"/>
  <c r="JQ49" i="3" s="1"/>
  <c r="JR49" i="3" s="1"/>
  <c r="JS49" i="3" s="1"/>
  <c r="JT49" i="3" s="1"/>
  <c r="JU49" i="3" s="1"/>
  <c r="L49" i="3"/>
  <c r="IX48" i="3"/>
  <c r="IY48" i="3" s="1"/>
  <c r="IZ48" i="3" s="1"/>
  <c r="JA48" i="3" s="1"/>
  <c r="JB48" i="3" s="1"/>
  <c r="JC48" i="3" s="1"/>
  <c r="JD48" i="3" s="1"/>
  <c r="JE48" i="3" s="1"/>
  <c r="JF48" i="3" s="1"/>
  <c r="JG48" i="3" s="1"/>
  <c r="JH48" i="3" s="1"/>
  <c r="JI48" i="3" s="1"/>
  <c r="JJ48" i="3" s="1"/>
  <c r="JK48" i="3" s="1"/>
  <c r="JL48" i="3" s="1"/>
  <c r="JM48" i="3" s="1"/>
  <c r="JN48" i="3" s="1"/>
  <c r="JP48" i="3" s="1"/>
  <c r="JQ48" i="3" s="1"/>
  <c r="L48" i="3"/>
  <c r="FV47" i="3"/>
  <c r="FW47" i="3" s="1"/>
  <c r="FX47" i="3" s="1"/>
  <c r="FY47" i="3" s="1"/>
  <c r="FZ47" i="3" s="1"/>
  <c r="GA47" i="3" s="1"/>
  <c r="GB47" i="3" s="1"/>
  <c r="GC47" i="3" s="1"/>
  <c r="GD47" i="3" s="1"/>
  <c r="GE47" i="3" s="1"/>
  <c r="GF47" i="3" s="1"/>
  <c r="GG47" i="3" s="1"/>
  <c r="GH47" i="3" s="1"/>
  <c r="GI47" i="3" s="1"/>
  <c r="GJ47" i="3" s="1"/>
  <c r="GK47" i="3" s="1"/>
  <c r="GL47" i="3" s="1"/>
  <c r="GM47" i="3" s="1"/>
  <c r="GN47" i="3" s="1"/>
  <c r="GO47" i="3" s="1"/>
  <c r="GP47" i="3" s="1"/>
  <c r="GQ47" i="3" s="1"/>
  <c r="GR47" i="3" s="1"/>
  <c r="GS47" i="3" s="1"/>
  <c r="GT47" i="3" s="1"/>
  <c r="GX47" i="3" s="1"/>
  <c r="GY47" i="3" s="1"/>
  <c r="GZ47" i="3" s="1"/>
  <c r="HA47" i="3" s="1"/>
  <c r="HB47" i="3" s="1"/>
  <c r="HC47" i="3" s="1"/>
  <c r="HD47" i="3" s="1"/>
  <c r="HE47" i="3" s="1"/>
  <c r="L47" i="3"/>
  <c r="EY46" i="3"/>
  <c r="EZ46" i="3" s="1"/>
  <c r="FA46" i="3" s="1"/>
  <c r="FB46" i="3" s="1"/>
  <c r="FC46" i="3" s="1"/>
  <c r="FD46" i="3" s="1"/>
  <c r="FE46" i="3" s="1"/>
  <c r="FF46" i="3" s="1"/>
  <c r="FG46" i="3" s="1"/>
  <c r="FH46" i="3" s="1"/>
  <c r="FI46" i="3" s="1"/>
  <c r="FJ46" i="3" s="1"/>
  <c r="FK46" i="3" s="1"/>
  <c r="FL46" i="3" s="1"/>
  <c r="FM46" i="3" s="1"/>
  <c r="FN46" i="3" s="1"/>
  <c r="FP46" i="3" s="1"/>
  <c r="FQ46" i="3" s="1"/>
  <c r="FR46" i="3" s="1"/>
  <c r="FS46" i="3" s="1"/>
  <c r="FT46" i="3" s="1"/>
  <c r="FU46" i="3" s="1"/>
  <c r="FV46" i="3" s="1"/>
  <c r="FW46" i="3" s="1"/>
  <c r="FX46" i="3" s="1"/>
  <c r="FY46" i="3" s="1"/>
  <c r="FZ46" i="3" s="1"/>
  <c r="GA46" i="3" s="1"/>
  <c r="GB46" i="3" s="1"/>
  <c r="GC46" i="3" s="1"/>
  <c r="GD46" i="3" s="1"/>
  <c r="GE46" i="3" s="1"/>
  <c r="GF46" i="3" s="1"/>
  <c r="GG46" i="3" s="1"/>
  <c r="GH46" i="3" s="1"/>
  <c r="L46" i="3"/>
  <c r="GD43" i="3"/>
  <c r="GE43" i="3" s="1"/>
  <c r="GF43" i="3" s="1"/>
  <c r="GG43" i="3" s="1"/>
  <c r="GH43" i="3" s="1"/>
  <c r="GI43" i="3" s="1"/>
  <c r="GJ43" i="3" s="1"/>
  <c r="GK43" i="3" s="1"/>
  <c r="GL43" i="3" s="1"/>
  <c r="GM43" i="3" s="1"/>
  <c r="GN43" i="3" s="1"/>
  <c r="GO43" i="3" s="1"/>
  <c r="GP43" i="3" s="1"/>
  <c r="GQ43" i="3" s="1"/>
  <c r="GR43" i="3" s="1"/>
  <c r="GS43" i="3" s="1"/>
  <c r="GT43" i="3" s="1"/>
  <c r="GX43" i="3" s="1"/>
  <c r="IY42" i="3"/>
  <c r="IZ42" i="3" s="1"/>
  <c r="JA42" i="3" s="1"/>
  <c r="JB42" i="3" s="1"/>
  <c r="JC42" i="3" s="1"/>
  <c r="JD42" i="3" s="1"/>
  <c r="JE42" i="3" s="1"/>
  <c r="JF42" i="3" s="1"/>
  <c r="JG42" i="3" s="1"/>
  <c r="JH42" i="3" s="1"/>
  <c r="JI42" i="3" s="1"/>
  <c r="JJ42" i="3" s="1"/>
  <c r="JK42" i="3" s="1"/>
  <c r="JL42" i="3" s="1"/>
  <c r="JM42" i="3" s="1"/>
  <c r="JN42" i="3" s="1"/>
  <c r="L42" i="3"/>
  <c r="GD41" i="3"/>
  <c r="GE41" i="3" s="1"/>
  <c r="GF41" i="3" s="1"/>
  <c r="GG41" i="3" s="1"/>
  <c r="GH41" i="3" s="1"/>
  <c r="GI41" i="3" s="1"/>
  <c r="GJ41" i="3" s="1"/>
  <c r="GK41" i="3" s="1"/>
  <c r="GL41" i="3" s="1"/>
  <c r="GM41" i="3" s="1"/>
  <c r="GN41" i="3" s="1"/>
  <c r="GO41" i="3" s="1"/>
  <c r="GP41" i="3" s="1"/>
  <c r="GQ41" i="3" s="1"/>
  <c r="GR41" i="3" s="1"/>
  <c r="GS41" i="3" s="1"/>
  <c r="GT41" i="3" s="1"/>
  <c r="GX41" i="3" s="1"/>
  <c r="L41" i="3"/>
  <c r="L39" i="3"/>
  <c r="L38" i="3"/>
  <c r="L37" i="3"/>
  <c r="L35" i="3"/>
  <c r="L34" i="3"/>
  <c r="L33" i="3"/>
  <c r="L31" i="3"/>
  <c r="L30" i="3"/>
  <c r="L29" i="3"/>
  <c r="M29" i="3" s="1"/>
  <c r="DU28" i="3"/>
  <c r="DV28" i="3" s="1"/>
  <c r="DW28" i="3" s="1"/>
  <c r="DX28" i="3" s="1"/>
  <c r="DY28" i="3" s="1"/>
  <c r="DZ28" i="3" s="1"/>
  <c r="EA28" i="3" s="1"/>
  <c r="EB28" i="3" s="1"/>
  <c r="EC28" i="3" s="1"/>
  <c r="ED28" i="3" s="1"/>
  <c r="EE28" i="3" s="1"/>
  <c r="EF28" i="3" s="1"/>
  <c r="EG28" i="3" s="1"/>
  <c r="EH28" i="3" s="1"/>
  <c r="EI28" i="3" s="1"/>
  <c r="EJ28" i="3" s="1"/>
  <c r="EK28" i="3" s="1"/>
  <c r="EL28" i="3" s="1"/>
  <c r="EM28" i="3" s="1"/>
  <c r="EN28" i="3" s="1"/>
  <c r="EO28" i="3" s="1"/>
  <c r="EP28" i="3" s="1"/>
  <c r="EQ28" i="3" s="1"/>
  <c r="ER28" i="3" s="1"/>
  <c r="ES28" i="3" s="1"/>
  <c r="ET28" i="3" s="1"/>
  <c r="EX28" i="3" s="1"/>
  <c r="EY28" i="3" s="1"/>
  <c r="EZ28" i="3" s="1"/>
  <c r="FA28" i="3" s="1"/>
  <c r="FB28" i="3" s="1"/>
  <c r="L28" i="3"/>
  <c r="CG27" i="3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CX27" i="3" s="1"/>
  <c r="CY27" i="3" s="1"/>
  <c r="CZ27" i="3" s="1"/>
  <c r="DA27" i="3" s="1"/>
  <c r="DB27" i="3" s="1"/>
  <c r="DC27" i="3" s="1"/>
  <c r="DD27" i="3" s="1"/>
  <c r="DE27" i="3" s="1"/>
  <c r="DF27" i="3" s="1"/>
  <c r="DG27" i="3" s="1"/>
  <c r="DH27" i="3" s="1"/>
  <c r="DI27" i="3" s="1"/>
  <c r="DJ27" i="3" s="1"/>
  <c r="DK27" i="3" s="1"/>
  <c r="DL27" i="3" s="1"/>
  <c r="DM27" i="3" s="1"/>
  <c r="DN27" i="3" s="1"/>
  <c r="DP27" i="3" s="1"/>
  <c r="DQ27" i="3" s="1"/>
  <c r="DR27" i="3" s="1"/>
  <c r="L27" i="3"/>
  <c r="L25" i="3"/>
  <c r="FF24" i="3"/>
  <c r="FG24" i="3" s="1"/>
  <c r="FH24" i="3" s="1"/>
  <c r="FI24" i="3" s="1"/>
  <c r="FJ24" i="3" s="1"/>
  <c r="FK24" i="3" s="1"/>
  <c r="FL24" i="3" s="1"/>
  <c r="FM24" i="3" s="1"/>
  <c r="FN24" i="3" s="1"/>
  <c r="FO24" i="3" s="1"/>
  <c r="FP24" i="3" s="1"/>
  <c r="FQ24" i="3" s="1"/>
  <c r="FR24" i="3" s="1"/>
  <c r="FS24" i="3" s="1"/>
  <c r="L24" i="3"/>
  <c r="FF23" i="3"/>
  <c r="FG23" i="3" s="1"/>
  <c r="FH23" i="3" s="1"/>
  <c r="FI23" i="3" s="1"/>
  <c r="FJ23" i="3" s="1"/>
  <c r="FK23" i="3" s="1"/>
  <c r="FL23" i="3" s="1"/>
  <c r="FM23" i="3" s="1"/>
  <c r="FN23" i="3" s="1"/>
  <c r="FO23" i="3" s="1"/>
  <c r="FP23" i="3" s="1"/>
  <c r="FQ23" i="3" s="1"/>
  <c r="FR23" i="3" s="1"/>
  <c r="FS23" i="3" s="1"/>
  <c r="L23" i="3"/>
  <c r="FF22" i="3"/>
  <c r="FG22" i="3" s="1"/>
  <c r="FH22" i="3" s="1"/>
  <c r="FI22" i="3" s="1"/>
  <c r="FJ22" i="3" s="1"/>
  <c r="FK22" i="3" s="1"/>
  <c r="FL22" i="3" s="1"/>
  <c r="FM22" i="3" s="1"/>
  <c r="FN22" i="3" s="1"/>
  <c r="FO22" i="3" s="1"/>
  <c r="FP22" i="3" s="1"/>
  <c r="FQ22" i="3" s="1"/>
  <c r="FR22" i="3" s="1"/>
  <c r="FS22" i="3" s="1"/>
  <c r="L22" i="3"/>
  <c r="FD21" i="3"/>
  <c r="FE21" i="3" s="1"/>
  <c r="FF21" i="3" s="1"/>
  <c r="FG21" i="3" s="1"/>
  <c r="FH21" i="3" s="1"/>
  <c r="FI21" i="3" s="1"/>
  <c r="FJ21" i="3" s="1"/>
  <c r="FK21" i="3" s="1"/>
  <c r="FL21" i="3" s="1"/>
  <c r="FM21" i="3" s="1"/>
  <c r="FN21" i="3" s="1"/>
  <c r="FO21" i="3" s="1"/>
  <c r="FP21" i="3" s="1"/>
  <c r="FQ21" i="3" s="1"/>
  <c r="L21" i="3"/>
  <c r="FD20" i="3"/>
  <c r="FE20" i="3" s="1"/>
  <c r="FF20" i="3" s="1"/>
  <c r="FG20" i="3" s="1"/>
  <c r="FH20" i="3" s="1"/>
  <c r="FI20" i="3" s="1"/>
  <c r="FJ20" i="3" s="1"/>
  <c r="FK20" i="3" s="1"/>
  <c r="FL20" i="3" s="1"/>
  <c r="FM20" i="3" s="1"/>
  <c r="FN20" i="3" s="1"/>
  <c r="FO20" i="3" s="1"/>
  <c r="FP20" i="3" s="1"/>
  <c r="FQ20" i="3" s="1"/>
  <c r="L20" i="3"/>
  <c r="FB19" i="3"/>
  <c r="FC19" i="3" s="1"/>
  <c r="FD19" i="3" s="1"/>
  <c r="FE19" i="3" s="1"/>
  <c r="FF19" i="3" s="1"/>
  <c r="FG19" i="3" s="1"/>
  <c r="FH19" i="3" s="1"/>
  <c r="FI19" i="3" s="1"/>
  <c r="FJ19" i="3" s="1"/>
  <c r="FK19" i="3" s="1"/>
  <c r="FL19" i="3" s="1"/>
  <c r="FM19" i="3" s="1"/>
  <c r="FN19" i="3" s="1"/>
  <c r="FO19" i="3" s="1"/>
  <c r="L19" i="3"/>
  <c r="EZ18" i="3"/>
  <c r="FA18" i="3" s="1"/>
  <c r="FB18" i="3" s="1"/>
  <c r="FC18" i="3" s="1"/>
  <c r="FD18" i="3" s="1"/>
  <c r="FE18" i="3" s="1"/>
  <c r="FF18" i="3" s="1"/>
  <c r="FG18" i="3" s="1"/>
  <c r="FH18" i="3" s="1"/>
  <c r="FI18" i="3" s="1"/>
  <c r="FJ18" i="3" s="1"/>
  <c r="FK18" i="3" s="1"/>
  <c r="FL18" i="3" s="1"/>
  <c r="FM18" i="3" s="1"/>
  <c r="L18" i="3"/>
  <c r="DY17" i="3"/>
  <c r="DZ17" i="3" s="1"/>
  <c r="EA17" i="3" s="1"/>
  <c r="EB17" i="3" s="1"/>
  <c r="EC17" i="3" s="1"/>
  <c r="ED17" i="3" s="1"/>
  <c r="EE17" i="3" s="1"/>
  <c r="EF17" i="3" s="1"/>
  <c r="EG17" i="3" s="1"/>
  <c r="EH17" i="3" s="1"/>
  <c r="EI17" i="3" s="1"/>
  <c r="EJ17" i="3" s="1"/>
  <c r="EK17" i="3" s="1"/>
  <c r="EL17" i="3" s="1"/>
  <c r="EM17" i="3" s="1"/>
  <c r="EN17" i="3" s="1"/>
  <c r="EO17" i="3" s="1"/>
  <c r="EP17" i="3" s="1"/>
  <c r="EQ17" i="3" s="1"/>
  <c r="L17" i="3"/>
  <c r="DU16" i="3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EF16" i="3" s="1"/>
  <c r="EG16" i="3" s="1"/>
  <c r="EH16" i="3" s="1"/>
  <c r="EI16" i="3" s="1"/>
  <c r="EJ16" i="3" s="1"/>
  <c r="EK16" i="3" s="1"/>
  <c r="EL16" i="3" s="1"/>
  <c r="EM16" i="3" s="1"/>
  <c r="L16" i="3"/>
  <c r="DQ15" i="3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EG15" i="3" s="1"/>
  <c r="EH15" i="3" s="1"/>
  <c r="EI15" i="3" s="1"/>
  <c r="L15" i="3"/>
  <c r="BP14" i="3"/>
  <c r="BQ14" i="3" s="1"/>
  <c r="BR14" i="3" s="1"/>
  <c r="BS14" i="3" s="1"/>
  <c r="BT14" i="3" s="1"/>
  <c r="BU14" i="3" s="1"/>
  <c r="L14" i="3"/>
  <c r="BC13" i="3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P13" i="3" s="1"/>
  <c r="BQ13" i="3" s="1"/>
  <c r="BR13" i="3" s="1"/>
  <c r="BS13" i="3" s="1"/>
  <c r="BT13" i="3" s="1"/>
  <c r="BU13" i="3" s="1"/>
  <c r="L13" i="3"/>
  <c r="AQ12" i="3"/>
  <c r="AR12" i="3" s="1"/>
  <c r="AS12" i="3" s="1"/>
  <c r="AT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M12" i="3" s="1"/>
  <c r="BN12" i="3" s="1"/>
  <c r="BP12" i="3" s="1"/>
  <c r="BQ12" i="3" s="1"/>
  <c r="BR12" i="3" s="1"/>
  <c r="BS12" i="3" s="1"/>
  <c r="BT12" i="3" s="1"/>
  <c r="BU12" i="3" s="1"/>
  <c r="L12" i="3"/>
  <c r="M12" i="3" s="1"/>
  <c r="AI10" i="3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  <c r="BK10" i="3" s="1"/>
  <c r="BL10" i="3" s="1"/>
  <c r="BM10" i="3" s="1"/>
  <c r="BN10" i="3" s="1"/>
  <c r="BP10" i="3" s="1"/>
  <c r="BQ10" i="3" s="1"/>
  <c r="BR10" i="3" s="1"/>
  <c r="BS10" i="3" s="1"/>
  <c r="BT10" i="3" s="1"/>
  <c r="BU10" i="3" s="1"/>
  <c r="BV10" i="3" s="1"/>
  <c r="BW10" i="3" s="1"/>
  <c r="L10" i="3"/>
  <c r="L9" i="3"/>
  <c r="W8" i="3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X8" i="3" s="1"/>
  <c r="AY8" i="3" s="1"/>
  <c r="AZ8" i="3" s="1"/>
  <c r="BA8" i="3" s="1"/>
  <c r="BB8" i="3" s="1"/>
  <c r="BC8" i="3" s="1"/>
  <c r="BD8" i="3" s="1"/>
  <c r="BE8" i="3" s="1"/>
  <c r="BF8" i="3" s="1"/>
  <c r="BG8" i="3" s="1"/>
  <c r="BH8" i="3" s="1"/>
  <c r="BI8" i="3" s="1"/>
  <c r="BJ8" i="3" s="1"/>
  <c r="L8" i="3"/>
  <c r="T22" i="6" l="1"/>
  <c r="R22" i="6"/>
  <c r="L27" i="4"/>
  <c r="N28" i="1"/>
  <c r="T28" i="1"/>
  <c r="J23" i="8"/>
  <c r="J24" i="8" s="1"/>
  <c r="I23" i="8"/>
  <c r="I24" i="8" s="1"/>
  <c r="E26" i="8"/>
  <c r="H23" i="8"/>
  <c r="H24" i="8" s="1"/>
  <c r="M26" i="8"/>
  <c r="E24" i="8"/>
  <c r="K23" i="8"/>
  <c r="K24" i="8" s="1"/>
  <c r="G23" i="8"/>
  <c r="G24" i="8" s="1"/>
  <c r="B2" i="8"/>
  <c r="P23" i="8"/>
  <c r="P24" i="8" s="1"/>
  <c r="P27" i="8"/>
  <c r="F25" i="8"/>
  <c r="F26" i="8"/>
  <c r="O26" i="8"/>
  <c r="N26" i="8"/>
  <c r="K26" i="8"/>
  <c r="O27" i="8"/>
  <c r="L23" i="8"/>
  <c r="L24" i="8" s="1"/>
  <c r="L27" i="8"/>
  <c r="M3" i="3"/>
  <c r="P22" i="6"/>
  <c r="N22" i="6"/>
  <c r="F22" i="6"/>
  <c r="H22" i="6"/>
  <c r="J22" i="6"/>
  <c r="L22" i="6"/>
  <c r="H22" i="5"/>
  <c r="F22" i="5"/>
  <c r="F27" i="4"/>
  <c r="J27" i="4"/>
  <c r="H27" i="4"/>
  <c r="R28" i="1"/>
  <c r="P28" i="1"/>
  <c r="L28" i="1"/>
  <c r="H28" i="1"/>
  <c r="J28" i="1"/>
  <c r="F28" i="1"/>
  <c r="BW14" i="3"/>
  <c r="BX14" i="3" s="1"/>
  <c r="BY14" i="3" s="1"/>
  <c r="BZ14" i="3" s="1"/>
  <c r="CA14" i="3" s="1"/>
  <c r="CB14" i="3" s="1"/>
  <c r="CC14" i="3" s="1"/>
  <c r="CD14" i="3" s="1"/>
  <c r="CE14" i="3" s="1"/>
  <c r="CF14" i="3" s="1"/>
  <c r="CG14" i="3" s="1"/>
  <c r="CH14" i="3" s="1"/>
  <c r="CI14" i="3" s="1"/>
  <c r="CJ14" i="3" s="1"/>
  <c r="CK14" i="3" s="1"/>
  <c r="CL14" i="3" s="1"/>
  <c r="CM14" i="3" s="1"/>
  <c r="CN14" i="3" s="1"/>
  <c r="CO14" i="3" s="1"/>
  <c r="CP14" i="3" s="1"/>
  <c r="CQ14" i="3" s="1"/>
  <c r="CR14" i="3" s="1"/>
  <c r="CS14" i="3" s="1"/>
  <c r="CT14" i="3" s="1"/>
  <c r="CX14" i="3" s="1"/>
  <c r="CY14" i="3" s="1"/>
  <c r="CZ14" i="3" s="1"/>
  <c r="DA14" i="3" s="1"/>
  <c r="BV14" i="3"/>
  <c r="BV12" i="3"/>
  <c r="BW12" i="3"/>
  <c r="BX12" i="3" s="1"/>
  <c r="BY12" i="3" s="1"/>
  <c r="BZ12" i="3" s="1"/>
  <c r="CA12" i="3" s="1"/>
  <c r="CB12" i="3" s="1"/>
  <c r="BW13" i="3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BV13" i="3"/>
  <c r="FR50" i="3"/>
  <c r="FT50" i="3" s="1"/>
  <c r="FQ50" i="3"/>
  <c r="FS50" i="3" s="1"/>
  <c r="FU50" i="3" s="1"/>
  <c r="FV50" i="3" s="1"/>
  <c r="FW50" i="3" s="1"/>
  <c r="FX50" i="3" s="1"/>
  <c r="FY50" i="3" s="1"/>
  <c r="FZ50" i="3" s="1"/>
  <c r="GA50" i="3" s="1"/>
  <c r="GB50" i="3" s="1"/>
  <c r="FQ51" i="3"/>
  <c r="FS51" i="3" s="1"/>
  <c r="FU51" i="3" s="1"/>
  <c r="FV51" i="3" s="1"/>
  <c r="FW51" i="3" s="1"/>
  <c r="FX51" i="3" s="1"/>
  <c r="FY51" i="3" s="1"/>
  <c r="FZ51" i="3" s="1"/>
  <c r="GA51" i="3" s="1"/>
  <c r="GB51" i="3" s="1"/>
  <c r="FR51" i="3"/>
  <c r="FT51" i="3" s="1"/>
  <c r="G25" i="8" l="1"/>
  <c r="H25" i="8" s="1"/>
  <c r="I25" i="8" s="1"/>
  <c r="J25" i="8" s="1"/>
  <c r="K25" i="8" s="1"/>
  <c r="L25" i="8" s="1"/>
  <c r="M25" i="8" s="1"/>
  <c r="N25" i="8" s="1"/>
  <c r="O25" i="8" s="1"/>
  <c r="P25" i="8" s="1"/>
  <c r="CD12" i="3"/>
  <c r="CC12" i="3"/>
  <c r="CE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tc={76CF7BDC-CE33-43BE-A7ED-556BDD0F42F8}</author>
    <author>tc={C45C0DB2-7006-445D-AECE-C047099BCAF6}</author>
    <author>tc={0639ED19-A1C4-4444-9FD9-665C93DD1C0B}</author>
    <author>tc={D938AEF6-C711-44E1-964B-CBD801270173}</author>
  </authors>
  <commentList>
    <comment ref="E9" authorId="0" shapeId="0" xr:uid="{76CF7BDC-CE33-43BE-A7ED-556BDD0F42F8}">
      <text>
        <t>[Threaded comment]
Your version of Excel allows you to read this threaded comment; however, any edits to it will get removed if the file is opened in a newer version of Excel. Learn more: https://go.microsoft.com/fwlink/?linkid=870924
Comment:
    2 -&gt; 1</t>
      </text>
    </comment>
    <comment ref="E18" authorId="1" shapeId="0" xr:uid="{C45C0DB2-7006-445D-AECE-C047099BCAF6}">
      <text>
        <t>[Threaded comment]
Your version of Excel allows you to read this threaded comment; however, any edits to it will get removed if the file is opened in a newer version of Excel. Learn more: https://go.microsoft.com/fwlink/?linkid=870924
Comment:
    2 -&gt; 0
Ordered by PE</t>
      </text>
    </comment>
    <comment ref="F25" authorId="2" shapeId="0" xr:uid="{0639ED19-A1C4-4444-9FD9-665C93DD1C0B}">
      <text>
        <t>[Threaded comment]
Your version of Excel allows you to read this threaded comment; however, any edits to it will get removed if the file is opened in a newer version of Excel. Learn more: https://go.microsoft.com/fwlink/?linkid=870924
Comment:
    +16k€
VMU with Ethernet</t>
      </text>
    </comment>
    <comment ref="E26" authorId="3" shapeId="0" xr:uid="{D938AEF6-C711-44E1-964B-CBD801270173}">
      <text>
        <t>[Threaded comment]
Your version of Excel allows you to read this threaded comment; however, any edits to it will get removed if the file is opened in a newer version of Excel. Learn more: https://go.microsoft.com/fwlink/?linkid=870924
Comment:
    7 -&gt; 5 packs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GELLY ROMAIN</author>
  </authors>
  <commentList>
    <comment ref="GS30" authorId="0" shapeId="0" xr:uid="{4EBACF5D-9FD0-41D1-B52B-460BC51CD728}">
      <text>
        <r>
          <rPr>
            <b/>
            <sz val="9"/>
            <color indexed="81"/>
            <rFont val="Tahoma"/>
            <family val="2"/>
          </rPr>
          <t>GELLY ROMAIN:</t>
        </r>
        <r>
          <rPr>
            <sz val="9"/>
            <color indexed="81"/>
            <rFont val="Tahoma"/>
            <family val="2"/>
          </rPr>
          <t xml:space="preserve">
update RG</t>
        </r>
      </text>
    </comment>
    <comment ref="GZ31" authorId="0" shapeId="0" xr:uid="{D6950B45-9FC1-43A9-A77D-90454A742769}">
      <text>
        <r>
          <rPr>
            <b/>
            <sz val="9"/>
            <color indexed="81"/>
            <rFont val="Tahoma"/>
            <family val="2"/>
          </rPr>
          <t>GELLY ROMAIN:</t>
        </r>
        <r>
          <rPr>
            <sz val="9"/>
            <color indexed="81"/>
            <rFont val="Tahoma"/>
            <family val="2"/>
          </rPr>
          <t xml:space="preserve">
Update RG</t>
        </r>
      </text>
    </comment>
  </commentList>
</comments>
</file>

<file path=xl/sharedStrings.xml><?xml version="1.0" encoding="utf-8"?>
<sst xmlns="http://schemas.openxmlformats.org/spreadsheetml/2006/main" count="825" uniqueCount="312">
  <si>
    <t>Budget 2026
 NEXT GEN</t>
  </si>
  <si>
    <t>TOTAL</t>
  </si>
  <si>
    <t>BUDGET</t>
  </si>
  <si>
    <t>Designation</t>
  </si>
  <si>
    <t>J</t>
  </si>
  <si>
    <t>F</t>
  </si>
  <si>
    <t>M</t>
  </si>
  <si>
    <t>A</t>
  </si>
  <si>
    <t>S</t>
  </si>
  <si>
    <t>O</t>
  </si>
  <si>
    <t>N</t>
  </si>
  <si>
    <t>D</t>
  </si>
  <si>
    <t>HI  ZEP</t>
  </si>
  <si>
    <t>VX/RO/VM</t>
  </si>
  <si>
    <t>HI ZEPE SWH</t>
  </si>
  <si>
    <t>VX</t>
  </si>
  <si>
    <t>AC</t>
  </si>
  <si>
    <t>SEGULA</t>
  </si>
  <si>
    <t>TMC</t>
  </si>
  <si>
    <t>SECTOR</t>
  </si>
  <si>
    <t>CO DESIGN</t>
  </si>
  <si>
    <t>BOSCH</t>
  </si>
  <si>
    <t>ZF</t>
  </si>
  <si>
    <t>ACCELERA</t>
  </si>
  <si>
    <t>ELCOM</t>
  </si>
  <si>
    <t>UPC</t>
  </si>
  <si>
    <t>MPE</t>
  </si>
  <si>
    <t>AS</t>
  </si>
  <si>
    <t>FPT</t>
  </si>
  <si>
    <t>MATERIAL</t>
  </si>
  <si>
    <t>INTERCOMPANY</t>
  </si>
  <si>
    <t>ALTRASWH</t>
  </si>
  <si>
    <t>POWER ELEC</t>
  </si>
  <si>
    <t>BATTERIES TEAM</t>
  </si>
  <si>
    <t>H2 ECO</t>
  </si>
  <si>
    <t>BEV ECO</t>
  </si>
  <si>
    <t>HV SYSTEM</t>
  </si>
  <si>
    <t>FACILITIES</t>
  </si>
  <si>
    <t>SUB TOTAL</t>
  </si>
  <si>
    <t>CUMUL</t>
  </si>
  <si>
    <t>HI</t>
  </si>
  <si>
    <t>CODESIGN/AS</t>
  </si>
  <si>
    <t>nex</t>
  </si>
  <si>
    <t>No constit</t>
  </si>
  <si>
    <t>LF 12M</t>
  </si>
  <si>
    <t>DEMO "Pay by Customer" TbC</t>
  </si>
  <si>
    <t>P1 (07/2026)</t>
  </si>
  <si>
    <t>P2 (01/2027)</t>
  </si>
  <si>
    <t>DEMO1 (05/2027)</t>
  </si>
  <si>
    <t>P3 (04/2027)</t>
  </si>
  <si>
    <t>P4 (08/2027)</t>
  </si>
  <si>
    <t>P5 (01/2028)</t>
  </si>
  <si>
    <t>P35 (03/2028)</t>
  </si>
  <si>
    <t>P32 (02/2028)</t>
  </si>
  <si>
    <t>Piece Price</t>
  </si>
  <si>
    <t>Nb</t>
  </si>
  <si>
    <t>Cost (k€)</t>
  </si>
  <si>
    <t>eDrive</t>
  </si>
  <si>
    <t>E-Axle</t>
  </si>
  <si>
    <t>ZF Inverter</t>
  </si>
  <si>
    <t>EST90</t>
  </si>
  <si>
    <t>Câbles HV</t>
  </si>
  <si>
    <t>BR</t>
  </si>
  <si>
    <t>Distribution</t>
  </si>
  <si>
    <t>Aux Inverter</t>
  </si>
  <si>
    <t>MPE X-Sample</t>
  </si>
  <si>
    <t>HVPDU P B1-Sample</t>
  </si>
  <si>
    <t>+1 for SK7</t>
  </si>
  <si>
    <t>HVPDU P B2-Sample</t>
  </si>
  <si>
    <t>HVPDU P C-Sample</t>
  </si>
  <si>
    <t>HVPDU P D-Sample</t>
  </si>
  <si>
    <t>HVPDU S B-Sample</t>
  </si>
  <si>
    <t>HVPDU S C-Sample</t>
  </si>
  <si>
    <t>HVPDU S D-Sample</t>
  </si>
  <si>
    <t>Charging</t>
  </si>
  <si>
    <t>Charging Plugs</t>
  </si>
  <si>
    <t>MCS</t>
  </si>
  <si>
    <t>En plus UPC box</t>
  </si>
  <si>
    <t>Panto</t>
  </si>
  <si>
    <t>Marge</t>
  </si>
  <si>
    <t>Rail</t>
  </si>
  <si>
    <t>Cooling</t>
  </si>
  <si>
    <t>BTMS</t>
  </si>
  <si>
    <t>Control</t>
  </si>
  <si>
    <t>VMU</t>
  </si>
  <si>
    <t>Energy</t>
  </si>
  <si>
    <t>Batteries GEN3</t>
  </si>
  <si>
    <t>160€ kw/kg</t>
  </si>
  <si>
    <t>Batteries GEN4</t>
  </si>
  <si>
    <t>Ordered by other dpt</t>
  </si>
  <si>
    <t>LF 18M</t>
  </si>
  <si>
    <t>P13 (11/2027)</t>
  </si>
  <si>
    <t>P14 (11/2028)</t>
  </si>
  <si>
    <t>DEMO3(03/2028)</t>
  </si>
  <si>
    <t>P33</t>
  </si>
  <si>
    <t>Cancelled TbC</t>
  </si>
  <si>
    <t>LF 10M</t>
  </si>
  <si>
    <t>P26 (04/2029)</t>
  </si>
  <si>
    <t>DEMO4 (05/2029)</t>
  </si>
  <si>
    <t>HVPDU P Serial</t>
  </si>
  <si>
    <t>HVPDU S Serial</t>
  </si>
  <si>
    <t>LE 12/13M</t>
  </si>
  <si>
    <t>LE 10M</t>
  </si>
  <si>
    <t>NF 12/13M</t>
  </si>
  <si>
    <t>NF 10M</t>
  </si>
  <si>
    <t>P15 (01/2029)</t>
  </si>
  <si>
    <t>P16 (05/2029)</t>
  </si>
  <si>
    <t>DEMO5 Class I (03/2030)</t>
  </si>
  <si>
    <t>DEMO6 Class II  (02/2029)</t>
  </si>
  <si>
    <t>P27 (05/2031)</t>
  </si>
  <si>
    <t>P21 (09/2028)</t>
  </si>
  <si>
    <t>P22 (11/2028)</t>
  </si>
  <si>
    <t>P23 (11/2029)</t>
  </si>
  <si>
    <t>DEMO7 13M (01/2030)</t>
  </si>
  <si>
    <t>P28 (04/2031)</t>
  </si>
  <si>
    <t>Next Gen vehicles overview</t>
  </si>
  <si>
    <t>Product Offering</t>
  </si>
  <si>
    <t>T1</t>
  </si>
  <si>
    <t>T2</t>
  </si>
  <si>
    <t>T3</t>
  </si>
  <si>
    <t>T4</t>
  </si>
  <si>
    <t>Proj</t>
  </si>
  <si>
    <t>Hypothesis</t>
  </si>
  <si>
    <t>Type</t>
  </si>
  <si>
    <t>Batt Gen</t>
  </si>
  <si>
    <t>PROTO</t>
  </si>
  <si>
    <t xml:space="preserve">Assembly </t>
  </si>
  <si>
    <t>Material K€</t>
  </si>
  <si>
    <t>PE Network Management K€</t>
  </si>
  <si>
    <t>Skeleton assembly</t>
  </si>
  <si>
    <t>VV-Vehicle assembly&amp;procurement</t>
  </si>
  <si>
    <t>Veh_Amortization</t>
  </si>
  <si>
    <t>Total cost</t>
  </si>
  <si>
    <t>Coverd By Demo Budget</t>
  </si>
  <si>
    <t>Assembly</t>
  </si>
  <si>
    <t>ID</t>
  </si>
  <si>
    <t>T - Low Floor</t>
  </si>
  <si>
    <t>T - Low Floor 12BEV</t>
  </si>
  <si>
    <t>-</t>
  </si>
  <si>
    <t>PER</t>
  </si>
  <si>
    <t>ER</t>
  </si>
  <si>
    <t>DR</t>
  </si>
  <si>
    <t>G6</t>
  </si>
  <si>
    <t xml:space="preserve">TCB0114_Q1 - 12m LF BEV </t>
  </si>
  <si>
    <t>Alpha</t>
  </si>
  <si>
    <t>GEN3.2</t>
  </si>
  <si>
    <t xml:space="preserve">Proto LF 12m </t>
  </si>
  <si>
    <t>VM/Vx/AY/RO</t>
  </si>
  <si>
    <t>P1</t>
  </si>
  <si>
    <t>Purch</t>
  </si>
  <si>
    <t>Beta</t>
  </si>
  <si>
    <t>Proto LF 12m Wave 2</t>
  </si>
  <si>
    <t>3 months après P1 à confirmer par SIR/maturité Start of assembly Juin</t>
  </si>
  <si>
    <t>P2</t>
  </si>
  <si>
    <t>Demo LF 12m</t>
  </si>
  <si>
    <r>
      <t xml:space="preserve">1 Demo for Busworld </t>
    </r>
    <r>
      <rPr>
        <b/>
        <sz val="11"/>
        <color rgb="FF0070C0"/>
        <rFont val="Aptos Narrow"/>
        <family val="2"/>
        <scheme val="minor"/>
      </rPr>
      <t>Need for Oct 27</t>
    </r>
  </si>
  <si>
    <t xml:space="preserve"> to be ready for bus world event</t>
  </si>
  <si>
    <t xml:space="preserve">Demo </t>
  </si>
  <si>
    <t>3 months après P2</t>
  </si>
  <si>
    <t>P3</t>
  </si>
  <si>
    <t>Proto LF 12m Wave 3</t>
  </si>
  <si>
    <t>P4</t>
  </si>
  <si>
    <t>Gamma</t>
  </si>
  <si>
    <t>Proto LF 12m Wave 4</t>
  </si>
  <si>
    <t>part Procurement Proto - Skeleton Wleded by Manufacturing - Proto Supprot for assembly</t>
  </si>
  <si>
    <t>P5</t>
  </si>
  <si>
    <t>AC - Program LF</t>
  </si>
  <si>
    <t>AC - Program</t>
  </si>
  <si>
    <t>GEN4</t>
  </si>
  <si>
    <t>Proto Support for Assembly</t>
  </si>
  <si>
    <t>P35</t>
  </si>
  <si>
    <t>GEN 4</t>
  </si>
  <si>
    <t>Battry Gen4 - Second HP Supplier</t>
  </si>
  <si>
    <t>P32</t>
  </si>
  <si>
    <t>PB</t>
  </si>
  <si>
    <t xml:space="preserve">PB Customers Field test </t>
  </si>
  <si>
    <t>tbd</t>
  </si>
  <si>
    <t>100% Manufacturing</t>
  </si>
  <si>
    <t>P6</t>
  </si>
  <si>
    <t>P7</t>
  </si>
  <si>
    <t>P8</t>
  </si>
  <si>
    <t>P9</t>
  </si>
  <si>
    <t>P10</t>
  </si>
  <si>
    <t>P11</t>
  </si>
  <si>
    <t>P12</t>
  </si>
  <si>
    <t>8 X PB</t>
  </si>
  <si>
    <t>T - Low Floor 18BEV</t>
  </si>
  <si>
    <t>G4</t>
  </si>
  <si>
    <t>TCB0114_Q2 - 18m LF BEV</t>
  </si>
  <si>
    <t>2nd Heat Pump</t>
  </si>
  <si>
    <t>Proto LF 18m Wave 4</t>
  </si>
  <si>
    <t>start of assembly 04/2027 - fin de debugg fevrier 2028</t>
  </si>
  <si>
    <t>P13</t>
  </si>
  <si>
    <t>AC - Program ?</t>
  </si>
  <si>
    <t>Proto LF 18m Wave 5</t>
  </si>
  <si>
    <t>start of assembly 02/2028 - fin de debugg septembre 2028</t>
  </si>
  <si>
    <t>P14</t>
  </si>
  <si>
    <t>Demo LF 18m</t>
  </si>
  <si>
    <r>
      <t xml:space="preserve">Demo LF 18m with 2nd Heat Pump </t>
    </r>
    <r>
      <rPr>
        <b/>
        <sz val="11"/>
        <color rgb="FF0070C0"/>
        <rFont val="Aptos Narrow"/>
        <family val="2"/>
        <scheme val="minor"/>
      </rPr>
      <t>Need for Busworld Oct 28</t>
    </r>
  </si>
  <si>
    <t xml:space="preserve">Proto LF 18m </t>
  </si>
  <si>
    <t>Demo</t>
  </si>
  <si>
    <t>x</t>
  </si>
  <si>
    <t>3 X PB</t>
  </si>
  <si>
    <t>AC program</t>
  </si>
  <si>
    <t>T - Low Floor ExtPO</t>
  </si>
  <si>
    <t>TCB0114_Q3</t>
  </si>
  <si>
    <t>Proto Update P4</t>
  </si>
  <si>
    <t>RNT</t>
  </si>
  <si>
    <t>Retrofit on P4/P14  then 6 months tests planned on vehicle .Tests with P5 after field test on postponed options</t>
  </si>
  <si>
    <t>Proto Update P14</t>
  </si>
  <si>
    <t>Proto Update P5</t>
  </si>
  <si>
    <t>T - Low Floor 10BEV</t>
  </si>
  <si>
    <t>TCB0114_Q4</t>
  </si>
  <si>
    <t>1 Protos build from Scratch during 2029                                                                                    No Demo  into Budget</t>
  </si>
  <si>
    <r>
      <t xml:space="preserve"> </t>
    </r>
    <r>
      <rPr>
        <sz val="11"/>
        <color theme="1"/>
        <rFont val="Aptos Narrow"/>
        <family val="2"/>
        <scheme val="minor"/>
      </rPr>
      <t xml:space="preserve">LF 10m </t>
    </r>
  </si>
  <si>
    <t>P26 to be planned after 7 PB 12m start of assembly 04/2029  ready for test octobre 29</t>
  </si>
  <si>
    <t>P26</t>
  </si>
  <si>
    <t>P34</t>
  </si>
  <si>
    <t>New Need Demo LF 10m</t>
  </si>
  <si>
    <t>New ! Need for september 2029</t>
  </si>
  <si>
    <t xml:space="preserve">Proto LF 10m </t>
  </si>
  <si>
    <t>Assembly to be checked as needed for same dates as P26</t>
  </si>
  <si>
    <t>T - Low Entry</t>
  </si>
  <si>
    <t>T - Low Entry BEV</t>
  </si>
  <si>
    <t>TIC0101_Q1</t>
  </si>
  <si>
    <r>
      <t xml:space="preserve">2 Protos build from Scratch (2β)      during 2028/2029                                                                      </t>
    </r>
    <r>
      <rPr>
        <sz val="11"/>
        <color rgb="FFFF0000"/>
        <rFont val="Aptos Narrow"/>
        <family val="2"/>
        <scheme val="minor"/>
      </rPr>
      <t xml:space="preserve">2 PB bought by PE for tests included Into VH budget </t>
    </r>
    <r>
      <rPr>
        <sz val="11"/>
        <color theme="1"/>
        <rFont val="Aptos Narrow"/>
        <family val="2"/>
        <scheme val="minor"/>
      </rPr>
      <t xml:space="preserve">                                                             No Demo  into Budget  </t>
    </r>
  </si>
  <si>
    <r>
      <t xml:space="preserve"> </t>
    </r>
    <r>
      <rPr>
        <sz val="11"/>
        <color theme="1"/>
        <rFont val="Aptos Narrow"/>
        <family val="2"/>
        <scheme val="minor"/>
      </rPr>
      <t xml:space="preserve">LE 12m -13m LE BEV </t>
    </r>
  </si>
  <si>
    <t xml:space="preserve"> P15 1st proto 08/2028-Ready for test Juin 2029</t>
  </si>
  <si>
    <t>P15</t>
  </si>
  <si>
    <t>P16 Start of assembly 02/2029- Ready for test Dec 2029</t>
  </si>
  <si>
    <t>P16</t>
  </si>
  <si>
    <t>2 X PB P17/P18 Start of assembly 09/2030 -02/2031</t>
  </si>
  <si>
    <t>P17</t>
  </si>
  <si>
    <t>P18</t>
  </si>
  <si>
    <t>Demo Class 1 LE 12-13m</t>
  </si>
  <si>
    <r>
      <t xml:space="preserve">1 Demo paid by customer added during Scheduling workshop </t>
    </r>
    <r>
      <rPr>
        <b/>
        <sz val="11"/>
        <color rgb="FF0070C0"/>
        <rFont val="Aptos Narrow"/>
        <family val="2"/>
        <scheme val="minor"/>
      </rPr>
      <t>Need for Q1 2029</t>
    </r>
  </si>
  <si>
    <t>Proto LE 12-13m class 1</t>
  </si>
  <si>
    <t>Assembly to be checked as needed for same dates as class2 &amp;P15 (1st proto)</t>
  </si>
  <si>
    <t>Demo Class 2 LE 12-13m</t>
  </si>
  <si>
    <t>Proto LE 12-13m class 2</t>
  </si>
  <si>
    <t>Assembly to be checked as needed for same dates as class1&amp;P15  (1st proto)</t>
  </si>
  <si>
    <t>PB Customer 12m</t>
  </si>
  <si>
    <t>12m</t>
  </si>
  <si>
    <t>Assembly from beginning of January until mid Q2 2031</t>
  </si>
  <si>
    <t>New</t>
  </si>
  <si>
    <t>PB Customer 13m</t>
  </si>
  <si>
    <t>13m</t>
  </si>
  <si>
    <t>Assembly from mid Q1 until end of Q2 2031</t>
  </si>
  <si>
    <t>T - Low Entry BEV Ext PO</t>
  </si>
  <si>
    <t>TIC0101_Q2</t>
  </si>
  <si>
    <t>2 X Update on P17/P18 PB Q1 vehicles</t>
  </si>
  <si>
    <t xml:space="preserve">LE Ext PO </t>
  </si>
  <si>
    <t>Tests on P17/P18  start of test 10/2031</t>
  </si>
  <si>
    <t>T - Low Entry BEV 10m</t>
  </si>
  <si>
    <t>TIC0101_Q3</t>
  </si>
  <si>
    <t>1 Proto from scratch (1β) 1 in 28 No Demo vehicle</t>
  </si>
  <si>
    <t xml:space="preserve">LE 10m BEV </t>
  </si>
  <si>
    <t>P27 Start of assembly 08/2030- Ready for test 02/2031</t>
  </si>
  <si>
    <t>P27</t>
  </si>
  <si>
    <t>AC - Program IC</t>
  </si>
  <si>
    <t>P31</t>
  </si>
  <si>
    <t>T - Normal Floor</t>
  </si>
  <si>
    <t>PER ?</t>
  </si>
  <si>
    <t>T - Normal Floor BEV</t>
  </si>
  <si>
    <t>TIC0102_Q1</t>
  </si>
  <si>
    <t xml:space="preserve">3 Protos build from Scratch (3β) ( 1 Durab Veh)
No Demo  into Budget   + 2 PB </t>
  </si>
  <si>
    <t xml:space="preserve">NF  12m -13m  BEV </t>
  </si>
  <si>
    <t>Start of P21 assembly 02/2028- Ready for test 12/2028</t>
  </si>
  <si>
    <t>P21</t>
  </si>
  <si>
    <t>Retrofit from beta part to gamma part before field test  Q1 2030</t>
  </si>
  <si>
    <r>
      <t xml:space="preserve">Start of assembly P22 05/2028- </t>
    </r>
    <r>
      <rPr>
        <u/>
        <sz val="11"/>
        <rFont val="Aptos Narrow"/>
        <family val="2"/>
        <scheme val="minor"/>
      </rPr>
      <t xml:space="preserve">Ready for durability test 03/2029 </t>
    </r>
  </si>
  <si>
    <t>P22</t>
  </si>
  <si>
    <t xml:space="preserve">Start of assembly P23 07/2029- Ready for test 04/2030 functional </t>
  </si>
  <si>
    <t>P23</t>
  </si>
  <si>
    <t xml:space="preserve">PB :Start of assembly P24 11/2030 Ready for Field test 03/2031 </t>
  </si>
  <si>
    <t>P24</t>
  </si>
  <si>
    <t xml:space="preserve">PB :Start of assembly  P25 11/2030 Ready for Field test 03/2031 </t>
  </si>
  <si>
    <t>P25</t>
  </si>
  <si>
    <t>Demo NF 13m</t>
  </si>
  <si>
    <r>
      <t xml:space="preserve">1 Demo paid by customer added during  Scheduling workshop </t>
    </r>
    <r>
      <rPr>
        <b/>
        <sz val="11"/>
        <color rgb="FF0070C0"/>
        <rFont val="Aptos Narrow"/>
        <family val="2"/>
        <scheme val="minor"/>
      </rPr>
      <t>Need for Q3 2030</t>
    </r>
  </si>
  <si>
    <t>Gamma NF 12-13m</t>
  </si>
  <si>
    <r>
      <t>ADD veh for Demo in Class 2</t>
    </r>
    <r>
      <rPr>
        <sz val="11"/>
        <color rgb="FF0070C0"/>
        <rFont val="Aptos Narrow"/>
        <family val="2"/>
        <scheme val="minor"/>
      </rPr>
      <t xml:space="preserve"> Assembly</t>
    </r>
    <r>
      <rPr>
        <sz val="11"/>
        <rFont val="Aptos Narrow"/>
        <family val="2"/>
        <scheme val="minor"/>
      </rPr>
      <t xml:space="preserve"> </t>
    </r>
    <r>
      <rPr>
        <sz val="11"/>
        <color rgb="FF0070C0"/>
        <rFont val="Aptos Narrow"/>
        <family val="2"/>
        <scheme val="minor"/>
      </rPr>
      <t>02/2030  to be ready for 09/30</t>
    </r>
  </si>
  <si>
    <t>T - Normal Floor BEV Ext PO</t>
  </si>
  <si>
    <t>TIC0102_Q2</t>
  </si>
  <si>
    <t>Update proto</t>
  </si>
  <si>
    <t xml:space="preserve">NF BEV Ext PO </t>
  </si>
  <si>
    <t xml:space="preserve"> Retrofit  then 6 months tests planned on vehicle .Tests  on postponed options</t>
  </si>
  <si>
    <t>T - Normal Floor BEV 10m</t>
  </si>
  <si>
    <t>TIC0102_Q3</t>
  </si>
  <si>
    <t xml:space="preserve">1 Proto from scratch (1β) 1 in 28 No Demo </t>
  </si>
  <si>
    <t xml:space="preserve">NF 10m  BEV 1 </t>
  </si>
  <si>
    <t>Start of assembly 10/2030- Ready for test 04/2031</t>
  </si>
  <si>
    <t>P28</t>
  </si>
  <si>
    <t>P29</t>
  </si>
  <si>
    <t>T- NG ICE Portage</t>
  </si>
  <si>
    <t>ICE</t>
  </si>
  <si>
    <t>10m C9 Diesel ZF</t>
  </si>
  <si>
    <t>NA</t>
  </si>
  <si>
    <t>NF 10m ICE C9D</t>
  </si>
  <si>
    <t>On Assembly Line</t>
  </si>
  <si>
    <t>13m C9 DIESEL Voith</t>
  </si>
  <si>
    <t>LE 13m ICE C9D</t>
  </si>
  <si>
    <t>10m C9 CNG Voith</t>
  </si>
  <si>
    <t>LE 10m ICE C9G</t>
  </si>
  <si>
    <t>13m C9 CNG ZF</t>
  </si>
  <si>
    <t>NF 13m ICE C9G</t>
  </si>
  <si>
    <t>10m T7 Voith</t>
  </si>
  <si>
    <t>LE 10m ICE T7</t>
  </si>
  <si>
    <t>12m T7 ZF</t>
  </si>
  <si>
    <t>NF 12m ICE T7</t>
  </si>
  <si>
    <t>Retrofit on P24/P25  then 6 months tests planned on vehicle .Tests  on postponed options</t>
  </si>
  <si>
    <t>P24/25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</si>
</sst>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rgb="FFAEAEAE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8"/>
      <color rgb="FF0070C0"/>
      <name val="Aptos Narrow"/>
      <family val="2"/>
      <scheme val="minor"/>
    </font>
    <font>
      <u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6">
    <xf numFmtId="0" fontId="0" fillId="0" borderId="0" xfId="0"/>
    <xf numFmtId="0" fontId="0" fillId="0" borderId="0" xfId="0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5" fillId="0" borderId="0" xfId="1" applyAlignment="1">
      <alignment horizontal="left" wrapText="1"/>
    </xf>
    <xf numFmtId="0" fontId="0" fillId="0" borderId="0" xfId="0" applyAlignment="1">
      <alignment horizontal="center"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8" xfId="0" applyBorder="1"/>
    <xf numFmtId="0" fontId="9" fillId="0" borderId="0" xfId="0" applyFont="1"/>
    <xf numFmtId="0" fontId="0" fillId="0" borderId="9" xfId="0" applyBorder="1"/>
    <xf numFmtId="0" fontId="0" fillId="2" borderId="0" xfId="0" applyFill="1"/>
    <xf numFmtId="0" fontId="0" fillId="2" borderId="10" xfId="0" applyFill="1" applyBorder="1"/>
    <xf numFmtId="0" fontId="0" fillId="3" borderId="0" xfId="0" applyFill="1"/>
    <xf numFmtId="0" fontId="3" fillId="4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left" vertical="center"/>
    </xf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4" borderId="13" xfId="0" applyFill="1" applyBorder="1"/>
    <xf numFmtId="0" fontId="0" fillId="2" borderId="13" xfId="0" applyFill="1" applyBorder="1"/>
    <xf numFmtId="0" fontId="0" fillId="2" borderId="14" xfId="0" applyFill="1" applyBorder="1"/>
    <xf numFmtId="0" fontId="1" fillId="5" borderId="15" xfId="0" applyFont="1" applyFill="1" applyBorder="1" applyAlignment="1">
      <alignment vertical="center"/>
    </xf>
    <xf numFmtId="0" fontId="1" fillId="5" borderId="1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4" fillId="5" borderId="9" xfId="0" applyFont="1" applyFill="1" applyBorder="1"/>
    <xf numFmtId="0" fontId="4" fillId="5" borderId="0" xfId="0" applyFont="1" applyFill="1"/>
    <xf numFmtId="0" fontId="4" fillId="5" borderId="18" xfId="0" applyFont="1" applyFill="1" applyBorder="1"/>
    <xf numFmtId="0" fontId="4" fillId="5" borderId="17" xfId="0" applyFont="1" applyFill="1" applyBorder="1"/>
    <xf numFmtId="0" fontId="4" fillId="5" borderId="10" xfId="0" applyFont="1" applyFill="1" applyBorder="1"/>
    <xf numFmtId="0" fontId="4" fillId="0" borderId="0" xfId="0" applyFont="1"/>
    <xf numFmtId="0" fontId="0" fillId="4" borderId="11" xfId="0" applyFill="1" applyBorder="1"/>
    <xf numFmtId="0" fontId="0" fillId="4" borderId="11" xfId="0" applyFill="1" applyBorder="1" applyAlignment="1">
      <alignment horizontal="left"/>
    </xf>
    <xf numFmtId="0" fontId="11" fillId="4" borderId="11" xfId="0" applyFont="1" applyFill="1" applyBorder="1"/>
    <xf numFmtId="0" fontId="11" fillId="4" borderId="19" xfId="0" applyFont="1" applyFill="1" applyBorder="1"/>
    <xf numFmtId="0" fontId="11" fillId="4" borderId="19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3" xfId="0" applyFont="1" applyFill="1" applyBorder="1"/>
    <xf numFmtId="0" fontId="0" fillId="4" borderId="17" xfId="0" applyFill="1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wrapText="1"/>
    </xf>
    <xf numFmtId="0" fontId="0" fillId="0" borderId="17" xfId="0" applyBorder="1" applyAlignment="1">
      <alignment horizontal="center"/>
    </xf>
    <xf numFmtId="0" fontId="0" fillId="6" borderId="9" xfId="0" applyFill="1" applyBorder="1"/>
    <xf numFmtId="0" fontId="0" fillId="6" borderId="0" xfId="0" applyFill="1"/>
    <xf numFmtId="0" fontId="14" fillId="7" borderId="18" xfId="0" applyFont="1" applyFill="1" applyBorder="1"/>
    <xf numFmtId="0" fontId="0" fillId="8" borderId="18" xfId="0" applyFill="1" applyBorder="1"/>
    <xf numFmtId="0" fontId="0" fillId="8" borderId="17" xfId="0" applyFill="1" applyBorder="1"/>
    <xf numFmtId="0" fontId="0" fillId="9" borderId="18" xfId="0" applyFill="1" applyBorder="1"/>
    <xf numFmtId="0" fontId="0" fillId="9" borderId="17" xfId="0" applyFill="1" applyBorder="1"/>
    <xf numFmtId="0" fontId="0" fillId="3" borderId="18" xfId="0" applyFill="1" applyBorder="1"/>
    <xf numFmtId="0" fontId="0" fillId="3" borderId="17" xfId="0" applyFill="1" applyBorder="1"/>
    <xf numFmtId="0" fontId="0" fillId="0" borderId="9" xfId="0" applyBorder="1" applyAlignment="1">
      <alignment horizontal="center"/>
    </xf>
    <xf numFmtId="0" fontId="0" fillId="10" borderId="9" xfId="0" applyFill="1" applyBorder="1"/>
    <xf numFmtId="0" fontId="0" fillId="10" borderId="0" xfId="0" applyFill="1"/>
    <xf numFmtId="0" fontId="3" fillId="10" borderId="0" xfId="0" applyFont="1" applyFill="1"/>
    <xf numFmtId="0" fontId="3" fillId="0" borderId="0" xfId="0" applyFont="1"/>
    <xf numFmtId="0" fontId="0" fillId="3" borderId="9" xfId="0" applyFill="1" applyBorder="1"/>
    <xf numFmtId="0" fontId="0" fillId="0" borderId="15" xfId="0" applyBorder="1" applyAlignment="1">
      <alignment vertical="center" wrapText="1"/>
    </xf>
    <xf numFmtId="0" fontId="12" fillId="0" borderId="15" xfId="0" applyFont="1" applyBorder="1" applyAlignment="1">
      <alignment horizontal="center" vertical="center"/>
    </xf>
    <xf numFmtId="0" fontId="14" fillId="7" borderId="0" xfId="0" applyFont="1" applyFill="1"/>
    <xf numFmtId="0" fontId="14" fillId="7" borderId="9" xfId="0" applyFont="1" applyFill="1" applyBorder="1"/>
    <xf numFmtId="0" fontId="0" fillId="8" borderId="0" xfId="0" applyFill="1"/>
    <xf numFmtId="0" fontId="0" fillId="11" borderId="0" xfId="0" applyFill="1"/>
    <xf numFmtId="0" fontId="0" fillId="11" borderId="9" xfId="0" applyFill="1" applyBorder="1"/>
    <xf numFmtId="0" fontId="4" fillId="11" borderId="15" xfId="0" applyFont="1" applyFill="1" applyBorder="1" applyAlignment="1">
      <alignment vertical="center"/>
    </xf>
    <xf numFmtId="0" fontId="15" fillId="3" borderId="15" xfId="0" applyFont="1" applyFill="1" applyBorder="1" applyAlignment="1">
      <alignment vertical="center" wrapText="1"/>
    </xf>
    <xf numFmtId="0" fontId="17" fillId="0" borderId="1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15" fillId="0" borderId="9" xfId="0" applyFont="1" applyBorder="1" applyAlignment="1">
      <alignment horizontal="left" wrapText="1"/>
    </xf>
    <xf numFmtId="0" fontId="2" fillId="0" borderId="15" xfId="0" applyFont="1" applyBorder="1" applyAlignment="1">
      <alignment horizontal="center" vertical="center"/>
    </xf>
    <xf numFmtId="0" fontId="0" fillId="12" borderId="0" xfId="0" applyFill="1"/>
    <xf numFmtId="0" fontId="18" fillId="13" borderId="0" xfId="0" applyFont="1" applyFill="1"/>
    <xf numFmtId="0" fontId="14" fillId="14" borderId="9" xfId="0" applyFont="1" applyFill="1" applyBorder="1"/>
    <xf numFmtId="0" fontId="14" fillId="14" borderId="0" xfId="0" applyFont="1" applyFill="1"/>
    <xf numFmtId="0" fontId="0" fillId="8" borderId="0" xfId="0" applyFill="1" applyAlignment="1">
      <alignment horizontal="left" vertical="center"/>
    </xf>
    <xf numFmtId="0" fontId="0" fillId="8" borderId="15" xfId="0" applyFill="1" applyBorder="1" applyAlignment="1">
      <alignment horizontal="left" vertical="center"/>
    </xf>
    <xf numFmtId="0" fontId="15" fillId="0" borderId="9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18" fillId="13" borderId="9" xfId="0" applyFont="1" applyFill="1" applyBorder="1"/>
    <xf numFmtId="0" fontId="11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1" fillId="0" borderId="19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0" fillId="8" borderId="21" xfId="0" applyFill="1" applyBorder="1" applyAlignment="1">
      <alignment horizontal="center" vertical="center"/>
    </xf>
    <xf numFmtId="0" fontId="0" fillId="8" borderId="15" xfId="0" applyFill="1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14" fillId="2" borderId="0" xfId="0" applyFont="1" applyFill="1"/>
    <xf numFmtId="0" fontId="14" fillId="7" borderId="17" xfId="0" applyFont="1" applyFill="1" applyBorder="1"/>
    <xf numFmtId="0" fontId="3" fillId="8" borderId="18" xfId="0" applyFont="1" applyFill="1" applyBorder="1"/>
    <xf numFmtId="0" fontId="0" fillId="8" borderId="15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12" borderId="9" xfId="0" applyFill="1" applyBorder="1"/>
    <xf numFmtId="0" fontId="3" fillId="8" borderId="0" xfId="0" applyFont="1" applyFill="1"/>
    <xf numFmtId="0" fontId="4" fillId="11" borderId="11" xfId="0" applyFont="1" applyFill="1" applyBorder="1" applyAlignment="1">
      <alignment vertical="center"/>
    </xf>
    <xf numFmtId="0" fontId="15" fillId="3" borderId="11" xfId="0" applyFont="1" applyFill="1" applyBorder="1" applyAlignment="1">
      <alignment vertical="center" wrapText="1"/>
    </xf>
    <xf numFmtId="0" fontId="15" fillId="0" borderId="12" xfId="0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0" fillId="0" borderId="12" xfId="0" applyBorder="1"/>
    <xf numFmtId="0" fontId="0" fillId="3" borderId="11" xfId="0" applyFill="1" applyBorder="1" applyAlignment="1">
      <alignment horizontal="center" vertical="center"/>
    </xf>
    <xf numFmtId="0" fontId="0" fillId="14" borderId="0" xfId="0" applyFill="1"/>
    <xf numFmtId="0" fontId="0" fillId="14" borderId="9" xfId="0" applyFill="1" applyBorder="1"/>
    <xf numFmtId="0" fontId="13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9" xfId="0" applyFont="1" applyBorder="1"/>
    <xf numFmtId="0" fontId="13" fillId="0" borderId="0" xfId="0" applyFont="1"/>
    <xf numFmtId="0" fontId="13" fillId="2" borderId="0" xfId="0" applyFont="1" applyFill="1"/>
    <xf numFmtId="0" fontId="13" fillId="4" borderId="0" xfId="0" applyFont="1" applyFill="1"/>
    <xf numFmtId="0" fontId="13" fillId="4" borderId="9" xfId="0" applyFont="1" applyFill="1" applyBorder="1"/>
    <xf numFmtId="0" fontId="13" fillId="2" borderId="10" xfId="0" applyFont="1" applyFill="1" applyBorder="1"/>
    <xf numFmtId="0" fontId="0" fillId="0" borderId="21" xfId="0" applyBorder="1" applyAlignment="1">
      <alignment horizontal="center" vertical="center"/>
    </xf>
    <xf numFmtId="0" fontId="0" fillId="4" borderId="16" xfId="0" applyFill="1" applyBorder="1" applyAlignment="1">
      <alignment horizontal="left"/>
    </xf>
    <xf numFmtId="0" fontId="0" fillId="4" borderId="16" xfId="0" applyFill="1" applyBorder="1"/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2" xfId="0" applyFill="1" applyBorder="1" applyAlignment="1">
      <alignment horizontal="left" vertical="center"/>
    </xf>
    <xf numFmtId="0" fontId="0" fillId="4" borderId="18" xfId="0" applyFill="1" applyBorder="1"/>
    <xf numFmtId="0" fontId="0" fillId="4" borderId="21" xfId="0" applyFill="1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wrapText="1"/>
    </xf>
    <xf numFmtId="0" fontId="0" fillId="4" borderId="0" xfId="0" applyFill="1"/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wrapText="1"/>
    </xf>
    <xf numFmtId="0" fontId="0" fillId="4" borderId="16" xfId="0" applyFill="1" applyBorder="1" applyAlignment="1">
      <alignment wrapText="1"/>
    </xf>
    <xf numFmtId="0" fontId="2" fillId="4" borderId="16" xfId="0" applyFont="1" applyFill="1" applyBorder="1" applyAlignment="1">
      <alignment horizontal="left" wrapText="1"/>
    </xf>
    <xf numFmtId="0" fontId="2" fillId="4" borderId="15" xfId="0" applyFont="1" applyFill="1" applyBorder="1" applyAlignment="1">
      <alignment horizontal="left" wrapText="1"/>
    </xf>
    <xf numFmtId="0" fontId="0" fillId="4" borderId="15" xfId="0" applyFill="1" applyBorder="1"/>
    <xf numFmtId="0" fontId="0" fillId="4" borderId="1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7" xfId="0" applyFill="1" applyBorder="1" applyAlignment="1">
      <alignment horizontal="left" vertical="center"/>
    </xf>
    <xf numFmtId="0" fontId="0" fillId="4" borderId="17" xfId="0" applyFill="1" applyBorder="1"/>
    <xf numFmtId="0" fontId="0" fillId="0" borderId="17" xfId="0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15" borderId="0" xfId="0" applyFill="1"/>
    <xf numFmtId="0" fontId="15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3" fillId="8" borderId="9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left" vertical="center"/>
    </xf>
    <xf numFmtId="0" fontId="16" fillId="3" borderId="11" xfId="0" applyFont="1" applyFill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vertical="center"/>
    </xf>
    <xf numFmtId="0" fontId="4" fillId="5" borderId="16" xfId="0" applyFont="1" applyFill="1" applyBorder="1"/>
    <xf numFmtId="0" fontId="4" fillId="5" borderId="16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left" vertical="center"/>
    </xf>
    <xf numFmtId="0" fontId="4" fillId="5" borderId="14" xfId="0" applyFont="1" applyFill="1" applyBorder="1"/>
    <xf numFmtId="0" fontId="4" fillId="5" borderId="13" xfId="0" applyFont="1" applyFill="1" applyBorder="1"/>
    <xf numFmtId="0" fontId="4" fillId="5" borderId="12" xfId="0" applyFont="1" applyFill="1" applyBorder="1" applyAlignment="1">
      <alignment horizontal="center"/>
    </xf>
    <xf numFmtId="0" fontId="4" fillId="5" borderId="22" xfId="0" applyFont="1" applyFill="1" applyBorder="1"/>
    <xf numFmtId="0" fontId="3" fillId="9" borderId="15" xfId="0" applyFont="1" applyFill="1" applyBorder="1" applyAlignment="1">
      <alignment vertical="center"/>
    </xf>
    <xf numFmtId="0" fontId="0" fillId="9" borderId="15" xfId="0" applyFill="1" applyBorder="1" applyAlignment="1">
      <alignment wrapText="1"/>
    </xf>
    <xf numFmtId="0" fontId="0" fillId="9" borderId="15" xfId="0" applyFill="1" applyBorder="1"/>
    <xf numFmtId="0" fontId="0" fillId="9" borderId="15" xfId="0" applyFill="1" applyBorder="1" applyAlignment="1">
      <alignment horizontal="center"/>
    </xf>
    <xf numFmtId="0" fontId="0" fillId="9" borderId="16" xfId="0" applyFill="1" applyBorder="1"/>
    <xf numFmtId="0" fontId="0" fillId="9" borderId="0" xfId="0" applyFill="1"/>
    <xf numFmtId="0" fontId="0" fillId="9" borderId="9" xfId="0" applyFill="1" applyBorder="1" applyAlignment="1">
      <alignment horizontal="center"/>
    </xf>
    <xf numFmtId="0" fontId="0" fillId="9" borderId="12" xfId="0" applyFill="1" applyBorder="1"/>
    <xf numFmtId="0" fontId="0" fillId="9" borderId="13" xfId="0" applyFill="1" applyBorder="1"/>
    <xf numFmtId="0" fontId="0" fillId="9" borderId="21" xfId="0" applyFill="1" applyBorder="1"/>
    <xf numFmtId="0" fontId="0" fillId="9" borderId="20" xfId="0" applyFill="1" applyBorder="1"/>
    <xf numFmtId="0" fontId="0" fillId="2" borderId="20" xfId="0" applyFill="1" applyBorder="1"/>
    <xf numFmtId="0" fontId="0" fillId="2" borderId="23" xfId="0" applyFill="1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wrapText="1"/>
    </xf>
    <xf numFmtId="0" fontId="14" fillId="2" borderId="22" xfId="0" applyFont="1" applyFill="1" applyBorder="1"/>
    <xf numFmtId="0" fontId="0" fillId="0" borderId="18" xfId="0" applyBorder="1"/>
    <xf numFmtId="0" fontId="0" fillId="2" borderId="18" xfId="0" applyFill="1" applyBorder="1"/>
    <xf numFmtId="0" fontId="0" fillId="0" borderId="17" xfId="0" applyBorder="1"/>
    <xf numFmtId="0" fontId="0" fillId="2" borderId="22" xfId="0" applyFill="1" applyBorder="1"/>
    <xf numFmtId="0" fontId="2" fillId="0" borderId="0" xfId="0" applyFont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2" fillId="3" borderId="18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14" fillId="3" borderId="0" xfId="0" applyFont="1" applyFill="1"/>
    <xf numFmtId="0" fontId="14" fillId="14" borderId="0" xfId="0" applyFont="1" applyFill="1" applyAlignment="1">
      <alignment vertical="center"/>
    </xf>
    <xf numFmtId="0" fontId="0" fillId="8" borderId="11" xfId="0" applyFill="1" applyBorder="1" applyAlignment="1">
      <alignment horizontal="left" vertical="center"/>
    </xf>
    <xf numFmtId="0" fontId="15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11" xfId="0" applyBorder="1" applyAlignment="1">
      <alignment horizontal="center"/>
    </xf>
    <xf numFmtId="0" fontId="14" fillId="3" borderId="0" xfId="0" applyFont="1" applyFill="1" applyAlignment="1">
      <alignment vertical="center"/>
    </xf>
    <xf numFmtId="0" fontId="4" fillId="11" borderId="12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13" fillId="3" borderId="11" xfId="0" applyFont="1" applyFill="1" applyBorder="1" applyAlignment="1">
      <alignment horizontal="center"/>
    </xf>
    <xf numFmtId="0" fontId="13" fillId="3" borderId="9" xfId="0" applyFont="1" applyFill="1" applyBorder="1"/>
    <xf numFmtId="0" fontId="13" fillId="3" borderId="0" xfId="0" applyFont="1" applyFill="1"/>
    <xf numFmtId="0" fontId="0" fillId="0" borderId="11" xfId="0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 wrapText="1"/>
    </xf>
    <xf numFmtId="0" fontId="13" fillId="3" borderId="15" xfId="0" applyFont="1" applyFill="1" applyBorder="1" applyAlignment="1">
      <alignment vertical="center" wrapText="1"/>
    </xf>
    <xf numFmtId="0" fontId="13" fillId="3" borderId="15" xfId="0" applyFont="1" applyFill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15" xfId="0" applyFont="1" applyBorder="1" applyAlignment="1">
      <alignment wrapText="1"/>
    </xf>
    <xf numFmtId="0" fontId="0" fillId="8" borderId="9" xfId="0" applyFill="1" applyBorder="1" applyAlignment="1">
      <alignment horizontal="center"/>
    </xf>
    <xf numFmtId="0" fontId="13" fillId="3" borderId="21" xfId="0" applyFont="1" applyFill="1" applyBorder="1"/>
    <xf numFmtId="0" fontId="13" fillId="3" borderId="19" xfId="0" applyFont="1" applyFill="1" applyBorder="1" applyAlignment="1">
      <alignment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3" fillId="0" borderId="21" xfId="0" applyFont="1" applyBorder="1" applyAlignment="1">
      <alignment wrapText="1"/>
    </xf>
    <xf numFmtId="0" fontId="0" fillId="8" borderId="21" xfId="0" applyFill="1" applyBorder="1" applyAlignment="1">
      <alignment horizontal="center"/>
    </xf>
    <xf numFmtId="0" fontId="13" fillId="2" borderId="23" xfId="0" applyFont="1" applyFill="1" applyBorder="1"/>
    <xf numFmtId="0" fontId="13" fillId="0" borderId="20" xfId="0" applyFont="1" applyBorder="1"/>
    <xf numFmtId="0" fontId="13" fillId="2" borderId="20" xfId="0" applyFont="1" applyFill="1" applyBorder="1"/>
    <xf numFmtId="0" fontId="13" fillId="0" borderId="21" xfId="0" applyFont="1" applyBorder="1"/>
    <xf numFmtId="0" fontId="14" fillId="14" borderId="20" xfId="0" applyFont="1" applyFill="1" applyBorder="1"/>
    <xf numFmtId="0" fontId="13" fillId="3" borderId="20" xfId="0" applyFont="1" applyFill="1" applyBorder="1"/>
    <xf numFmtId="0" fontId="3" fillId="9" borderId="19" xfId="0" applyFont="1" applyFill="1" applyBorder="1" applyAlignment="1">
      <alignment vertical="center"/>
    </xf>
    <xf numFmtId="0" fontId="0" fillId="9" borderId="19" xfId="0" applyFill="1" applyBorder="1" applyAlignment="1">
      <alignment wrapText="1"/>
    </xf>
    <xf numFmtId="0" fontId="0" fillId="9" borderId="11" xfId="0" applyFill="1" applyBorder="1"/>
    <xf numFmtId="0" fontId="0" fillId="0" borderId="10" xfId="0" applyBorder="1" applyAlignment="1">
      <alignment horizontal="left" vertical="center"/>
    </xf>
    <xf numFmtId="0" fontId="3" fillId="9" borderId="11" xfId="0" applyFont="1" applyFill="1" applyBorder="1" applyAlignment="1">
      <alignment vertical="center"/>
    </xf>
    <xf numFmtId="0" fontId="0" fillId="9" borderId="11" xfId="0" applyFill="1" applyBorder="1" applyAlignment="1">
      <alignment wrapText="1"/>
    </xf>
    <xf numFmtId="0" fontId="2" fillId="9" borderId="16" xfId="0" applyFont="1" applyFill="1" applyBorder="1" applyAlignment="1">
      <alignment horizontal="left" wrapText="1"/>
    </xf>
    <xf numFmtId="0" fontId="0" fillId="9" borderId="16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left" vertical="center"/>
    </xf>
    <xf numFmtId="0" fontId="0" fillId="9" borderId="12" xfId="0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center"/>
    </xf>
    <xf numFmtId="0" fontId="14" fillId="4" borderId="0" xfId="0" applyFont="1" applyFill="1"/>
    <xf numFmtId="0" fontId="0" fillId="0" borderId="15" xfId="0" applyBorder="1" applyAlignment="1">
      <alignment horizontal="left" wrapText="1"/>
    </xf>
    <xf numFmtId="0" fontId="2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0" fontId="4" fillId="5" borderId="11" xfId="0" applyFont="1" applyFill="1" applyBorder="1" applyAlignment="1">
      <alignment wrapText="1"/>
    </xf>
    <xf numFmtId="0" fontId="4" fillId="5" borderId="11" xfId="0" applyFont="1" applyFill="1" applyBorder="1" applyAlignment="1">
      <alignment horizontal="left" wrapText="1"/>
    </xf>
    <xf numFmtId="0" fontId="4" fillId="5" borderId="11" xfId="0" applyFont="1" applyFill="1" applyBorder="1"/>
    <xf numFmtId="0" fontId="4" fillId="5" borderId="17" xfId="0" applyFont="1" applyFill="1" applyBorder="1" applyAlignment="1">
      <alignment horizontal="left" vertical="center"/>
    </xf>
    <xf numFmtId="0" fontId="4" fillId="5" borderId="20" xfId="0" applyFont="1" applyFill="1" applyBorder="1"/>
    <xf numFmtId="0" fontId="4" fillId="5" borderId="17" xfId="0" applyFont="1" applyFill="1" applyBorder="1" applyAlignment="1">
      <alignment horizontal="center"/>
    </xf>
    <xf numFmtId="0" fontId="4" fillId="5" borderId="12" xfId="0" applyFont="1" applyFill="1" applyBorder="1"/>
    <xf numFmtId="0" fontId="3" fillId="12" borderId="19" xfId="0" applyFont="1" applyFill="1" applyBorder="1" applyAlignment="1">
      <alignment vertical="center"/>
    </xf>
    <xf numFmtId="0" fontId="0" fillId="12" borderId="19" xfId="0" applyFill="1" applyBorder="1" applyAlignment="1">
      <alignment wrapText="1"/>
    </xf>
    <xf numFmtId="0" fontId="0" fillId="12" borderId="19" xfId="0" applyFill="1" applyBorder="1" applyAlignment="1">
      <alignment horizontal="center" wrapText="1"/>
    </xf>
    <xf numFmtId="0" fontId="0" fillId="12" borderId="21" xfId="0" applyFill="1" applyBorder="1" applyAlignment="1">
      <alignment wrapText="1"/>
    </xf>
    <xf numFmtId="0" fontId="0" fillId="12" borderId="11" xfId="0" applyFill="1" applyBorder="1" applyAlignment="1">
      <alignment horizontal="center"/>
    </xf>
    <xf numFmtId="0" fontId="0" fillId="12" borderId="12" xfId="0" applyFill="1" applyBorder="1"/>
    <xf numFmtId="0" fontId="0" fillId="12" borderId="13" xfId="0" applyFill="1" applyBorder="1"/>
    <xf numFmtId="0" fontId="0" fillId="12" borderId="14" xfId="0" applyFill="1" applyBorder="1"/>
    <xf numFmtId="0" fontId="0" fillId="12" borderId="21" xfId="0" applyFill="1" applyBorder="1"/>
    <xf numFmtId="0" fontId="0" fillId="12" borderId="20" xfId="0" applyFill="1" applyBorder="1"/>
    <xf numFmtId="0" fontId="0" fillId="12" borderId="23" xfId="0" applyFill="1" applyBorder="1"/>
    <xf numFmtId="0" fontId="15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0" fontId="15" fillId="3" borderId="9" xfId="0" applyFont="1" applyFill="1" applyBorder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3" borderId="9" xfId="0" applyFont="1" applyFill="1" applyBorder="1" applyAlignment="1">
      <alignment horizontal="center"/>
    </xf>
    <xf numFmtId="0" fontId="13" fillId="0" borderId="15" xfId="0" applyFont="1" applyBorder="1" applyAlignment="1">
      <alignment vertical="center" wrapText="1"/>
    </xf>
    <xf numFmtId="0" fontId="13" fillId="3" borderId="9" xfId="0" applyFont="1" applyFill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9" fillId="7" borderId="0" xfId="0" applyFont="1" applyFill="1"/>
    <xf numFmtId="0" fontId="13" fillId="8" borderId="0" xfId="0" applyFont="1" applyFill="1"/>
    <xf numFmtId="0" fontId="15" fillId="3" borderId="12" xfId="0" applyFont="1" applyFill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0" fillId="8" borderId="9" xfId="0" applyFill="1" applyBorder="1"/>
    <xf numFmtId="0" fontId="15" fillId="0" borderId="9" xfId="0" applyFont="1" applyBorder="1" applyAlignment="1">
      <alignment vertical="center"/>
    </xf>
    <xf numFmtId="0" fontId="14" fillId="4" borderId="9" xfId="0" applyFont="1" applyFill="1" applyBorder="1"/>
    <xf numFmtId="0" fontId="15" fillId="8" borderId="15" xfId="0" applyFont="1" applyFill="1" applyBorder="1" applyAlignment="1">
      <alignment vertical="center"/>
    </xf>
    <xf numFmtId="0" fontId="15" fillId="3" borderId="19" xfId="0" applyFont="1" applyFill="1" applyBorder="1" applyAlignment="1">
      <alignment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/>
    </xf>
    <xf numFmtId="0" fontId="15" fillId="0" borderId="20" xfId="0" applyFont="1" applyBorder="1" applyAlignment="1">
      <alignment vertical="center" wrapText="1"/>
    </xf>
    <xf numFmtId="0" fontId="15" fillId="3" borderId="11" xfId="0" applyFont="1" applyFill="1" applyBorder="1" applyAlignment="1">
      <alignment horizontal="center"/>
    </xf>
    <xf numFmtId="0" fontId="0" fillId="15" borderId="14" xfId="0" applyFill="1" applyBorder="1" applyAlignment="1">
      <alignment wrapText="1"/>
    </xf>
    <xf numFmtId="0" fontId="2" fillId="15" borderId="11" xfId="0" applyFont="1" applyFill="1" applyBorder="1" applyAlignment="1">
      <alignment horizontal="left" wrapText="1"/>
    </xf>
    <xf numFmtId="0" fontId="0" fillId="15" borderId="11" xfId="0" applyFill="1" applyBorder="1"/>
    <xf numFmtId="0" fontId="0" fillId="15" borderId="11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11" xfId="0" applyFill="1" applyBorder="1" applyAlignment="1">
      <alignment horizontal="left" vertical="center"/>
    </xf>
    <xf numFmtId="0" fontId="0" fillId="15" borderId="13" xfId="0" applyFill="1" applyBorder="1"/>
    <xf numFmtId="0" fontId="0" fillId="15" borderId="17" xfId="0" applyFill="1" applyBorder="1" applyAlignment="1">
      <alignment horizontal="center"/>
    </xf>
    <xf numFmtId="0" fontId="0" fillId="15" borderId="12" xfId="0" applyFill="1" applyBorder="1"/>
    <xf numFmtId="0" fontId="0" fillId="0" borderId="9" xfId="0" applyBorder="1" applyAlignment="1">
      <alignment vertical="center"/>
    </xf>
    <xf numFmtId="0" fontId="0" fillId="3" borderId="17" xfId="0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21" xfId="0" applyFill="1" applyBorder="1" applyAlignment="1">
      <alignment horizontal="center" vertical="center"/>
    </xf>
    <xf numFmtId="0" fontId="0" fillId="15" borderId="12" xfId="0" applyFill="1" applyBorder="1" applyAlignment="1">
      <alignment horizontal="left" vertical="center"/>
    </xf>
    <xf numFmtId="0" fontId="0" fillId="15" borderId="15" xfId="0" applyFill="1" applyBorder="1"/>
    <xf numFmtId="0" fontId="0" fillId="15" borderId="18" xfId="0" applyFill="1" applyBorder="1"/>
    <xf numFmtId="0" fontId="0" fillId="15" borderId="9" xfId="0" applyFill="1" applyBorder="1" applyAlignment="1">
      <alignment horizontal="center"/>
    </xf>
    <xf numFmtId="0" fontId="0" fillId="15" borderId="17" xfId="0" applyFill="1" applyBorder="1"/>
    <xf numFmtId="0" fontId="0" fillId="0" borderId="18" xfId="0" applyBorder="1" applyAlignment="1">
      <alignment vertical="center" wrapText="1"/>
    </xf>
    <xf numFmtId="0" fontId="0" fillId="0" borderId="16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3" borderId="17" xfId="0" applyFont="1" applyFill="1" applyBorder="1" applyAlignment="1">
      <alignment horizontal="center"/>
    </xf>
    <xf numFmtId="0" fontId="14" fillId="4" borderId="18" xfId="0" applyFont="1" applyFill="1" applyBorder="1"/>
    <xf numFmtId="0" fontId="14" fillId="2" borderId="18" xfId="0" applyFont="1" applyFill="1" applyBorder="1"/>
    <xf numFmtId="0" fontId="15" fillId="8" borderId="9" xfId="0" applyFont="1" applyFill="1" applyBorder="1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1" xfId="0" applyBorder="1"/>
    <xf numFmtId="0" fontId="0" fillId="0" borderId="20" xfId="0" applyBorder="1"/>
    <xf numFmtId="0" fontId="14" fillId="4" borderId="20" xfId="0" applyFont="1" applyFill="1" applyBorder="1"/>
    <xf numFmtId="0" fontId="14" fillId="2" borderId="20" xfId="0" applyFont="1" applyFill="1" applyBorder="1"/>
    <xf numFmtId="0" fontId="0" fillId="8" borderId="20" xfId="0" applyFill="1" applyBorder="1"/>
    <xf numFmtId="0" fontId="2" fillId="9" borderId="11" xfId="0" applyFont="1" applyFill="1" applyBorder="1" applyAlignment="1">
      <alignment horizontal="left" wrapText="1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left" vertical="center"/>
    </xf>
    <xf numFmtId="0" fontId="0" fillId="9" borderId="21" xfId="0" applyFill="1" applyBorder="1" applyAlignment="1">
      <alignment horizontal="center"/>
    </xf>
    <xf numFmtId="0" fontId="14" fillId="0" borderId="0" xfId="0" applyFont="1"/>
    <xf numFmtId="0" fontId="0" fillId="0" borderId="11" xfId="0" applyBorder="1"/>
    <xf numFmtId="0" fontId="0" fillId="0" borderId="13" xfId="0" applyBorder="1" applyAlignment="1">
      <alignment horizontal="left" wrapText="1"/>
    </xf>
    <xf numFmtId="0" fontId="0" fillId="3" borderId="12" xfId="0" applyFill="1" applyBorder="1" applyAlignment="1">
      <alignment horizontal="center"/>
    </xf>
    <xf numFmtId="0" fontId="0" fillId="0" borderId="13" xfId="0" applyBorder="1"/>
    <xf numFmtId="0" fontId="14" fillId="4" borderId="13" xfId="0" applyFont="1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8" fillId="3" borderId="0" xfId="0" applyFont="1" applyFill="1"/>
    <xf numFmtId="0" fontId="0" fillId="3" borderId="0" xfId="0" applyFill="1" applyAlignment="1">
      <alignment horizontal="left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14" fillId="10" borderId="18" xfId="0" applyFont="1" applyFill="1" applyBorder="1"/>
    <xf numFmtId="0" fontId="14" fillId="10" borderId="0" xfId="0" applyFont="1" applyFill="1"/>
    <xf numFmtId="0" fontId="14" fillId="10" borderId="9" xfId="0" applyFont="1" applyFill="1" applyBorder="1"/>
    <xf numFmtId="0" fontId="0" fillId="0" borderId="27" xfId="0" applyBorder="1"/>
    <xf numFmtId="0" fontId="3" fillId="0" borderId="5" xfId="0" applyFont="1" applyBorder="1"/>
    <xf numFmtId="0" fontId="0" fillId="0" borderId="28" xfId="0" applyBorder="1"/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3" fillId="0" borderId="28" xfId="0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28" xfId="0" applyFont="1" applyBorder="1"/>
    <xf numFmtId="164" fontId="0" fillId="0" borderId="31" xfId="0" applyNumberFormat="1" applyBorder="1"/>
    <xf numFmtId="164" fontId="0" fillId="0" borderId="5" xfId="0" applyNumberFormat="1" applyBorder="1"/>
    <xf numFmtId="164" fontId="0" fillId="0" borderId="32" xfId="0" applyNumberFormat="1" applyBorder="1"/>
    <xf numFmtId="0" fontId="23" fillId="0" borderId="30" xfId="0" applyFont="1" applyBorder="1"/>
    <xf numFmtId="164" fontId="23" fillId="0" borderId="13" xfId="0" applyNumberFormat="1" applyFont="1" applyBorder="1"/>
    <xf numFmtId="164" fontId="23" fillId="0" borderId="14" xfId="0" applyNumberFormat="1" applyFont="1" applyBorder="1"/>
    <xf numFmtId="0" fontId="24" fillId="0" borderId="29" xfId="0" applyFont="1" applyBorder="1"/>
    <xf numFmtId="164" fontId="24" fillId="0" borderId="0" xfId="0" applyNumberFormat="1" applyFont="1"/>
    <xf numFmtId="0" fontId="24" fillId="0" borderId="0" xfId="0" applyFont="1"/>
    <xf numFmtId="0" fontId="0" fillId="16" borderId="5" xfId="0" applyFill="1" applyBorder="1" applyAlignment="1">
      <alignment horizontal="center" vertical="center"/>
    </xf>
    <xf numFmtId="0" fontId="0" fillId="0" borderId="0" xfId="0" quotePrefix="1"/>
    <xf numFmtId="0" fontId="0" fillId="5" borderId="0" xfId="0" applyFill="1"/>
    <xf numFmtId="0" fontId="0" fillId="17" borderId="31" xfId="0" applyFill="1" applyBorder="1"/>
    <xf numFmtId="0" fontId="0" fillId="17" borderId="5" xfId="0" applyFill="1" applyBorder="1"/>
    <xf numFmtId="0" fontId="0" fillId="8" borderId="5" xfId="0" applyFill="1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5" xfId="0" applyBorder="1" applyAlignment="1">
      <alignment horizontal="center"/>
    </xf>
    <xf numFmtId="0" fontId="0" fillId="0" borderId="3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3" fillId="0" borderId="2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3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ZEPE NEXT</a:t>
            </a:r>
            <a:r>
              <a:rPr lang="fr-FR" baseline="0"/>
              <a:t> GEN </a:t>
            </a:r>
            <a:r>
              <a:rPr lang="fr-FR"/>
              <a:t>SPENDING</a:t>
            </a:r>
            <a:r>
              <a:rPr lang="fr-FR" baseline="0"/>
              <a:t> CURVE 2026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'2026 spending V2 29_05_2026'!$D$27</c:f>
              <c:strCache>
                <c:ptCount val="1"/>
                <c:pt idx="0">
                  <c:v>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'2026 spending V2 29_05_2026'!$E$27:$P$27</c:f>
              <c:numCache>
                <c:formatCode>0.0</c:formatCode>
                <c:ptCount val="12"/>
                <c:pt idx="0">
                  <c:v>97.820512820512818</c:v>
                </c:pt>
                <c:pt idx="1">
                  <c:v>97.820512820512818</c:v>
                </c:pt>
                <c:pt idx="2">
                  <c:v>97.820512820512818</c:v>
                </c:pt>
                <c:pt idx="3">
                  <c:v>97.820512820512818</c:v>
                </c:pt>
                <c:pt idx="4">
                  <c:v>97.820512820512818</c:v>
                </c:pt>
                <c:pt idx="5">
                  <c:v>97.820512820512818</c:v>
                </c:pt>
                <c:pt idx="6">
                  <c:v>97.820512820512818</c:v>
                </c:pt>
                <c:pt idx="7">
                  <c:v>13.974358974358974</c:v>
                </c:pt>
                <c:pt idx="8">
                  <c:v>97.820512820512818</c:v>
                </c:pt>
                <c:pt idx="9">
                  <c:v>97.820512820512818</c:v>
                </c:pt>
                <c:pt idx="10">
                  <c:v>97.820512820512818</c:v>
                </c:pt>
                <c:pt idx="11">
                  <c:v>97.820512820512818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2-40B5-B9A3-6D1A0D1BB872}"/>
            </c:ext>
          </c:extLst>
        </c:ser>
        <c:ser>
          <c:idx val="2"/>
          <c:order val="2"/>
          <c:tx>
            <c:strRef>
              <c:f>'2026 spending V2 29_05_2026'!$D$28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'2026 spending V2 29_05_2026'!$E$28:$P$28</c:f>
              <c:numCache>
                <c:formatCode>0.0</c:formatCode>
                <c:ptCount val="12"/>
                <c:pt idx="0">
                  <c:v>40.384615384615387</c:v>
                </c:pt>
                <c:pt idx="1">
                  <c:v>40.384615384615387</c:v>
                </c:pt>
                <c:pt idx="2">
                  <c:v>60.897435897435898</c:v>
                </c:pt>
                <c:pt idx="3">
                  <c:v>60.897435897435898</c:v>
                </c:pt>
                <c:pt idx="4">
                  <c:v>60.897435897435898</c:v>
                </c:pt>
                <c:pt idx="5">
                  <c:v>60.897435897435898</c:v>
                </c:pt>
                <c:pt idx="6">
                  <c:v>60.897435897435898</c:v>
                </c:pt>
                <c:pt idx="7">
                  <c:v>21.153846153846153</c:v>
                </c:pt>
                <c:pt idx="8">
                  <c:v>60.897435897435898</c:v>
                </c:pt>
                <c:pt idx="9">
                  <c:v>60.897435897435898</c:v>
                </c:pt>
                <c:pt idx="10">
                  <c:v>60.897435897435898</c:v>
                </c:pt>
                <c:pt idx="11">
                  <c:v>60.897435897435898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2-40B5-B9A3-6D1A0D1BB872}"/>
            </c:ext>
          </c:extLst>
        </c:ser>
        <c:ser>
          <c:idx val="3"/>
          <c:order val="3"/>
          <c:tx>
            <c:strRef>
              <c:f>'2026 spending V2 29_05_2026'!$D$29</c:f>
              <c:strCache>
                <c:ptCount val="1"/>
                <c:pt idx="0">
                  <c:v>CODESIGN/AS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'2026 spending V2 29_05_2026'!$E$29:$P$29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500</c:v>
                </c:pt>
                <c:pt idx="5">
                  <c:v>0</c:v>
                </c:pt>
                <c:pt idx="6">
                  <c:v>0</c:v>
                </c:pt>
                <c:pt idx="7">
                  <c:v>330</c:v>
                </c:pt>
                <c:pt idx="8">
                  <c:v>310</c:v>
                </c:pt>
                <c:pt idx="9">
                  <c:v>295</c:v>
                </c:pt>
                <c:pt idx="10">
                  <c:v>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2-40B5-B9A3-6D1A0D1BB872}"/>
            </c:ext>
          </c:extLst>
        </c:ser>
        <c:ser>
          <c:idx val="4"/>
          <c:order val="4"/>
          <c:tx>
            <c:strRef>
              <c:f>'2026 spending V2 29_05_2026'!$D$30</c:f>
              <c:strCache>
                <c:ptCount val="1"/>
                <c:pt idx="0">
                  <c:v>FPT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'2026 spending V2 29_05_2026'!$E$30:$P$30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0</c:v>
                </c:pt>
                <c:pt idx="8">
                  <c:v>0</c:v>
                </c:pt>
                <c:pt idx="9">
                  <c:v>250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F2-40B5-B9A3-6D1A0D1BB872}"/>
            </c:ext>
          </c:extLst>
        </c:ser>
        <c:ser>
          <c:idx val="5"/>
          <c:order val="5"/>
          <c:tx>
            <c:strRef>
              <c:f>'2026 spending V2 29_05_2026'!$D$31</c:f>
              <c:strCache>
                <c:ptCount val="1"/>
                <c:pt idx="0">
                  <c:v>INTERCOMPANY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'2026 spending V2 29_05_2026'!$E$31:$P$31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234</c:v>
                </c:pt>
                <c:pt idx="3">
                  <c:v>172</c:v>
                </c:pt>
                <c:pt idx="4">
                  <c:v>0</c:v>
                </c:pt>
                <c:pt idx="5">
                  <c:v>136</c:v>
                </c:pt>
                <c:pt idx="6">
                  <c:v>0</c:v>
                </c:pt>
                <c:pt idx="7">
                  <c:v>283</c:v>
                </c:pt>
                <c:pt idx="8">
                  <c:v>545</c:v>
                </c:pt>
                <c:pt idx="9">
                  <c:v>230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F2-40B5-B9A3-6D1A0D1BB872}"/>
            </c:ext>
          </c:extLst>
        </c:ser>
        <c:ser>
          <c:idx val="6"/>
          <c:order val="6"/>
          <c:tx>
            <c:strRef>
              <c:f>'2026 spending V2 29_05_2026'!$D$32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'2026 spending V2 29_05_2026'!$E$32:$P$32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F2-40B5-B9A3-6D1A0D1B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8847247"/>
        <c:axId val="1446941583"/>
      </c:barChart>
      <c:lineChart>
        <c:grouping val="standard"/>
        <c:varyColors val="0"/>
        <c:ser>
          <c:idx val="0"/>
          <c:order val="0"/>
          <c:tx>
            <c:strRef>
              <c:f>'2026 spending V2 29_05_2026'!$D$26</c:f>
              <c:strCache>
                <c:ptCount val="1"/>
                <c:pt idx="0">
                  <c:v>CUMUL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 spending V2 29_05_2026'!$E$26:$P$26</c:f>
              <c:numCache>
                <c:formatCode>0.0</c:formatCode>
                <c:ptCount val="12"/>
                <c:pt idx="0">
                  <c:v>138.2051282051282</c:v>
                </c:pt>
                <c:pt idx="1">
                  <c:v>276.41025641025641</c:v>
                </c:pt>
                <c:pt idx="2">
                  <c:v>1169.1282051282051</c:v>
                </c:pt>
                <c:pt idx="3">
                  <c:v>1499.8461538461538</c:v>
                </c:pt>
                <c:pt idx="4">
                  <c:v>2158.5641025641025</c:v>
                </c:pt>
                <c:pt idx="5">
                  <c:v>2453.2820512820513</c:v>
                </c:pt>
                <c:pt idx="6">
                  <c:v>2862</c:v>
                </c:pt>
                <c:pt idx="7">
                  <c:v>3510.1282051282051</c:v>
                </c:pt>
                <c:pt idx="8">
                  <c:v>4539.8461538461543</c:v>
                </c:pt>
                <c:pt idx="9">
                  <c:v>5473.5641025641035</c:v>
                </c:pt>
                <c:pt idx="10">
                  <c:v>5632.2820512820517</c:v>
                </c:pt>
                <c:pt idx="11">
                  <c:v>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F2-40B5-B9A3-6D1A0D1B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706415"/>
        <c:axId val="1298703055"/>
      </c:lineChart>
      <c:catAx>
        <c:axId val="12987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703055"/>
        <c:crosses val="autoZero"/>
        <c:auto val="1"/>
        <c:lblAlgn val="ctr"/>
        <c:lblOffset val="100"/>
        <c:noMultiLvlLbl val="0"/>
      </c:catAx>
      <c:valAx>
        <c:axId val="12987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706415"/>
        <c:crosses val="autoZero"/>
        <c:crossBetween val="between"/>
      </c:valAx>
      <c:valAx>
        <c:axId val="144694158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8847247"/>
        <c:crosses val="max"/>
        <c:crossBetween val="between"/>
      </c:valAx>
      <c:catAx>
        <c:axId val="1098847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446941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ZEPE NEXT</a:t>
            </a:r>
            <a:r>
              <a:rPr lang="fr-FR" baseline="0"/>
              <a:t> GEN </a:t>
            </a:r>
            <a:r>
              <a:rPr lang="fr-FR"/>
              <a:t>SPENDING</a:t>
            </a:r>
            <a:r>
              <a:rPr lang="fr-FR" baseline="0"/>
              <a:t> CURVE 2026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'2026 spending'!$D$26</c:f>
              <c:strCache>
                <c:ptCount val="1"/>
                <c:pt idx="0">
                  <c:v>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'2026 spending'!$E$26:$P$26</c:f>
              <c:numCache>
                <c:formatCode>0.0</c:formatCode>
                <c:ptCount val="12"/>
                <c:pt idx="0">
                  <c:v>97.820512820512818</c:v>
                </c:pt>
                <c:pt idx="1">
                  <c:v>97.820512820512818</c:v>
                </c:pt>
                <c:pt idx="2">
                  <c:v>97.820512820512818</c:v>
                </c:pt>
                <c:pt idx="3">
                  <c:v>97.820512820512818</c:v>
                </c:pt>
                <c:pt idx="4">
                  <c:v>97.820512820512818</c:v>
                </c:pt>
                <c:pt idx="5">
                  <c:v>97.820512820512818</c:v>
                </c:pt>
                <c:pt idx="6">
                  <c:v>97.820512820512818</c:v>
                </c:pt>
                <c:pt idx="7">
                  <c:v>13.974358974358974</c:v>
                </c:pt>
                <c:pt idx="8">
                  <c:v>97.820512820512818</c:v>
                </c:pt>
                <c:pt idx="9">
                  <c:v>97.820512820512818</c:v>
                </c:pt>
                <c:pt idx="10">
                  <c:v>97.820512820512818</c:v>
                </c:pt>
                <c:pt idx="11">
                  <c:v>97.820512820512818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0-4F0D-B8F1-D7F5A138F589}"/>
            </c:ext>
          </c:extLst>
        </c:ser>
        <c:ser>
          <c:idx val="2"/>
          <c:order val="2"/>
          <c:tx>
            <c:strRef>
              <c:f>'2026 spending'!$D$27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'2026 spending'!$E$27:$P$27</c:f>
              <c:numCache>
                <c:formatCode>0.0</c:formatCode>
                <c:ptCount val="12"/>
                <c:pt idx="0">
                  <c:v>40.384615384615387</c:v>
                </c:pt>
                <c:pt idx="1">
                  <c:v>40.384615384615387</c:v>
                </c:pt>
                <c:pt idx="2">
                  <c:v>60.897435897435898</c:v>
                </c:pt>
                <c:pt idx="3">
                  <c:v>60.897435897435898</c:v>
                </c:pt>
                <c:pt idx="4">
                  <c:v>60.897435897435898</c:v>
                </c:pt>
                <c:pt idx="5">
                  <c:v>60.897435897435898</c:v>
                </c:pt>
                <c:pt idx="6">
                  <c:v>60.897435897435898</c:v>
                </c:pt>
                <c:pt idx="7">
                  <c:v>21.153846153846153</c:v>
                </c:pt>
                <c:pt idx="8">
                  <c:v>60.897435897435898</c:v>
                </c:pt>
                <c:pt idx="9">
                  <c:v>60.897435897435898</c:v>
                </c:pt>
                <c:pt idx="10">
                  <c:v>60.897435897435898</c:v>
                </c:pt>
                <c:pt idx="11">
                  <c:v>60.897435897435898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0-4F0D-B8F1-D7F5A138F589}"/>
            </c:ext>
          </c:extLst>
        </c:ser>
        <c:ser>
          <c:idx val="3"/>
          <c:order val="3"/>
          <c:tx>
            <c:strRef>
              <c:f>'2026 spending'!$D$28</c:f>
              <c:strCache>
                <c:ptCount val="1"/>
                <c:pt idx="0">
                  <c:v>CODESIGN/AS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'2026 spending'!$E$28:$P$28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250</c:v>
                </c:pt>
                <c:pt idx="3">
                  <c:v>250</c:v>
                </c:pt>
                <c:pt idx="4">
                  <c:v>0</c:v>
                </c:pt>
                <c:pt idx="5">
                  <c:v>400</c:v>
                </c:pt>
                <c:pt idx="6">
                  <c:v>250</c:v>
                </c:pt>
                <c:pt idx="7">
                  <c:v>0</c:v>
                </c:pt>
                <c:pt idx="8">
                  <c:v>500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0-4F0D-B8F1-D7F5A138F589}"/>
            </c:ext>
          </c:extLst>
        </c:ser>
        <c:ser>
          <c:idx val="4"/>
          <c:order val="4"/>
          <c:tx>
            <c:strRef>
              <c:f>'2026 spending'!$D$29</c:f>
              <c:strCache>
                <c:ptCount val="1"/>
                <c:pt idx="0">
                  <c:v>FPT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'2026 spending'!$E$29:$P$29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0</c:v>
                </c:pt>
                <c:pt idx="8">
                  <c:v>0</c:v>
                </c:pt>
                <c:pt idx="9">
                  <c:v>250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F0-4F0D-B8F1-D7F5A138F589}"/>
            </c:ext>
          </c:extLst>
        </c:ser>
        <c:ser>
          <c:idx val="5"/>
          <c:order val="5"/>
          <c:tx>
            <c:strRef>
              <c:f>'2026 spending'!$D$30</c:f>
              <c:strCache>
                <c:ptCount val="1"/>
                <c:pt idx="0">
                  <c:v>INTERCOMPANY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'2026 spending'!$E$30:$P$30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630</c:v>
                </c:pt>
                <c:pt idx="3">
                  <c:v>0</c:v>
                </c:pt>
                <c:pt idx="4">
                  <c:v>50</c:v>
                </c:pt>
                <c:pt idx="5">
                  <c:v>0</c:v>
                </c:pt>
                <c:pt idx="6">
                  <c:v>440</c:v>
                </c:pt>
                <c:pt idx="7">
                  <c:v>100</c:v>
                </c:pt>
                <c:pt idx="8">
                  <c:v>200</c:v>
                </c:pt>
                <c:pt idx="9">
                  <c:v>180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F0-4F0D-B8F1-D7F5A138F589}"/>
            </c:ext>
          </c:extLst>
        </c:ser>
        <c:ser>
          <c:idx val="6"/>
          <c:order val="6"/>
          <c:tx>
            <c:strRef>
              <c:f>'2026 spending'!$D$31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'2026 spending'!$E$31:$P$31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F0-4F0D-B8F1-D7F5A138F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8847247"/>
        <c:axId val="1446941583"/>
      </c:barChart>
      <c:lineChart>
        <c:grouping val="standard"/>
        <c:varyColors val="0"/>
        <c:ser>
          <c:idx val="0"/>
          <c:order val="0"/>
          <c:tx>
            <c:strRef>
              <c:f>'2026 spending'!$D$25</c:f>
              <c:strCache>
                <c:ptCount val="1"/>
                <c:pt idx="0">
                  <c:v>CUMUL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 spending'!$E$25:$P$25</c:f>
              <c:numCache>
                <c:formatCode>0.0</c:formatCode>
                <c:ptCount val="12"/>
                <c:pt idx="0">
                  <c:v>138.2051282051282</c:v>
                </c:pt>
                <c:pt idx="1">
                  <c:v>276.41025641025641</c:v>
                </c:pt>
                <c:pt idx="2">
                  <c:v>1815.1282051282051</c:v>
                </c:pt>
                <c:pt idx="3">
                  <c:v>2223.8461538461538</c:v>
                </c:pt>
                <c:pt idx="4">
                  <c:v>2432.5641025641025</c:v>
                </c:pt>
                <c:pt idx="5">
                  <c:v>2991.2820512820513</c:v>
                </c:pt>
                <c:pt idx="6">
                  <c:v>4090</c:v>
                </c:pt>
                <c:pt idx="7">
                  <c:v>4225.1282051282051</c:v>
                </c:pt>
                <c:pt idx="8">
                  <c:v>5099.8461538461543</c:v>
                </c:pt>
                <c:pt idx="9">
                  <c:v>5723.5641025641035</c:v>
                </c:pt>
                <c:pt idx="10">
                  <c:v>5882.2820512820517</c:v>
                </c:pt>
                <c:pt idx="11">
                  <c:v>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0-4F0D-B8F1-D7F5A138F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706415"/>
        <c:axId val="1298703055"/>
      </c:lineChart>
      <c:catAx>
        <c:axId val="129870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703055"/>
        <c:crosses val="autoZero"/>
        <c:auto val="1"/>
        <c:lblAlgn val="ctr"/>
        <c:lblOffset val="100"/>
        <c:noMultiLvlLbl val="0"/>
      </c:catAx>
      <c:valAx>
        <c:axId val="12987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8706415"/>
        <c:crosses val="autoZero"/>
        <c:crossBetween val="between"/>
      </c:valAx>
      <c:valAx>
        <c:axId val="144694158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8847247"/>
        <c:crosses val="max"/>
        <c:crossBetween val="between"/>
      </c:valAx>
      <c:catAx>
        <c:axId val="1098847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446941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695324</xdr:colOff>
      <xdr:row>32</xdr:row>
      <xdr:rowOff>158750</xdr:rowOff>
    </xdr:from>
    <xdr:to>
      <xdr:col>15</xdr:col>
      <xdr:colOff>406399</xdr:colOff>
      <xdr:row>51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5D8AC5-6F78-4370-A681-051BDCE1D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695324</xdr:colOff>
      <xdr:row>31</xdr:row>
      <xdr:rowOff>158750</xdr:rowOff>
    </xdr:from>
    <xdr:to>
      <xdr:col>15</xdr:col>
      <xdr:colOff>406399</xdr:colOff>
      <xdr:row>50</xdr:row>
      <xdr:rowOff>139700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96FC6B4-C6F0-1B89-69B1-B832641E2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8</xdr:row>
      <xdr:rowOff>96345</xdr:rowOff>
    </xdr:from>
    <xdr:to>
      <xdr:col>9</xdr:col>
      <xdr:colOff>135758</xdr:colOff>
      <xdr:row>8</xdr:row>
      <xdr:rowOff>101600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74AC67A6-1667-6AC6-8334-0323989B9A83}"/>
            </a:ext>
          </a:extLst>
        </xdr:cNvPr>
        <xdr:cNvCxnSpPr/>
      </xdr:nvCxnSpPr>
      <xdr:spPr>
        <a:xfrm flipV="1">
          <a:off x="5266997" y="1594069"/>
          <a:ext cx="566244" cy="52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25248</xdr:colOff>
      <xdr:row>0</xdr:row>
      <xdr:rowOff>0</xdr:rowOff>
    </xdr:from>
    <xdr:to>
      <xdr:col>93</xdr:col>
      <xdr:colOff>111939</xdr:colOff>
      <xdr:row>0</xdr:row>
      <xdr:rowOff>155376</xdr:rowOff>
    </xdr:to>
    <xdr:sp macro="" textlink="">
      <xdr:nvSpPr>
        <xdr:cNvPr id="2" name="ZoneTexte 35">
          <a:extLst>
            <a:ext uri="{FF2B5EF4-FFF2-40B4-BE49-F238E27FC236}">
              <a16:creationId xmlns:a16="http://schemas.microsoft.com/office/drawing/2014/main" id="{5C229A35-5314-4972-A413-52408BBE754D}"/>
            </a:ext>
          </a:extLst>
        </xdr:cNvPr>
        <xdr:cNvSpPr txBox="1"/>
      </xdr:nvSpPr>
      <xdr:spPr bwMode="gray">
        <a:xfrm>
          <a:off x="31930188" y="0"/>
          <a:ext cx="319101" cy="155376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Jun. 27</a:t>
          </a:r>
        </a:p>
      </xdr:txBody>
    </xdr:sp>
    <xdr:clientData/>
  </xdr:twoCellAnchor>
  <xdr:twoCellAnchor>
    <xdr:from>
      <xdr:col>104</xdr:col>
      <xdr:colOff>217890</xdr:colOff>
      <xdr:row>4</xdr:row>
      <xdr:rowOff>336122</xdr:rowOff>
    </xdr:from>
    <xdr:to>
      <xdr:col>105</xdr:col>
      <xdr:colOff>183127</xdr:colOff>
      <xdr:row>4</xdr:row>
      <xdr:rowOff>483159</xdr:rowOff>
    </xdr:to>
    <xdr:sp macro="" textlink="">
      <xdr:nvSpPr>
        <xdr:cNvPr id="3" name="Text Placeholder 371">
          <a:extLst>
            <a:ext uri="{FF2B5EF4-FFF2-40B4-BE49-F238E27FC236}">
              <a16:creationId xmlns:a16="http://schemas.microsoft.com/office/drawing/2014/main" id="{C0789BA9-9B03-4643-9909-1E8B84602CC4}"/>
            </a:ext>
          </a:extLst>
        </xdr:cNvPr>
        <xdr:cNvSpPr>
          <a:spLocks noGrp="1"/>
        </xdr:cNvSpPr>
      </xdr:nvSpPr>
      <xdr:spPr bwMode="auto">
        <a:xfrm>
          <a:off x="34867935" y="1067642"/>
          <a:ext cx="193837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G3</a:t>
          </a:r>
        </a:p>
      </xdr:txBody>
    </xdr:sp>
    <xdr:clientData/>
  </xdr:twoCellAnchor>
  <xdr:twoCellAnchor>
    <xdr:from>
      <xdr:col>105</xdr:col>
      <xdr:colOff>197785</xdr:colOff>
      <xdr:row>4</xdr:row>
      <xdr:rowOff>358257</xdr:rowOff>
    </xdr:from>
    <xdr:to>
      <xdr:col>106</xdr:col>
      <xdr:colOff>52272</xdr:colOff>
      <xdr:row>4</xdr:row>
      <xdr:rowOff>450218</xdr:rowOff>
    </xdr:to>
    <xdr:sp macro="" textlink="">
      <xdr:nvSpPr>
        <xdr:cNvPr id="4" name="Losange 3">
          <a:extLst>
            <a:ext uri="{FF2B5EF4-FFF2-40B4-BE49-F238E27FC236}">
              <a16:creationId xmlns:a16="http://schemas.microsoft.com/office/drawing/2014/main" id="{DF8B4023-F8A9-4B9B-A823-DCBA7EAE7FAA}"/>
            </a:ext>
          </a:extLst>
        </xdr:cNvPr>
        <xdr:cNvSpPr/>
      </xdr:nvSpPr>
      <xdr:spPr bwMode="gray">
        <a:xfrm>
          <a:off x="35080240" y="1095492"/>
          <a:ext cx="84992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106</xdr:col>
      <xdr:colOff>46772</xdr:colOff>
      <xdr:row>4</xdr:row>
      <xdr:rowOff>189064</xdr:rowOff>
    </xdr:from>
    <xdr:to>
      <xdr:col>107</xdr:col>
      <xdr:colOff>141687</xdr:colOff>
      <xdr:row>4</xdr:row>
      <xdr:rowOff>338733</xdr:rowOff>
    </xdr:to>
    <xdr:sp macro="" textlink="">
      <xdr:nvSpPr>
        <xdr:cNvPr id="5" name="ZoneTexte 156">
          <a:extLst>
            <a:ext uri="{FF2B5EF4-FFF2-40B4-BE49-F238E27FC236}">
              <a16:creationId xmlns:a16="http://schemas.microsoft.com/office/drawing/2014/main" id="{D6E597BD-5755-4743-9659-236B26E0C2E0}"/>
            </a:ext>
          </a:extLst>
        </xdr:cNvPr>
        <xdr:cNvSpPr txBox="1"/>
      </xdr:nvSpPr>
      <xdr:spPr bwMode="gray">
        <a:xfrm>
          <a:off x="35157827" y="922489"/>
          <a:ext cx="319705" cy="14776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Sep. 27</a:t>
          </a:r>
        </a:p>
      </xdr:txBody>
    </xdr:sp>
    <xdr:clientData/>
  </xdr:twoCellAnchor>
  <xdr:twoCellAnchor>
    <xdr:from>
      <xdr:col>99</xdr:col>
      <xdr:colOff>86138</xdr:colOff>
      <xdr:row>4</xdr:row>
      <xdr:rowOff>567420</xdr:rowOff>
    </xdr:from>
    <xdr:to>
      <xdr:col>106</xdr:col>
      <xdr:colOff>46973</xdr:colOff>
      <xdr:row>4</xdr:row>
      <xdr:rowOff>843645</xdr:rowOff>
    </xdr:to>
    <xdr:sp macro="" textlink="">
      <xdr:nvSpPr>
        <xdr:cNvPr id="6" name="Text Placeholder 3114">
          <a:extLst>
            <a:ext uri="{FF2B5EF4-FFF2-40B4-BE49-F238E27FC236}">
              <a16:creationId xmlns:a16="http://schemas.microsoft.com/office/drawing/2014/main" id="{F5B81638-BBF2-4403-B75B-ACF9FE015EC0}"/>
            </a:ext>
          </a:extLst>
        </xdr:cNvPr>
        <xdr:cNvSpPr>
          <a:spLocks noGrp="1"/>
        </xdr:cNvSpPr>
      </xdr:nvSpPr>
      <xdr:spPr bwMode="auto">
        <a:xfrm>
          <a:off x="33596993" y="1298940"/>
          <a:ext cx="1561035" cy="280035"/>
        </a:xfrm>
        <a:prstGeom prst="rect">
          <a:avLst/>
        </a:prstGeom>
        <a:solidFill>
          <a:schemeClr val="bg1"/>
        </a:solidFill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r" defTabSz="685800">
            <a:lnSpc>
              <a:spcPct val="100000"/>
            </a:lnSpc>
            <a:spcBef>
              <a:spcPct val="0"/>
            </a:spcBef>
            <a:spcAft>
              <a:spcPct val="0"/>
            </a:spcAft>
            <a:defRPr/>
          </a:pPr>
          <a:r>
            <a:rPr lang="en-US" sz="800">
              <a:solidFill>
                <a:srgbClr val="404040"/>
              </a:solidFill>
              <a:cs typeface="Arial"/>
            </a:rPr>
            <a:t>(Preliminary Design Release)</a:t>
          </a:r>
          <a:r>
            <a:rPr lang="en-US" sz="1000" b="1">
              <a:solidFill>
                <a:srgbClr val="404040"/>
              </a:solidFill>
              <a:cs typeface="Arial"/>
            </a:rPr>
            <a:t> </a:t>
          </a:r>
          <a:r>
            <a:rPr lang="en-US" sz="825" b="1">
              <a:solidFill>
                <a:srgbClr val="404040"/>
              </a:solidFill>
              <a:latin typeface="Arial Narrow"/>
              <a:cs typeface="Arial"/>
            </a:rPr>
            <a:t>PDR</a:t>
          </a:r>
        </a:p>
      </xdr:txBody>
    </xdr:sp>
    <xdr:clientData/>
  </xdr:twoCellAnchor>
  <xdr:twoCellAnchor>
    <xdr:from>
      <xdr:col>105</xdr:col>
      <xdr:colOff>168560</xdr:colOff>
      <xdr:row>4</xdr:row>
      <xdr:rowOff>430695</xdr:rowOff>
    </xdr:from>
    <xdr:to>
      <xdr:col>107</xdr:col>
      <xdr:colOff>33122</xdr:colOff>
      <xdr:row>4</xdr:row>
      <xdr:rowOff>586071</xdr:rowOff>
    </xdr:to>
    <xdr:sp macro="" textlink="">
      <xdr:nvSpPr>
        <xdr:cNvPr id="7" name="ZoneTexte 38">
          <a:extLst>
            <a:ext uri="{FF2B5EF4-FFF2-40B4-BE49-F238E27FC236}">
              <a16:creationId xmlns:a16="http://schemas.microsoft.com/office/drawing/2014/main" id="{A80D1E69-E2B4-485F-AFE4-2AC6B741F871}"/>
            </a:ext>
          </a:extLst>
        </xdr:cNvPr>
        <xdr:cNvSpPr txBox="1"/>
      </xdr:nvSpPr>
      <xdr:spPr bwMode="gray">
        <a:xfrm>
          <a:off x="35052920" y="1167930"/>
          <a:ext cx="316047" cy="155376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Sep. 27</a:t>
          </a:r>
        </a:p>
      </xdr:txBody>
    </xdr:sp>
    <xdr:clientData/>
  </xdr:twoCellAnchor>
  <xdr:twoCellAnchor>
    <xdr:from>
      <xdr:col>106</xdr:col>
      <xdr:colOff>57641</xdr:colOff>
      <xdr:row>4</xdr:row>
      <xdr:rowOff>578953</xdr:rowOff>
    </xdr:from>
    <xdr:to>
      <xdr:col>106</xdr:col>
      <xdr:colOff>144041</xdr:colOff>
      <xdr:row>4</xdr:row>
      <xdr:rowOff>664678</xdr:rowOff>
    </xdr:to>
    <xdr:sp macro="" textlink="">
      <xdr:nvSpPr>
        <xdr:cNvPr id="8" name="Diamond 461133">
          <a:extLst>
            <a:ext uri="{FF2B5EF4-FFF2-40B4-BE49-F238E27FC236}">
              <a16:creationId xmlns:a16="http://schemas.microsoft.com/office/drawing/2014/main" id="{F54287E7-AA84-49CF-BC19-91CE336D3564}"/>
            </a:ext>
          </a:extLst>
        </xdr:cNvPr>
        <xdr:cNvSpPr/>
      </xdr:nvSpPr>
      <xdr:spPr bwMode="gray">
        <a:xfrm>
          <a:off x="35162981" y="1314283"/>
          <a:ext cx="88305" cy="87630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183</xdr:col>
      <xdr:colOff>8707</xdr:colOff>
      <xdr:row>4</xdr:row>
      <xdr:rowOff>651921</xdr:rowOff>
    </xdr:from>
    <xdr:to>
      <xdr:col>183</xdr:col>
      <xdr:colOff>206636</xdr:colOff>
      <xdr:row>4</xdr:row>
      <xdr:rowOff>792722</xdr:rowOff>
    </xdr:to>
    <xdr:sp macro="" textlink="">
      <xdr:nvSpPr>
        <xdr:cNvPr id="9" name="Text Placeholder 371">
          <a:extLst>
            <a:ext uri="{FF2B5EF4-FFF2-40B4-BE49-F238E27FC236}">
              <a16:creationId xmlns:a16="http://schemas.microsoft.com/office/drawing/2014/main" id="{7DE4FA6E-C555-4826-AA65-FC7452D68058}"/>
            </a:ext>
          </a:extLst>
        </xdr:cNvPr>
        <xdr:cNvSpPr>
          <a:spLocks noGrp="1"/>
        </xdr:cNvSpPr>
      </xdr:nvSpPr>
      <xdr:spPr bwMode="auto">
        <a:xfrm>
          <a:off x="52721962" y="1387251"/>
          <a:ext cx="199834" cy="136991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solidFill>
                <a:schemeClr val="bg1">
                  <a:lumMod val="75000"/>
                </a:schemeClr>
              </a:solidFill>
              <a:latin typeface="Arial Narrow"/>
              <a:cs typeface="Arial"/>
            </a:rPr>
            <a:t>G5</a:t>
          </a:r>
        </a:p>
      </xdr:txBody>
    </xdr:sp>
    <xdr:clientData/>
  </xdr:twoCellAnchor>
  <xdr:twoCellAnchor>
    <xdr:from>
      <xdr:col>196</xdr:col>
      <xdr:colOff>1886</xdr:colOff>
      <xdr:row>4</xdr:row>
      <xdr:rowOff>651916</xdr:rowOff>
    </xdr:from>
    <xdr:to>
      <xdr:col>197</xdr:col>
      <xdr:colOff>26697</xdr:colOff>
      <xdr:row>4</xdr:row>
      <xdr:rowOff>795659</xdr:rowOff>
    </xdr:to>
    <xdr:sp macro="" textlink="">
      <xdr:nvSpPr>
        <xdr:cNvPr id="10" name="Text Placeholder 356">
          <a:extLst>
            <a:ext uri="{FF2B5EF4-FFF2-40B4-BE49-F238E27FC236}">
              <a16:creationId xmlns:a16="http://schemas.microsoft.com/office/drawing/2014/main" id="{3612C2CD-4F5E-4FCB-A682-520C980981A3}"/>
            </a:ext>
          </a:extLst>
        </xdr:cNvPr>
        <xdr:cNvSpPr>
          <a:spLocks noGrp="1"/>
        </xdr:cNvSpPr>
      </xdr:nvSpPr>
      <xdr:spPr bwMode="auto">
        <a:xfrm>
          <a:off x="55685036" y="1387246"/>
          <a:ext cx="251506" cy="139933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solidFill>
                <a:schemeClr val="bg1">
                  <a:lumMod val="75000"/>
                </a:schemeClr>
              </a:solidFill>
              <a:latin typeface="Arial Narrow"/>
              <a:cs typeface="Arial"/>
            </a:rPr>
            <a:t>G6</a:t>
          </a:r>
        </a:p>
      </xdr:txBody>
    </xdr:sp>
    <xdr:clientData/>
  </xdr:twoCellAnchor>
  <xdr:twoCellAnchor>
    <xdr:from>
      <xdr:col>54</xdr:col>
      <xdr:colOff>0</xdr:colOff>
      <xdr:row>43</xdr:row>
      <xdr:rowOff>66888</xdr:rowOff>
    </xdr:from>
    <xdr:to>
      <xdr:col>54</xdr:col>
      <xdr:colOff>220341</xdr:colOff>
      <xdr:row>43</xdr:row>
      <xdr:rowOff>213925</xdr:rowOff>
    </xdr:to>
    <xdr:sp macro="" textlink="">
      <xdr:nvSpPr>
        <xdr:cNvPr id="11" name="Text Placeholder 371">
          <a:extLst>
            <a:ext uri="{FF2B5EF4-FFF2-40B4-BE49-F238E27FC236}">
              <a16:creationId xmlns:a16="http://schemas.microsoft.com/office/drawing/2014/main" id="{B8F4C5F2-6E83-451D-964C-5C6CF8DD8B13}"/>
            </a:ext>
          </a:extLst>
        </xdr:cNvPr>
        <xdr:cNvSpPr>
          <a:spLocks noGrp="1"/>
        </xdr:cNvSpPr>
      </xdr:nvSpPr>
      <xdr:spPr bwMode="auto">
        <a:xfrm>
          <a:off x="23221950" y="11218758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G2</a:t>
          </a:r>
        </a:p>
      </xdr:txBody>
    </xdr:sp>
    <xdr:clientData/>
  </xdr:twoCellAnchor>
  <xdr:twoCellAnchor>
    <xdr:from>
      <xdr:col>55</xdr:col>
      <xdr:colOff>6399</xdr:colOff>
      <xdr:row>43</xdr:row>
      <xdr:rowOff>89023</xdr:rowOff>
    </xdr:from>
    <xdr:to>
      <xdr:col>55</xdr:col>
      <xdr:colOff>92799</xdr:colOff>
      <xdr:row>43</xdr:row>
      <xdr:rowOff>180984</xdr:rowOff>
    </xdr:to>
    <xdr:sp macro="" textlink="">
      <xdr:nvSpPr>
        <xdr:cNvPr id="12" name="Losange 11">
          <a:extLst>
            <a:ext uri="{FF2B5EF4-FFF2-40B4-BE49-F238E27FC236}">
              <a16:creationId xmlns:a16="http://schemas.microsoft.com/office/drawing/2014/main" id="{42D4B87E-4686-4F1F-B4B7-4844C9424855}"/>
            </a:ext>
          </a:extLst>
        </xdr:cNvPr>
        <xdr:cNvSpPr/>
      </xdr:nvSpPr>
      <xdr:spPr bwMode="gray">
        <a:xfrm>
          <a:off x="23458854" y="11246608"/>
          <a:ext cx="8830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147</xdr:col>
      <xdr:colOff>224377</xdr:colOff>
      <xdr:row>43</xdr:row>
      <xdr:rowOff>133350</xdr:rowOff>
    </xdr:from>
    <xdr:to>
      <xdr:col>149</xdr:col>
      <xdr:colOff>140388</xdr:colOff>
      <xdr:row>43</xdr:row>
      <xdr:rowOff>286004</xdr:rowOff>
    </xdr:to>
    <xdr:sp macro="" textlink="">
      <xdr:nvSpPr>
        <xdr:cNvPr id="13" name="ZoneTexte 156">
          <a:extLst>
            <a:ext uri="{FF2B5EF4-FFF2-40B4-BE49-F238E27FC236}">
              <a16:creationId xmlns:a16="http://schemas.microsoft.com/office/drawing/2014/main" id="{613D7108-B855-4020-9472-5BC61E7EB731}"/>
            </a:ext>
          </a:extLst>
        </xdr:cNvPr>
        <xdr:cNvSpPr txBox="1"/>
      </xdr:nvSpPr>
      <xdr:spPr bwMode="gray">
        <a:xfrm>
          <a:off x="44704222" y="11283315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July. 28</a:t>
          </a:r>
        </a:p>
      </xdr:txBody>
    </xdr:sp>
    <xdr:clientData/>
  </xdr:twoCellAnchor>
  <xdr:twoCellAnchor>
    <xdr:from>
      <xdr:col>146</xdr:col>
      <xdr:colOff>123825</xdr:colOff>
      <xdr:row>43</xdr:row>
      <xdr:rowOff>200238</xdr:rowOff>
    </xdr:from>
    <xdr:to>
      <xdr:col>147</xdr:col>
      <xdr:colOff>115566</xdr:colOff>
      <xdr:row>43</xdr:row>
      <xdr:rowOff>347275</xdr:rowOff>
    </xdr:to>
    <xdr:sp macro="" textlink="">
      <xdr:nvSpPr>
        <xdr:cNvPr id="14" name="Text Placeholder 371">
          <a:extLst>
            <a:ext uri="{FF2B5EF4-FFF2-40B4-BE49-F238E27FC236}">
              <a16:creationId xmlns:a16="http://schemas.microsoft.com/office/drawing/2014/main" id="{CA34AE40-94D1-4342-BE9B-6FC8065C5A99}"/>
            </a:ext>
          </a:extLst>
        </xdr:cNvPr>
        <xdr:cNvSpPr>
          <a:spLocks noGrp="1"/>
        </xdr:cNvSpPr>
      </xdr:nvSpPr>
      <xdr:spPr bwMode="auto">
        <a:xfrm>
          <a:off x="44378880" y="11355918"/>
          <a:ext cx="218436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G3</a:t>
          </a:r>
        </a:p>
      </xdr:txBody>
    </xdr:sp>
    <xdr:clientData/>
  </xdr:twoCellAnchor>
  <xdr:twoCellAnchor>
    <xdr:from>
      <xdr:col>147</xdr:col>
      <xdr:colOff>130224</xdr:colOff>
      <xdr:row>43</xdr:row>
      <xdr:rowOff>222373</xdr:rowOff>
    </xdr:from>
    <xdr:to>
      <xdr:col>147</xdr:col>
      <xdr:colOff>216624</xdr:colOff>
      <xdr:row>43</xdr:row>
      <xdr:rowOff>314334</xdr:rowOff>
    </xdr:to>
    <xdr:sp macro="" textlink="">
      <xdr:nvSpPr>
        <xdr:cNvPr id="15" name="Losange 8">
          <a:extLst>
            <a:ext uri="{FF2B5EF4-FFF2-40B4-BE49-F238E27FC236}">
              <a16:creationId xmlns:a16="http://schemas.microsoft.com/office/drawing/2014/main" id="{12D9E542-4EC9-46D5-B627-634DA6222EE5}"/>
            </a:ext>
          </a:extLst>
        </xdr:cNvPr>
        <xdr:cNvSpPr/>
      </xdr:nvSpPr>
      <xdr:spPr bwMode="gray">
        <a:xfrm>
          <a:off x="44615784" y="11374243"/>
          <a:ext cx="78780" cy="95771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273</xdr:col>
      <xdr:colOff>219085</xdr:colOff>
      <xdr:row>43</xdr:row>
      <xdr:rowOff>186267</xdr:rowOff>
    </xdr:from>
    <xdr:to>
      <xdr:col>275</xdr:col>
      <xdr:colOff>135096</xdr:colOff>
      <xdr:row>43</xdr:row>
      <xdr:rowOff>338921</xdr:rowOff>
    </xdr:to>
    <xdr:sp macro="" textlink="">
      <xdr:nvSpPr>
        <xdr:cNvPr id="16" name="ZoneTexte 156">
          <a:extLst>
            <a:ext uri="{FF2B5EF4-FFF2-40B4-BE49-F238E27FC236}">
              <a16:creationId xmlns:a16="http://schemas.microsoft.com/office/drawing/2014/main" id="{90EF4325-E301-4414-B613-B143D56C9623}"/>
            </a:ext>
          </a:extLst>
        </xdr:cNvPr>
        <xdr:cNvSpPr txBox="1"/>
      </xdr:nvSpPr>
      <xdr:spPr bwMode="gray">
        <a:xfrm>
          <a:off x="73502530" y="11338137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Dec 30</a:t>
          </a:r>
        </a:p>
      </xdr:txBody>
    </xdr:sp>
    <xdr:clientData/>
  </xdr:twoCellAnchor>
  <xdr:twoCellAnchor>
    <xdr:from>
      <xdr:col>272</xdr:col>
      <xdr:colOff>118533</xdr:colOff>
      <xdr:row>43</xdr:row>
      <xdr:rowOff>253155</xdr:rowOff>
    </xdr:from>
    <xdr:to>
      <xdr:col>273</xdr:col>
      <xdr:colOff>110274</xdr:colOff>
      <xdr:row>43</xdr:row>
      <xdr:rowOff>400192</xdr:rowOff>
    </xdr:to>
    <xdr:sp macro="" textlink="">
      <xdr:nvSpPr>
        <xdr:cNvPr id="17" name="Text Placeholder 371">
          <a:extLst>
            <a:ext uri="{FF2B5EF4-FFF2-40B4-BE49-F238E27FC236}">
              <a16:creationId xmlns:a16="http://schemas.microsoft.com/office/drawing/2014/main" id="{0644E9B9-F830-4998-B76E-915B7C18277A}"/>
            </a:ext>
          </a:extLst>
        </xdr:cNvPr>
        <xdr:cNvSpPr>
          <a:spLocks noGrp="1"/>
        </xdr:cNvSpPr>
      </xdr:nvSpPr>
      <xdr:spPr bwMode="auto">
        <a:xfrm>
          <a:off x="73177188" y="11403120"/>
          <a:ext cx="216531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G5</a:t>
          </a:r>
        </a:p>
      </xdr:txBody>
    </xdr:sp>
    <xdr:clientData/>
  </xdr:twoCellAnchor>
  <xdr:twoCellAnchor>
    <xdr:from>
      <xdr:col>273</xdr:col>
      <xdr:colOff>124932</xdr:colOff>
      <xdr:row>43</xdr:row>
      <xdr:rowOff>275290</xdr:rowOff>
    </xdr:from>
    <xdr:to>
      <xdr:col>273</xdr:col>
      <xdr:colOff>211332</xdr:colOff>
      <xdr:row>43</xdr:row>
      <xdr:rowOff>367251</xdr:rowOff>
    </xdr:to>
    <xdr:sp macro="" textlink="">
      <xdr:nvSpPr>
        <xdr:cNvPr id="18" name="Losange 14">
          <a:extLst>
            <a:ext uri="{FF2B5EF4-FFF2-40B4-BE49-F238E27FC236}">
              <a16:creationId xmlns:a16="http://schemas.microsoft.com/office/drawing/2014/main" id="{1A2B0619-DF02-4BD4-A0E2-0CC73D362BCA}"/>
            </a:ext>
          </a:extLst>
        </xdr:cNvPr>
        <xdr:cNvSpPr/>
      </xdr:nvSpPr>
      <xdr:spPr bwMode="gray">
        <a:xfrm>
          <a:off x="73412187" y="11430970"/>
          <a:ext cx="8068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301</xdr:col>
      <xdr:colOff>24352</xdr:colOff>
      <xdr:row>43</xdr:row>
      <xdr:rowOff>152400</xdr:rowOff>
    </xdr:from>
    <xdr:to>
      <xdr:col>302</xdr:col>
      <xdr:colOff>168963</xdr:colOff>
      <xdr:row>43</xdr:row>
      <xdr:rowOff>305054</xdr:rowOff>
    </xdr:to>
    <xdr:sp macro="" textlink="">
      <xdr:nvSpPr>
        <xdr:cNvPr id="19" name="ZoneTexte 156">
          <a:extLst>
            <a:ext uri="{FF2B5EF4-FFF2-40B4-BE49-F238E27FC236}">
              <a16:creationId xmlns:a16="http://schemas.microsoft.com/office/drawing/2014/main" id="{CF147F55-D72E-4FB8-80A1-7D5A83E95E47}"/>
            </a:ext>
          </a:extLst>
        </xdr:cNvPr>
        <xdr:cNvSpPr txBox="1"/>
      </xdr:nvSpPr>
      <xdr:spPr bwMode="gray">
        <a:xfrm>
          <a:off x="79706692" y="11306175"/>
          <a:ext cx="380831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June. 31</a:t>
          </a:r>
        </a:p>
      </xdr:txBody>
    </xdr:sp>
    <xdr:clientData/>
  </xdr:twoCellAnchor>
  <xdr:twoCellAnchor>
    <xdr:from>
      <xdr:col>299</xdr:col>
      <xdr:colOff>152400</xdr:colOff>
      <xdr:row>43</xdr:row>
      <xdr:rowOff>219288</xdr:rowOff>
    </xdr:from>
    <xdr:to>
      <xdr:col>300</xdr:col>
      <xdr:colOff>144141</xdr:colOff>
      <xdr:row>43</xdr:row>
      <xdr:rowOff>366325</xdr:rowOff>
    </xdr:to>
    <xdr:sp macro="" textlink="">
      <xdr:nvSpPr>
        <xdr:cNvPr id="20" name="Text Placeholder 371">
          <a:extLst>
            <a:ext uri="{FF2B5EF4-FFF2-40B4-BE49-F238E27FC236}">
              <a16:creationId xmlns:a16="http://schemas.microsoft.com/office/drawing/2014/main" id="{D103AF64-B763-4C18-B7B2-9E35446F68B7}"/>
            </a:ext>
          </a:extLst>
        </xdr:cNvPr>
        <xdr:cNvSpPr>
          <a:spLocks noGrp="1"/>
        </xdr:cNvSpPr>
      </xdr:nvSpPr>
      <xdr:spPr bwMode="auto">
        <a:xfrm>
          <a:off x="79381350" y="11371158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G6</a:t>
          </a:r>
        </a:p>
      </xdr:txBody>
    </xdr:sp>
    <xdr:clientData/>
  </xdr:twoCellAnchor>
  <xdr:twoCellAnchor>
    <xdr:from>
      <xdr:col>300</xdr:col>
      <xdr:colOff>158799</xdr:colOff>
      <xdr:row>43</xdr:row>
      <xdr:rowOff>241423</xdr:rowOff>
    </xdr:from>
    <xdr:to>
      <xdr:col>301</xdr:col>
      <xdr:colOff>16599</xdr:colOff>
      <xdr:row>43</xdr:row>
      <xdr:rowOff>333384</xdr:rowOff>
    </xdr:to>
    <xdr:sp macro="" textlink="">
      <xdr:nvSpPr>
        <xdr:cNvPr id="21" name="Losange 17">
          <a:extLst>
            <a:ext uri="{FF2B5EF4-FFF2-40B4-BE49-F238E27FC236}">
              <a16:creationId xmlns:a16="http://schemas.microsoft.com/office/drawing/2014/main" id="{6AEC0B2C-CB24-458D-8542-8027985CEC9F}"/>
            </a:ext>
          </a:extLst>
        </xdr:cNvPr>
        <xdr:cNvSpPr/>
      </xdr:nvSpPr>
      <xdr:spPr bwMode="gray">
        <a:xfrm>
          <a:off x="79618254" y="11399008"/>
          <a:ext cx="8830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257</xdr:col>
      <xdr:colOff>167640</xdr:colOff>
      <xdr:row>43</xdr:row>
      <xdr:rowOff>85725</xdr:rowOff>
    </xdr:from>
    <xdr:to>
      <xdr:col>272</xdr:col>
      <xdr:colOff>142875</xdr:colOff>
      <xdr:row>43</xdr:row>
      <xdr:rowOff>259080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48C8531-4CD5-416F-B013-2BB07CFDDDB2}"/>
            </a:ext>
          </a:extLst>
        </xdr:cNvPr>
        <xdr:cNvSpPr/>
      </xdr:nvSpPr>
      <xdr:spPr>
        <a:xfrm>
          <a:off x="69799200" y="11241405"/>
          <a:ext cx="3398520" cy="1695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1"/>
          </a:solidFill>
        </a:ln>
      </xdr:spPr>
      <xdr:txBody>
        <a:bodyPr wrap="square" rtlCol="0" anchor="ctr" anchorCtr="0"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342892">
            <a:lnSpc>
              <a:spcPct val="90000"/>
            </a:lnSpc>
            <a:spcBef>
              <a:spcPts val="375"/>
            </a:spcBef>
          </a:pPr>
          <a:endParaRPr lang="en-US" sz="800" b="1">
            <a:solidFill>
              <a:srgbClr val="2C2926"/>
            </a:solidFill>
            <a:latin typeface="Gill Sans MT" panose="020B0502020104020203" pitchFamily="34" charset="77"/>
          </a:endParaRPr>
        </a:p>
      </xdr:txBody>
    </xdr:sp>
    <xdr:clientData/>
  </xdr:twoCellAnchor>
  <xdr:twoCellAnchor>
    <xdr:from>
      <xdr:col>255</xdr:col>
      <xdr:colOff>131146</xdr:colOff>
      <xdr:row>43</xdr:row>
      <xdr:rowOff>32535</xdr:rowOff>
    </xdr:from>
    <xdr:to>
      <xdr:col>272</xdr:col>
      <xdr:colOff>129949</xdr:colOff>
      <xdr:row>43</xdr:row>
      <xdr:rowOff>281001</xdr:rowOff>
    </xdr:to>
    <xdr:sp macro="" textlink="">
      <xdr:nvSpPr>
        <xdr:cNvPr id="23" name="ZoneTexte 262">
          <a:extLst>
            <a:ext uri="{FF2B5EF4-FFF2-40B4-BE49-F238E27FC236}">
              <a16:creationId xmlns:a16="http://schemas.microsoft.com/office/drawing/2014/main" id="{2AE50753-1F20-4ADA-94B8-680D4B3B7A24}"/>
            </a:ext>
          </a:extLst>
        </xdr:cNvPr>
        <xdr:cNvSpPr txBox="1"/>
      </xdr:nvSpPr>
      <xdr:spPr>
        <a:xfrm>
          <a:off x="69305506" y="11184405"/>
          <a:ext cx="3885003" cy="2541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354"/>
          <a:r>
            <a:rPr lang="en-GB" sz="1050">
              <a:solidFill>
                <a:srgbClr val="2C2926"/>
              </a:solidFill>
              <a:latin typeface="Gill Sans MT" panose="020B0502020104020203"/>
            </a:rPr>
            <a:t>PBuild</a:t>
          </a:r>
        </a:p>
      </xdr:txBody>
    </xdr:sp>
    <xdr:clientData/>
  </xdr:twoCellAnchor>
  <xdr:twoCellAnchor>
    <xdr:from>
      <xdr:col>231</xdr:col>
      <xdr:colOff>157702</xdr:colOff>
      <xdr:row>7</xdr:row>
      <xdr:rowOff>0</xdr:rowOff>
    </xdr:from>
    <xdr:to>
      <xdr:col>233</xdr:col>
      <xdr:colOff>73713</xdr:colOff>
      <xdr:row>43</xdr:row>
      <xdr:rowOff>152654</xdr:rowOff>
    </xdr:to>
    <xdr:sp macro="" textlink="">
      <xdr:nvSpPr>
        <xdr:cNvPr id="24" name="ZoneTexte 156">
          <a:extLst>
            <a:ext uri="{FF2B5EF4-FFF2-40B4-BE49-F238E27FC236}">
              <a16:creationId xmlns:a16="http://schemas.microsoft.com/office/drawing/2014/main" id="{9C373C12-2CEA-49DC-8CDC-0165BFE8B728}"/>
            </a:ext>
          </a:extLst>
        </xdr:cNvPr>
        <xdr:cNvSpPr txBox="1"/>
      </xdr:nvSpPr>
      <xdr:spPr bwMode="gray">
        <a:xfrm>
          <a:off x="63843757" y="1962150"/>
          <a:ext cx="371306" cy="9344279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Feb. 30</a:t>
          </a:r>
        </a:p>
      </xdr:txBody>
    </xdr:sp>
    <xdr:clientData/>
  </xdr:twoCellAnchor>
  <xdr:twoCellAnchor>
    <xdr:from>
      <xdr:col>230</xdr:col>
      <xdr:colOff>57150</xdr:colOff>
      <xdr:row>43</xdr:row>
      <xdr:rowOff>66888</xdr:rowOff>
    </xdr:from>
    <xdr:to>
      <xdr:col>231</xdr:col>
      <xdr:colOff>48891</xdr:colOff>
      <xdr:row>43</xdr:row>
      <xdr:rowOff>213925</xdr:rowOff>
    </xdr:to>
    <xdr:sp macro="" textlink="">
      <xdr:nvSpPr>
        <xdr:cNvPr id="25" name="Text Placeholder 371">
          <a:extLst>
            <a:ext uri="{FF2B5EF4-FFF2-40B4-BE49-F238E27FC236}">
              <a16:creationId xmlns:a16="http://schemas.microsoft.com/office/drawing/2014/main" id="{2D32F4EF-575E-4519-B67C-36BF5606171C}"/>
            </a:ext>
          </a:extLst>
        </xdr:cNvPr>
        <xdr:cNvSpPr>
          <a:spLocks noGrp="1"/>
        </xdr:cNvSpPr>
      </xdr:nvSpPr>
      <xdr:spPr bwMode="auto">
        <a:xfrm>
          <a:off x="63508890" y="11218758"/>
          <a:ext cx="22605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G4</a:t>
          </a:r>
        </a:p>
      </xdr:txBody>
    </xdr:sp>
    <xdr:clientData/>
  </xdr:twoCellAnchor>
  <xdr:twoCellAnchor>
    <xdr:from>
      <xdr:col>231</xdr:col>
      <xdr:colOff>63549</xdr:colOff>
      <xdr:row>43</xdr:row>
      <xdr:rowOff>89023</xdr:rowOff>
    </xdr:from>
    <xdr:to>
      <xdr:col>231</xdr:col>
      <xdr:colOff>149949</xdr:colOff>
      <xdr:row>43</xdr:row>
      <xdr:rowOff>180984</xdr:rowOff>
    </xdr:to>
    <xdr:sp macro="" textlink="">
      <xdr:nvSpPr>
        <xdr:cNvPr id="26" name="Losange 25">
          <a:extLst>
            <a:ext uri="{FF2B5EF4-FFF2-40B4-BE49-F238E27FC236}">
              <a16:creationId xmlns:a16="http://schemas.microsoft.com/office/drawing/2014/main" id="{51F4150D-A17C-4FC1-8E64-7E125E96BB8A}"/>
            </a:ext>
          </a:extLst>
        </xdr:cNvPr>
        <xdr:cNvSpPr/>
      </xdr:nvSpPr>
      <xdr:spPr bwMode="gray">
        <a:xfrm>
          <a:off x="63743889" y="11246608"/>
          <a:ext cx="90210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230</xdr:col>
      <xdr:colOff>33863</xdr:colOff>
      <xdr:row>43</xdr:row>
      <xdr:rowOff>370745</xdr:rowOff>
    </xdr:from>
    <xdr:to>
      <xdr:col>231</xdr:col>
      <xdr:colOff>60953</xdr:colOff>
      <xdr:row>43</xdr:row>
      <xdr:rowOff>524934</xdr:rowOff>
    </xdr:to>
    <xdr:sp macro="" textlink="">
      <xdr:nvSpPr>
        <xdr:cNvPr id="27" name="Text Placeholder 3119">
          <a:extLst>
            <a:ext uri="{FF2B5EF4-FFF2-40B4-BE49-F238E27FC236}">
              <a16:creationId xmlns:a16="http://schemas.microsoft.com/office/drawing/2014/main" id="{C92EF14C-8080-4ECD-8A7B-F579FC29B518}"/>
            </a:ext>
          </a:extLst>
        </xdr:cNvPr>
        <xdr:cNvSpPr>
          <a:spLocks noGrp="1"/>
        </xdr:cNvSpPr>
      </xdr:nvSpPr>
      <xdr:spPr bwMode="auto">
        <a:xfrm>
          <a:off x="63487508" y="11522615"/>
          <a:ext cx="253785" cy="154189"/>
        </a:xfrm>
        <a:prstGeom prst="rect">
          <a:avLst/>
        </a:prstGeom>
        <a:solidFill>
          <a:schemeClr val="bg1"/>
        </a:solidFill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r" defTabSz="685800">
            <a:lnSpc>
              <a:spcPct val="100000"/>
            </a:lnSpc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solidFill>
                <a:srgbClr val="404040"/>
              </a:solidFill>
              <a:latin typeface="Arial Narrow"/>
              <a:cs typeface="Arial"/>
            </a:rPr>
            <a:t>ER</a:t>
          </a:r>
        </a:p>
      </xdr:txBody>
    </xdr:sp>
    <xdr:clientData/>
  </xdr:twoCellAnchor>
  <xdr:twoCellAnchor>
    <xdr:from>
      <xdr:col>230</xdr:col>
      <xdr:colOff>209171</xdr:colOff>
      <xdr:row>43</xdr:row>
      <xdr:rowOff>228600</xdr:rowOff>
    </xdr:from>
    <xdr:to>
      <xdr:col>232</xdr:col>
      <xdr:colOff>222196</xdr:colOff>
      <xdr:row>43</xdr:row>
      <xdr:rowOff>383976</xdr:rowOff>
    </xdr:to>
    <xdr:sp macro="" textlink="">
      <xdr:nvSpPr>
        <xdr:cNvPr id="28" name="ZoneTexte 130">
          <a:extLst>
            <a:ext uri="{FF2B5EF4-FFF2-40B4-BE49-F238E27FC236}">
              <a16:creationId xmlns:a16="http://schemas.microsoft.com/office/drawing/2014/main" id="{C5DEC2C3-9D3A-4359-9FE0-88EDAF00BFC6}"/>
            </a:ext>
          </a:extLst>
        </xdr:cNvPr>
        <xdr:cNvSpPr txBox="1"/>
      </xdr:nvSpPr>
      <xdr:spPr bwMode="gray">
        <a:xfrm>
          <a:off x="63668531" y="11382375"/>
          <a:ext cx="464510" cy="155376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Feb. 30</a:t>
          </a:r>
        </a:p>
      </xdr:txBody>
    </xdr:sp>
    <xdr:clientData/>
  </xdr:twoCellAnchor>
  <xdr:twoCellAnchor>
    <xdr:from>
      <xdr:col>231</xdr:col>
      <xdr:colOff>96283</xdr:colOff>
      <xdr:row>43</xdr:row>
      <xdr:rowOff>395936</xdr:rowOff>
    </xdr:from>
    <xdr:to>
      <xdr:col>232</xdr:col>
      <xdr:colOff>30283</xdr:colOff>
      <xdr:row>43</xdr:row>
      <xdr:rowOff>482601</xdr:rowOff>
    </xdr:to>
    <xdr:sp macro="" textlink="">
      <xdr:nvSpPr>
        <xdr:cNvPr id="29" name="Losange 49">
          <a:extLst>
            <a:ext uri="{FF2B5EF4-FFF2-40B4-BE49-F238E27FC236}">
              <a16:creationId xmlns:a16="http://schemas.microsoft.com/office/drawing/2014/main" id="{EBB03B4E-4EC5-4D92-AF8E-BBBDDC077174}"/>
            </a:ext>
          </a:extLst>
        </xdr:cNvPr>
        <xdr:cNvSpPr/>
      </xdr:nvSpPr>
      <xdr:spPr bwMode="gray">
        <a:xfrm>
          <a:off x="63776623" y="11553521"/>
          <a:ext cx="164505" cy="79045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258</xdr:col>
      <xdr:colOff>119743</xdr:colOff>
      <xdr:row>59</xdr:row>
      <xdr:rowOff>253972</xdr:rowOff>
    </xdr:from>
    <xdr:to>
      <xdr:col>273</xdr:col>
      <xdr:colOff>94978</xdr:colOff>
      <xdr:row>59</xdr:row>
      <xdr:rowOff>427327</xdr:rowOff>
    </xdr:to>
    <xdr:sp macro="" textlink="">
      <xdr:nvSpPr>
        <xdr:cNvPr id="30" name="Rectangle 52">
          <a:extLst>
            <a:ext uri="{FF2B5EF4-FFF2-40B4-BE49-F238E27FC236}">
              <a16:creationId xmlns:a16="http://schemas.microsoft.com/office/drawing/2014/main" id="{C585B933-5958-4BF4-8A9B-04DA9B90C625}"/>
            </a:ext>
          </a:extLst>
        </xdr:cNvPr>
        <xdr:cNvSpPr/>
      </xdr:nvSpPr>
      <xdr:spPr>
        <a:xfrm>
          <a:off x="69977998" y="18795337"/>
          <a:ext cx="3406140" cy="1790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1"/>
          </a:solidFill>
        </a:ln>
      </xdr:spPr>
      <xdr:txBody>
        <a:bodyPr wrap="square" rtlCol="0" anchor="ctr" anchorCtr="0"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342892">
            <a:lnSpc>
              <a:spcPct val="90000"/>
            </a:lnSpc>
            <a:spcBef>
              <a:spcPts val="375"/>
            </a:spcBef>
          </a:pPr>
          <a:endParaRPr lang="en-US" sz="800" b="1">
            <a:solidFill>
              <a:srgbClr val="2C2926"/>
            </a:solidFill>
            <a:latin typeface="Gill Sans MT" panose="020B0502020104020203" pitchFamily="34" charset="77"/>
          </a:endParaRPr>
        </a:p>
      </xdr:txBody>
    </xdr:sp>
    <xdr:clientData/>
  </xdr:twoCellAnchor>
  <xdr:twoCellAnchor>
    <xdr:from>
      <xdr:col>257</xdr:col>
      <xdr:colOff>101599</xdr:colOff>
      <xdr:row>59</xdr:row>
      <xdr:rowOff>250371</xdr:rowOff>
    </xdr:from>
    <xdr:to>
      <xdr:col>272</xdr:col>
      <xdr:colOff>97970</xdr:colOff>
      <xdr:row>59</xdr:row>
      <xdr:rowOff>498837</xdr:rowOff>
    </xdr:to>
    <xdr:sp macro="" textlink="">
      <xdr:nvSpPr>
        <xdr:cNvPr id="31" name="ZoneTexte 262">
          <a:extLst>
            <a:ext uri="{FF2B5EF4-FFF2-40B4-BE49-F238E27FC236}">
              <a16:creationId xmlns:a16="http://schemas.microsoft.com/office/drawing/2014/main" id="{51005502-4730-4111-9E30-084F5BE5B72D}"/>
            </a:ext>
          </a:extLst>
        </xdr:cNvPr>
        <xdr:cNvSpPr txBox="1"/>
      </xdr:nvSpPr>
      <xdr:spPr>
        <a:xfrm>
          <a:off x="69725539" y="18791736"/>
          <a:ext cx="3425371" cy="252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1"/>
          </a:solidFill>
        </a:ln>
      </xdr:spPr>
      <xdr:txBody>
        <a:bodyPr wrap="square" rtlCol="0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354"/>
          <a:r>
            <a:rPr lang="en-GB" sz="1050">
              <a:solidFill>
                <a:srgbClr val="2C2926"/>
              </a:solidFill>
              <a:latin typeface="Gill Sans MT" panose="020B0502020104020203"/>
            </a:rPr>
            <a:t>PBuild</a:t>
          </a:r>
        </a:p>
      </xdr:txBody>
    </xdr:sp>
    <xdr:clientData/>
  </xdr:twoCellAnchor>
  <xdr:twoCellAnchor>
    <xdr:from>
      <xdr:col>297</xdr:col>
      <xdr:colOff>66684</xdr:colOff>
      <xdr:row>59</xdr:row>
      <xdr:rowOff>304801</xdr:rowOff>
    </xdr:from>
    <xdr:to>
      <xdr:col>298</xdr:col>
      <xdr:colOff>211295</xdr:colOff>
      <xdr:row>59</xdr:row>
      <xdr:rowOff>457455</xdr:rowOff>
    </xdr:to>
    <xdr:sp macro="" textlink="">
      <xdr:nvSpPr>
        <xdr:cNvPr id="32" name="ZoneTexte 156">
          <a:extLst>
            <a:ext uri="{FF2B5EF4-FFF2-40B4-BE49-F238E27FC236}">
              <a16:creationId xmlns:a16="http://schemas.microsoft.com/office/drawing/2014/main" id="{38AB92AE-1ADE-4315-9DC2-84942BCD1554}"/>
            </a:ext>
          </a:extLst>
        </xdr:cNvPr>
        <xdr:cNvSpPr txBox="1"/>
      </xdr:nvSpPr>
      <xdr:spPr bwMode="gray">
        <a:xfrm>
          <a:off x="78836529" y="18849976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May 31</a:t>
          </a:r>
        </a:p>
      </xdr:txBody>
    </xdr:sp>
    <xdr:clientData/>
  </xdr:twoCellAnchor>
  <xdr:twoCellAnchor>
    <xdr:from>
      <xdr:col>295</xdr:col>
      <xdr:colOff>194732</xdr:colOff>
      <xdr:row>59</xdr:row>
      <xdr:rowOff>371689</xdr:rowOff>
    </xdr:from>
    <xdr:to>
      <xdr:col>296</xdr:col>
      <xdr:colOff>186473</xdr:colOff>
      <xdr:row>59</xdr:row>
      <xdr:rowOff>518726</xdr:rowOff>
    </xdr:to>
    <xdr:sp macro="" textlink="">
      <xdr:nvSpPr>
        <xdr:cNvPr id="33" name="Text Placeholder 371">
          <a:extLst>
            <a:ext uri="{FF2B5EF4-FFF2-40B4-BE49-F238E27FC236}">
              <a16:creationId xmlns:a16="http://schemas.microsoft.com/office/drawing/2014/main" id="{817BC596-BDCF-4AC6-B9F8-8E3FFF81B912}"/>
            </a:ext>
          </a:extLst>
        </xdr:cNvPr>
        <xdr:cNvSpPr>
          <a:spLocks noGrp="1"/>
        </xdr:cNvSpPr>
      </xdr:nvSpPr>
      <xdr:spPr bwMode="auto">
        <a:xfrm>
          <a:off x="78511187" y="18914959"/>
          <a:ext cx="216531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G5</a:t>
          </a:r>
        </a:p>
      </xdr:txBody>
    </xdr:sp>
    <xdr:clientData/>
  </xdr:twoCellAnchor>
  <xdr:twoCellAnchor>
    <xdr:from>
      <xdr:col>296</xdr:col>
      <xdr:colOff>201131</xdr:colOff>
      <xdr:row>59</xdr:row>
      <xdr:rowOff>393824</xdr:rowOff>
    </xdr:from>
    <xdr:to>
      <xdr:col>297</xdr:col>
      <xdr:colOff>58931</xdr:colOff>
      <xdr:row>59</xdr:row>
      <xdr:rowOff>485785</xdr:rowOff>
    </xdr:to>
    <xdr:sp macro="" textlink="">
      <xdr:nvSpPr>
        <xdr:cNvPr id="34" name="Losange 56">
          <a:extLst>
            <a:ext uri="{FF2B5EF4-FFF2-40B4-BE49-F238E27FC236}">
              <a16:creationId xmlns:a16="http://schemas.microsoft.com/office/drawing/2014/main" id="{B3BC8E3C-4A13-44D1-A034-19ED62AEE4E7}"/>
            </a:ext>
          </a:extLst>
        </xdr:cNvPr>
        <xdr:cNvSpPr/>
      </xdr:nvSpPr>
      <xdr:spPr bwMode="gray">
        <a:xfrm>
          <a:off x="78746186" y="18942809"/>
          <a:ext cx="8068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311</xdr:col>
      <xdr:colOff>66684</xdr:colOff>
      <xdr:row>59</xdr:row>
      <xdr:rowOff>262468</xdr:rowOff>
    </xdr:from>
    <xdr:to>
      <xdr:col>312</xdr:col>
      <xdr:colOff>211295</xdr:colOff>
      <xdr:row>59</xdr:row>
      <xdr:rowOff>415122</xdr:rowOff>
    </xdr:to>
    <xdr:sp macro="" textlink="">
      <xdr:nvSpPr>
        <xdr:cNvPr id="35" name="ZoneTexte 156">
          <a:extLst>
            <a:ext uri="{FF2B5EF4-FFF2-40B4-BE49-F238E27FC236}">
              <a16:creationId xmlns:a16="http://schemas.microsoft.com/office/drawing/2014/main" id="{B6A89186-F8AA-4B0C-90B9-F1BC44683CC8}"/>
            </a:ext>
          </a:extLst>
        </xdr:cNvPr>
        <xdr:cNvSpPr txBox="1"/>
      </xdr:nvSpPr>
      <xdr:spPr bwMode="gray">
        <a:xfrm>
          <a:off x="82036929" y="18805738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Aug 31</a:t>
          </a:r>
        </a:p>
      </xdr:txBody>
    </xdr:sp>
    <xdr:clientData/>
  </xdr:twoCellAnchor>
  <xdr:twoCellAnchor>
    <xdr:from>
      <xdr:col>309</xdr:col>
      <xdr:colOff>194732</xdr:colOff>
      <xdr:row>59</xdr:row>
      <xdr:rowOff>329356</xdr:rowOff>
    </xdr:from>
    <xdr:to>
      <xdr:col>310</xdr:col>
      <xdr:colOff>186473</xdr:colOff>
      <xdr:row>59</xdr:row>
      <xdr:rowOff>476393</xdr:rowOff>
    </xdr:to>
    <xdr:sp macro="" textlink="">
      <xdr:nvSpPr>
        <xdr:cNvPr id="36" name="Text Placeholder 371">
          <a:extLst>
            <a:ext uri="{FF2B5EF4-FFF2-40B4-BE49-F238E27FC236}">
              <a16:creationId xmlns:a16="http://schemas.microsoft.com/office/drawing/2014/main" id="{62B796E7-69A4-4C73-B3B5-CF8A57F29EAB}"/>
            </a:ext>
          </a:extLst>
        </xdr:cNvPr>
        <xdr:cNvSpPr>
          <a:spLocks noGrp="1"/>
        </xdr:cNvSpPr>
      </xdr:nvSpPr>
      <xdr:spPr bwMode="auto">
        <a:xfrm>
          <a:off x="81711587" y="18870721"/>
          <a:ext cx="216531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G6</a:t>
          </a:r>
        </a:p>
      </xdr:txBody>
    </xdr:sp>
    <xdr:clientData/>
  </xdr:twoCellAnchor>
  <xdr:twoCellAnchor>
    <xdr:from>
      <xdr:col>310</xdr:col>
      <xdr:colOff>201131</xdr:colOff>
      <xdr:row>59</xdr:row>
      <xdr:rowOff>351491</xdr:rowOff>
    </xdr:from>
    <xdr:to>
      <xdr:col>311</xdr:col>
      <xdr:colOff>58931</xdr:colOff>
      <xdr:row>59</xdr:row>
      <xdr:rowOff>443452</xdr:rowOff>
    </xdr:to>
    <xdr:sp macro="" textlink="">
      <xdr:nvSpPr>
        <xdr:cNvPr id="37" name="Losange 59">
          <a:extLst>
            <a:ext uri="{FF2B5EF4-FFF2-40B4-BE49-F238E27FC236}">
              <a16:creationId xmlns:a16="http://schemas.microsoft.com/office/drawing/2014/main" id="{35E7A108-5434-44E7-ACAA-E757A25F7C8B}"/>
            </a:ext>
          </a:extLst>
        </xdr:cNvPr>
        <xdr:cNvSpPr/>
      </xdr:nvSpPr>
      <xdr:spPr bwMode="gray">
        <a:xfrm>
          <a:off x="81946586" y="18898571"/>
          <a:ext cx="8068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243</xdr:col>
      <xdr:colOff>0</xdr:colOff>
      <xdr:row>59</xdr:row>
      <xdr:rowOff>66888</xdr:rowOff>
    </xdr:from>
    <xdr:to>
      <xdr:col>243</xdr:col>
      <xdr:colOff>220341</xdr:colOff>
      <xdr:row>59</xdr:row>
      <xdr:rowOff>213925</xdr:rowOff>
    </xdr:to>
    <xdr:sp macro="" textlink="">
      <xdr:nvSpPr>
        <xdr:cNvPr id="38" name="Text Placeholder 371">
          <a:extLst>
            <a:ext uri="{FF2B5EF4-FFF2-40B4-BE49-F238E27FC236}">
              <a16:creationId xmlns:a16="http://schemas.microsoft.com/office/drawing/2014/main" id="{E82E45C2-01CD-46B7-BA7D-F49B7D6278DF}"/>
            </a:ext>
          </a:extLst>
        </xdr:cNvPr>
        <xdr:cNvSpPr>
          <a:spLocks noGrp="1"/>
        </xdr:cNvSpPr>
      </xdr:nvSpPr>
      <xdr:spPr bwMode="auto">
        <a:xfrm>
          <a:off x="66427350" y="18610158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G4</a:t>
          </a:r>
        </a:p>
      </xdr:txBody>
    </xdr:sp>
    <xdr:clientData/>
  </xdr:twoCellAnchor>
  <xdr:twoCellAnchor>
    <xdr:from>
      <xdr:col>244</xdr:col>
      <xdr:colOff>6399</xdr:colOff>
      <xdr:row>59</xdr:row>
      <xdr:rowOff>89023</xdr:rowOff>
    </xdr:from>
    <xdr:to>
      <xdr:col>244</xdr:col>
      <xdr:colOff>92799</xdr:colOff>
      <xdr:row>59</xdr:row>
      <xdr:rowOff>180984</xdr:rowOff>
    </xdr:to>
    <xdr:sp macro="" textlink="">
      <xdr:nvSpPr>
        <xdr:cNvPr id="39" name="Losange 62">
          <a:extLst>
            <a:ext uri="{FF2B5EF4-FFF2-40B4-BE49-F238E27FC236}">
              <a16:creationId xmlns:a16="http://schemas.microsoft.com/office/drawing/2014/main" id="{CF18B7B6-FAB8-4072-90BF-8F6F48E252C1}"/>
            </a:ext>
          </a:extLst>
        </xdr:cNvPr>
        <xdr:cNvSpPr/>
      </xdr:nvSpPr>
      <xdr:spPr bwMode="gray">
        <a:xfrm>
          <a:off x="66664254" y="18638008"/>
          <a:ext cx="8830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230</xdr:col>
      <xdr:colOff>39910</xdr:colOff>
      <xdr:row>59</xdr:row>
      <xdr:rowOff>347763</xdr:rowOff>
    </xdr:from>
    <xdr:to>
      <xdr:col>231</xdr:col>
      <xdr:colOff>67000</xdr:colOff>
      <xdr:row>59</xdr:row>
      <xdr:rowOff>501952</xdr:rowOff>
    </xdr:to>
    <xdr:sp macro="" textlink="">
      <xdr:nvSpPr>
        <xdr:cNvPr id="40" name="Text Placeholder 3119">
          <a:extLst>
            <a:ext uri="{FF2B5EF4-FFF2-40B4-BE49-F238E27FC236}">
              <a16:creationId xmlns:a16="http://schemas.microsoft.com/office/drawing/2014/main" id="{43F4ACF4-0772-41E7-9300-0E3611448CD0}"/>
            </a:ext>
          </a:extLst>
        </xdr:cNvPr>
        <xdr:cNvSpPr>
          <a:spLocks noGrp="1"/>
        </xdr:cNvSpPr>
      </xdr:nvSpPr>
      <xdr:spPr bwMode="auto">
        <a:xfrm>
          <a:off x="63495460" y="18894843"/>
          <a:ext cx="253785" cy="154189"/>
        </a:xfrm>
        <a:prstGeom prst="rect">
          <a:avLst/>
        </a:prstGeom>
        <a:solidFill>
          <a:schemeClr val="bg1"/>
        </a:solidFill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r" defTabSz="685800">
            <a:lnSpc>
              <a:spcPct val="100000"/>
            </a:lnSpc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solidFill>
                <a:srgbClr val="404040"/>
              </a:solidFill>
              <a:latin typeface="Arial Narrow"/>
              <a:cs typeface="Arial"/>
            </a:rPr>
            <a:t>ER</a:t>
          </a:r>
        </a:p>
      </xdr:txBody>
    </xdr:sp>
    <xdr:clientData/>
  </xdr:twoCellAnchor>
  <xdr:twoCellAnchor>
    <xdr:from>
      <xdr:col>230</xdr:col>
      <xdr:colOff>215218</xdr:colOff>
      <xdr:row>59</xdr:row>
      <xdr:rowOff>205618</xdr:rowOff>
    </xdr:from>
    <xdr:to>
      <xdr:col>232</xdr:col>
      <xdr:colOff>228243</xdr:colOff>
      <xdr:row>59</xdr:row>
      <xdr:rowOff>360994</xdr:rowOff>
    </xdr:to>
    <xdr:sp macro="" textlink="">
      <xdr:nvSpPr>
        <xdr:cNvPr id="41" name="ZoneTexte 130">
          <a:extLst>
            <a:ext uri="{FF2B5EF4-FFF2-40B4-BE49-F238E27FC236}">
              <a16:creationId xmlns:a16="http://schemas.microsoft.com/office/drawing/2014/main" id="{3A01F03B-5FE4-4E2D-8C92-597B90027FF0}"/>
            </a:ext>
          </a:extLst>
        </xdr:cNvPr>
        <xdr:cNvSpPr txBox="1"/>
      </xdr:nvSpPr>
      <xdr:spPr bwMode="gray">
        <a:xfrm>
          <a:off x="63666958" y="18754603"/>
          <a:ext cx="474035" cy="155376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Feb. 30</a:t>
          </a:r>
        </a:p>
      </xdr:txBody>
    </xdr:sp>
    <xdr:clientData/>
  </xdr:twoCellAnchor>
  <xdr:twoCellAnchor>
    <xdr:from>
      <xdr:col>231</xdr:col>
      <xdr:colOff>138615</xdr:colOff>
      <xdr:row>59</xdr:row>
      <xdr:rowOff>370536</xdr:rowOff>
    </xdr:from>
    <xdr:to>
      <xdr:col>232</xdr:col>
      <xdr:colOff>72615</xdr:colOff>
      <xdr:row>59</xdr:row>
      <xdr:rowOff>457201</xdr:rowOff>
    </xdr:to>
    <xdr:sp macro="" textlink="">
      <xdr:nvSpPr>
        <xdr:cNvPr id="42" name="Losange 66">
          <a:extLst>
            <a:ext uri="{FF2B5EF4-FFF2-40B4-BE49-F238E27FC236}">
              <a16:creationId xmlns:a16="http://schemas.microsoft.com/office/drawing/2014/main" id="{689528F5-8BFC-4946-A9CC-B8C8D4494873}"/>
            </a:ext>
          </a:extLst>
        </xdr:cNvPr>
        <xdr:cNvSpPr/>
      </xdr:nvSpPr>
      <xdr:spPr bwMode="gray">
        <a:xfrm>
          <a:off x="63818955" y="18913806"/>
          <a:ext cx="166410" cy="88570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158</xdr:col>
      <xdr:colOff>56107</xdr:colOff>
      <xdr:row>59</xdr:row>
      <xdr:rowOff>238127</xdr:rowOff>
    </xdr:from>
    <xdr:to>
      <xdr:col>159</xdr:col>
      <xdr:colOff>200718</xdr:colOff>
      <xdr:row>59</xdr:row>
      <xdr:rowOff>389468</xdr:rowOff>
    </xdr:to>
    <xdr:sp macro="" textlink="">
      <xdr:nvSpPr>
        <xdr:cNvPr id="43" name="ZoneTexte 156">
          <a:extLst>
            <a:ext uri="{FF2B5EF4-FFF2-40B4-BE49-F238E27FC236}">
              <a16:creationId xmlns:a16="http://schemas.microsoft.com/office/drawing/2014/main" id="{E824CDBA-D4D6-4756-9726-A7D18546994B}"/>
            </a:ext>
          </a:extLst>
        </xdr:cNvPr>
        <xdr:cNvSpPr txBox="1"/>
      </xdr:nvSpPr>
      <xdr:spPr bwMode="gray">
        <a:xfrm>
          <a:off x="47056267" y="18785207"/>
          <a:ext cx="371306" cy="151341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Sep. 28</a:t>
          </a:r>
        </a:p>
      </xdr:txBody>
    </xdr:sp>
    <xdr:clientData/>
  </xdr:twoCellAnchor>
  <xdr:twoCellAnchor>
    <xdr:from>
      <xdr:col>156</xdr:col>
      <xdr:colOff>184155</xdr:colOff>
      <xdr:row>59</xdr:row>
      <xdr:rowOff>305015</xdr:rowOff>
    </xdr:from>
    <xdr:to>
      <xdr:col>157</xdr:col>
      <xdr:colOff>175896</xdr:colOff>
      <xdr:row>59</xdr:row>
      <xdr:rowOff>452052</xdr:rowOff>
    </xdr:to>
    <xdr:sp macro="" textlink="">
      <xdr:nvSpPr>
        <xdr:cNvPr id="44" name="Text Placeholder 371">
          <a:extLst>
            <a:ext uri="{FF2B5EF4-FFF2-40B4-BE49-F238E27FC236}">
              <a16:creationId xmlns:a16="http://schemas.microsoft.com/office/drawing/2014/main" id="{986FD20F-903C-4A8C-BB9F-C9F0954B87AB}"/>
            </a:ext>
          </a:extLst>
        </xdr:cNvPr>
        <xdr:cNvSpPr>
          <a:spLocks noGrp="1"/>
        </xdr:cNvSpPr>
      </xdr:nvSpPr>
      <xdr:spPr bwMode="auto">
        <a:xfrm>
          <a:off x="46721400" y="18850190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G3</a:t>
          </a:r>
        </a:p>
      </xdr:txBody>
    </xdr:sp>
    <xdr:clientData/>
  </xdr:twoCellAnchor>
  <xdr:twoCellAnchor>
    <xdr:from>
      <xdr:col>157</xdr:col>
      <xdr:colOff>190554</xdr:colOff>
      <xdr:row>59</xdr:row>
      <xdr:rowOff>327150</xdr:rowOff>
    </xdr:from>
    <xdr:to>
      <xdr:col>158</xdr:col>
      <xdr:colOff>48354</xdr:colOff>
      <xdr:row>59</xdr:row>
      <xdr:rowOff>419111</xdr:rowOff>
    </xdr:to>
    <xdr:sp macro="" textlink="">
      <xdr:nvSpPr>
        <xdr:cNvPr id="45" name="Losange 69">
          <a:extLst>
            <a:ext uri="{FF2B5EF4-FFF2-40B4-BE49-F238E27FC236}">
              <a16:creationId xmlns:a16="http://schemas.microsoft.com/office/drawing/2014/main" id="{085F98E9-48DF-49CD-B499-FEBFC24DC927}"/>
            </a:ext>
          </a:extLst>
        </xdr:cNvPr>
        <xdr:cNvSpPr/>
      </xdr:nvSpPr>
      <xdr:spPr bwMode="gray">
        <a:xfrm>
          <a:off x="46958304" y="18868515"/>
          <a:ext cx="88305" cy="95771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80</xdr:col>
      <xdr:colOff>125953</xdr:colOff>
      <xdr:row>59</xdr:row>
      <xdr:rowOff>262468</xdr:rowOff>
    </xdr:from>
    <xdr:to>
      <xdr:col>82</xdr:col>
      <xdr:colOff>41964</xdr:colOff>
      <xdr:row>59</xdr:row>
      <xdr:rowOff>415122</xdr:rowOff>
    </xdr:to>
    <xdr:sp macro="" textlink="">
      <xdr:nvSpPr>
        <xdr:cNvPr id="46" name="ZoneTexte 156">
          <a:extLst>
            <a:ext uri="{FF2B5EF4-FFF2-40B4-BE49-F238E27FC236}">
              <a16:creationId xmlns:a16="http://schemas.microsoft.com/office/drawing/2014/main" id="{2BDE7378-2116-4D39-8496-EFB3E67388B6}"/>
            </a:ext>
          </a:extLst>
        </xdr:cNvPr>
        <xdr:cNvSpPr txBox="1"/>
      </xdr:nvSpPr>
      <xdr:spPr bwMode="gray">
        <a:xfrm>
          <a:off x="29295313" y="18805738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Mar. 27</a:t>
          </a:r>
        </a:p>
      </xdr:txBody>
    </xdr:sp>
    <xdr:clientData/>
  </xdr:twoCellAnchor>
  <xdr:twoCellAnchor>
    <xdr:from>
      <xdr:col>79</xdr:col>
      <xdr:colOff>25401</xdr:colOff>
      <xdr:row>59</xdr:row>
      <xdr:rowOff>329356</xdr:rowOff>
    </xdr:from>
    <xdr:to>
      <xdr:col>80</xdr:col>
      <xdr:colOff>17142</xdr:colOff>
      <xdr:row>59</xdr:row>
      <xdr:rowOff>476393</xdr:rowOff>
    </xdr:to>
    <xdr:sp macro="" textlink="">
      <xdr:nvSpPr>
        <xdr:cNvPr id="47" name="Text Placeholder 371">
          <a:extLst>
            <a:ext uri="{FF2B5EF4-FFF2-40B4-BE49-F238E27FC236}">
              <a16:creationId xmlns:a16="http://schemas.microsoft.com/office/drawing/2014/main" id="{4AA07DF8-9B60-4B12-81CA-82F8842BAE57}"/>
            </a:ext>
          </a:extLst>
        </xdr:cNvPr>
        <xdr:cNvSpPr>
          <a:spLocks noGrp="1"/>
        </xdr:cNvSpPr>
      </xdr:nvSpPr>
      <xdr:spPr bwMode="auto">
        <a:xfrm>
          <a:off x="28958541" y="18870721"/>
          <a:ext cx="227961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G2</a:t>
          </a:r>
        </a:p>
      </xdr:txBody>
    </xdr:sp>
    <xdr:clientData/>
  </xdr:twoCellAnchor>
  <xdr:twoCellAnchor>
    <xdr:from>
      <xdr:col>80</xdr:col>
      <xdr:colOff>31800</xdr:colOff>
      <xdr:row>59</xdr:row>
      <xdr:rowOff>351491</xdr:rowOff>
    </xdr:from>
    <xdr:to>
      <xdr:col>80</xdr:col>
      <xdr:colOff>118200</xdr:colOff>
      <xdr:row>59</xdr:row>
      <xdr:rowOff>443452</xdr:rowOff>
    </xdr:to>
    <xdr:sp macro="" textlink="">
      <xdr:nvSpPr>
        <xdr:cNvPr id="48" name="Losange 72">
          <a:extLst>
            <a:ext uri="{FF2B5EF4-FFF2-40B4-BE49-F238E27FC236}">
              <a16:creationId xmlns:a16="http://schemas.microsoft.com/office/drawing/2014/main" id="{D7178674-1C9A-4CCC-8BA5-F34B04535B3E}"/>
            </a:ext>
          </a:extLst>
        </xdr:cNvPr>
        <xdr:cNvSpPr/>
      </xdr:nvSpPr>
      <xdr:spPr bwMode="gray">
        <a:xfrm>
          <a:off x="29195445" y="18898571"/>
          <a:ext cx="90210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104</xdr:col>
      <xdr:colOff>236220</xdr:colOff>
      <xdr:row>0</xdr:row>
      <xdr:rowOff>53340</xdr:rowOff>
    </xdr:from>
    <xdr:to>
      <xdr:col>104</xdr:col>
      <xdr:colOff>236220</xdr:colOff>
      <xdr:row>87</xdr:row>
      <xdr:rowOff>206692</xdr:rowOff>
    </xdr:to>
    <xdr:cxnSp macro="">
      <xdr:nvCxnSpPr>
        <xdr:cNvPr id="49" name="Straight Connector 2">
          <a:extLst>
            <a:ext uri="{FF2B5EF4-FFF2-40B4-BE49-F238E27FC236}">
              <a16:creationId xmlns:a16="http://schemas.microsoft.com/office/drawing/2014/main" id="{11CAEB35-6C4B-469C-AE76-FD3402DE4362}"/>
            </a:ext>
          </a:extLst>
        </xdr:cNvPr>
        <xdr:cNvCxnSpPr/>
      </xdr:nvCxnSpPr>
      <xdr:spPr>
        <a:xfrm>
          <a:off x="34880550" y="57150"/>
          <a:ext cx="0" cy="2741390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69273</xdr:colOff>
      <xdr:row>61</xdr:row>
      <xdr:rowOff>121227</xdr:rowOff>
    </xdr:from>
    <xdr:to>
      <xdr:col>124</xdr:col>
      <xdr:colOff>190500</xdr:colOff>
      <xdr:row>61</xdr:row>
      <xdr:rowOff>155864</xdr:rowOff>
    </xdr:to>
    <xdr:cxnSp macro="">
      <xdr:nvCxnSpPr>
        <xdr:cNvPr id="50" name="Straight Arrow Connector 10">
          <a:extLst>
            <a:ext uri="{FF2B5EF4-FFF2-40B4-BE49-F238E27FC236}">
              <a16:creationId xmlns:a16="http://schemas.microsoft.com/office/drawing/2014/main" id="{EB5C3BAE-EE01-4FAE-9CB1-8E5A04011C6F}"/>
            </a:ext>
          </a:extLst>
        </xdr:cNvPr>
        <xdr:cNvCxnSpPr/>
      </xdr:nvCxnSpPr>
      <xdr:spPr>
        <a:xfrm flipH="1">
          <a:off x="29232918" y="19487457"/>
          <a:ext cx="10181532" cy="327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84687</xdr:colOff>
      <xdr:row>63</xdr:row>
      <xdr:rowOff>209722</xdr:rowOff>
    </xdr:from>
    <xdr:to>
      <xdr:col>139</xdr:col>
      <xdr:colOff>209724</xdr:colOff>
      <xdr:row>63</xdr:row>
      <xdr:rowOff>240549</xdr:rowOff>
    </xdr:to>
    <xdr:cxnSp macro="">
      <xdr:nvCxnSpPr>
        <xdr:cNvPr id="51" name="Straight Arrow Connector 11">
          <a:extLst>
            <a:ext uri="{FF2B5EF4-FFF2-40B4-BE49-F238E27FC236}">
              <a16:creationId xmlns:a16="http://schemas.microsoft.com/office/drawing/2014/main" id="{F364AFD4-0FBE-4BA8-8CF7-1CD16D5B9923}"/>
            </a:ext>
          </a:extLst>
        </xdr:cNvPr>
        <xdr:cNvCxnSpPr/>
      </xdr:nvCxnSpPr>
      <xdr:spPr>
        <a:xfrm flipH="1">
          <a:off x="32681142" y="20360812"/>
          <a:ext cx="10177722" cy="384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140451</xdr:colOff>
      <xdr:row>45</xdr:row>
      <xdr:rowOff>536864</xdr:rowOff>
    </xdr:from>
    <xdr:to>
      <xdr:col>138</xdr:col>
      <xdr:colOff>34637</xdr:colOff>
      <xdr:row>45</xdr:row>
      <xdr:rowOff>567691</xdr:rowOff>
    </xdr:to>
    <xdr:cxnSp macro="">
      <xdr:nvCxnSpPr>
        <xdr:cNvPr id="52" name="Straight Arrow Connector 15">
          <a:extLst>
            <a:ext uri="{FF2B5EF4-FFF2-40B4-BE49-F238E27FC236}">
              <a16:creationId xmlns:a16="http://schemas.microsoft.com/office/drawing/2014/main" id="{E8570029-C02A-46BB-8DDE-F9E3BBE7905B}"/>
            </a:ext>
          </a:extLst>
        </xdr:cNvPr>
        <xdr:cNvCxnSpPr/>
      </xdr:nvCxnSpPr>
      <xdr:spPr>
        <a:xfrm flipH="1">
          <a:off x="32273991" y="12500264"/>
          <a:ext cx="10184996" cy="308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32732</xdr:colOff>
      <xdr:row>46</xdr:row>
      <xdr:rowOff>138546</xdr:rowOff>
    </xdr:from>
    <xdr:to>
      <xdr:col>175</xdr:col>
      <xdr:colOff>159674</xdr:colOff>
      <xdr:row>46</xdr:row>
      <xdr:rowOff>169373</xdr:rowOff>
    </xdr:to>
    <xdr:cxnSp macro="">
      <xdr:nvCxnSpPr>
        <xdr:cNvPr id="53" name="Straight Arrow Connector 16">
          <a:extLst>
            <a:ext uri="{FF2B5EF4-FFF2-40B4-BE49-F238E27FC236}">
              <a16:creationId xmlns:a16="http://schemas.microsoft.com/office/drawing/2014/main" id="{443DAD3E-0255-44E1-8BF4-34874B532E3C}"/>
            </a:ext>
          </a:extLst>
        </xdr:cNvPr>
        <xdr:cNvCxnSpPr/>
      </xdr:nvCxnSpPr>
      <xdr:spPr>
        <a:xfrm flipH="1">
          <a:off x="40854977" y="13336386"/>
          <a:ext cx="10189152" cy="384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186</xdr:col>
      <xdr:colOff>117418</xdr:colOff>
      <xdr:row>43</xdr:row>
      <xdr:rowOff>115513</xdr:rowOff>
    </xdr:from>
    <xdr:to>
      <xdr:col>231</xdr:col>
      <xdr:colOff>24938</xdr:colOff>
      <xdr:row>43</xdr:row>
      <xdr:rowOff>153960</xdr:rowOff>
    </xdr:to>
    <xdr:cxnSp macro="">
      <xdr:nvCxnSpPr>
        <xdr:cNvPr id="54" name="Straight Arrow Connector 17">
          <a:extLst>
            <a:ext uri="{FF2B5EF4-FFF2-40B4-BE49-F238E27FC236}">
              <a16:creationId xmlns:a16="http://schemas.microsoft.com/office/drawing/2014/main" id="{D594DB5B-8DCF-49F3-A237-1F15E053B8CE}"/>
            </a:ext>
          </a:extLst>
        </xdr:cNvPr>
        <xdr:cNvCxnSpPr/>
      </xdr:nvCxnSpPr>
      <xdr:spPr>
        <a:xfrm flipH="1">
          <a:off x="53514568" y="11269288"/>
          <a:ext cx="10190710" cy="384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59</xdr:row>
      <xdr:rowOff>66888</xdr:rowOff>
    </xdr:from>
    <xdr:to>
      <xdr:col>54</xdr:col>
      <xdr:colOff>220341</xdr:colOff>
      <xdr:row>59</xdr:row>
      <xdr:rowOff>213925</xdr:rowOff>
    </xdr:to>
    <xdr:sp macro="" textlink="">
      <xdr:nvSpPr>
        <xdr:cNvPr id="55" name="Text Placeholder 371">
          <a:extLst>
            <a:ext uri="{FF2B5EF4-FFF2-40B4-BE49-F238E27FC236}">
              <a16:creationId xmlns:a16="http://schemas.microsoft.com/office/drawing/2014/main" id="{226DB9BE-0CAC-4B06-9DB1-3C2F9DBB3A77}"/>
            </a:ext>
          </a:extLst>
        </xdr:cNvPr>
        <xdr:cNvSpPr>
          <a:spLocks noGrp="1"/>
        </xdr:cNvSpPr>
      </xdr:nvSpPr>
      <xdr:spPr bwMode="auto">
        <a:xfrm>
          <a:off x="23221950" y="18610158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G2</a:t>
          </a:r>
        </a:p>
      </xdr:txBody>
    </xdr:sp>
    <xdr:clientData/>
  </xdr:twoCellAnchor>
  <xdr:twoCellAnchor>
    <xdr:from>
      <xdr:col>146</xdr:col>
      <xdr:colOff>123825</xdr:colOff>
      <xdr:row>59</xdr:row>
      <xdr:rowOff>200238</xdr:rowOff>
    </xdr:from>
    <xdr:to>
      <xdr:col>147</xdr:col>
      <xdr:colOff>115566</xdr:colOff>
      <xdr:row>59</xdr:row>
      <xdr:rowOff>347275</xdr:rowOff>
    </xdr:to>
    <xdr:sp macro="" textlink="">
      <xdr:nvSpPr>
        <xdr:cNvPr id="56" name="Text Placeholder 371">
          <a:extLst>
            <a:ext uri="{FF2B5EF4-FFF2-40B4-BE49-F238E27FC236}">
              <a16:creationId xmlns:a16="http://schemas.microsoft.com/office/drawing/2014/main" id="{7281B81B-07D1-4E48-8F6A-E3AC9B23243C}"/>
            </a:ext>
          </a:extLst>
        </xdr:cNvPr>
        <xdr:cNvSpPr>
          <a:spLocks noGrp="1"/>
        </xdr:cNvSpPr>
      </xdr:nvSpPr>
      <xdr:spPr bwMode="auto">
        <a:xfrm>
          <a:off x="44378880" y="18747318"/>
          <a:ext cx="218436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G3</a:t>
          </a:r>
        </a:p>
      </xdr:txBody>
    </xdr:sp>
    <xdr:clientData/>
  </xdr:twoCellAnchor>
  <xdr:twoCellAnchor>
    <xdr:from>
      <xdr:col>147</xdr:col>
      <xdr:colOff>130224</xdr:colOff>
      <xdr:row>59</xdr:row>
      <xdr:rowOff>222373</xdr:rowOff>
    </xdr:from>
    <xdr:to>
      <xdr:col>147</xdr:col>
      <xdr:colOff>216624</xdr:colOff>
      <xdr:row>59</xdr:row>
      <xdr:rowOff>314334</xdr:rowOff>
    </xdr:to>
    <xdr:sp macro="" textlink="">
      <xdr:nvSpPr>
        <xdr:cNvPr id="57" name="Losange 8">
          <a:extLst>
            <a:ext uri="{FF2B5EF4-FFF2-40B4-BE49-F238E27FC236}">
              <a16:creationId xmlns:a16="http://schemas.microsoft.com/office/drawing/2014/main" id="{B8F8A105-32BD-4811-82FD-512EB916A82B}"/>
            </a:ext>
          </a:extLst>
        </xdr:cNvPr>
        <xdr:cNvSpPr/>
      </xdr:nvSpPr>
      <xdr:spPr bwMode="gray">
        <a:xfrm>
          <a:off x="44615784" y="18765643"/>
          <a:ext cx="78780" cy="95771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273</xdr:col>
      <xdr:colOff>219085</xdr:colOff>
      <xdr:row>59</xdr:row>
      <xdr:rowOff>186267</xdr:rowOff>
    </xdr:from>
    <xdr:to>
      <xdr:col>275</xdr:col>
      <xdr:colOff>135096</xdr:colOff>
      <xdr:row>59</xdr:row>
      <xdr:rowOff>338921</xdr:rowOff>
    </xdr:to>
    <xdr:sp macro="" textlink="">
      <xdr:nvSpPr>
        <xdr:cNvPr id="58" name="ZoneTexte 156">
          <a:extLst>
            <a:ext uri="{FF2B5EF4-FFF2-40B4-BE49-F238E27FC236}">
              <a16:creationId xmlns:a16="http://schemas.microsoft.com/office/drawing/2014/main" id="{8DAA5979-7533-4EE6-8CBA-E93C29B81A68}"/>
            </a:ext>
          </a:extLst>
        </xdr:cNvPr>
        <xdr:cNvSpPr txBox="1"/>
      </xdr:nvSpPr>
      <xdr:spPr bwMode="gray">
        <a:xfrm>
          <a:off x="73502530" y="18729537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Dec 30</a:t>
          </a:r>
        </a:p>
      </xdr:txBody>
    </xdr:sp>
    <xdr:clientData/>
  </xdr:twoCellAnchor>
  <xdr:twoCellAnchor>
    <xdr:from>
      <xdr:col>272</xdr:col>
      <xdr:colOff>118533</xdr:colOff>
      <xdr:row>59</xdr:row>
      <xdr:rowOff>253155</xdr:rowOff>
    </xdr:from>
    <xdr:to>
      <xdr:col>273</xdr:col>
      <xdr:colOff>110274</xdr:colOff>
      <xdr:row>59</xdr:row>
      <xdr:rowOff>400192</xdr:rowOff>
    </xdr:to>
    <xdr:sp macro="" textlink="">
      <xdr:nvSpPr>
        <xdr:cNvPr id="59" name="Text Placeholder 371">
          <a:extLst>
            <a:ext uri="{FF2B5EF4-FFF2-40B4-BE49-F238E27FC236}">
              <a16:creationId xmlns:a16="http://schemas.microsoft.com/office/drawing/2014/main" id="{52D1E543-512C-420B-82E5-96250A3C1F8B}"/>
            </a:ext>
          </a:extLst>
        </xdr:cNvPr>
        <xdr:cNvSpPr>
          <a:spLocks noGrp="1"/>
        </xdr:cNvSpPr>
      </xdr:nvSpPr>
      <xdr:spPr bwMode="auto">
        <a:xfrm>
          <a:off x="73177188" y="18794520"/>
          <a:ext cx="216531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G5</a:t>
          </a:r>
        </a:p>
      </xdr:txBody>
    </xdr:sp>
    <xdr:clientData/>
  </xdr:twoCellAnchor>
  <xdr:twoCellAnchor>
    <xdr:from>
      <xdr:col>273</xdr:col>
      <xdr:colOff>124932</xdr:colOff>
      <xdr:row>59</xdr:row>
      <xdr:rowOff>275290</xdr:rowOff>
    </xdr:from>
    <xdr:to>
      <xdr:col>273</xdr:col>
      <xdr:colOff>211332</xdr:colOff>
      <xdr:row>59</xdr:row>
      <xdr:rowOff>367251</xdr:rowOff>
    </xdr:to>
    <xdr:sp macro="" textlink="">
      <xdr:nvSpPr>
        <xdr:cNvPr id="60" name="Losange 14">
          <a:extLst>
            <a:ext uri="{FF2B5EF4-FFF2-40B4-BE49-F238E27FC236}">
              <a16:creationId xmlns:a16="http://schemas.microsoft.com/office/drawing/2014/main" id="{9F74BBDB-5B40-43B3-8019-C86BCA280DD0}"/>
            </a:ext>
          </a:extLst>
        </xdr:cNvPr>
        <xdr:cNvSpPr/>
      </xdr:nvSpPr>
      <xdr:spPr bwMode="gray">
        <a:xfrm>
          <a:off x="73412187" y="18822370"/>
          <a:ext cx="8068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301</xdr:col>
      <xdr:colOff>24352</xdr:colOff>
      <xdr:row>59</xdr:row>
      <xdr:rowOff>152400</xdr:rowOff>
    </xdr:from>
    <xdr:to>
      <xdr:col>302</xdr:col>
      <xdr:colOff>168963</xdr:colOff>
      <xdr:row>59</xdr:row>
      <xdr:rowOff>305054</xdr:rowOff>
    </xdr:to>
    <xdr:sp macro="" textlink="">
      <xdr:nvSpPr>
        <xdr:cNvPr id="61" name="ZoneTexte 156">
          <a:extLst>
            <a:ext uri="{FF2B5EF4-FFF2-40B4-BE49-F238E27FC236}">
              <a16:creationId xmlns:a16="http://schemas.microsoft.com/office/drawing/2014/main" id="{0AA3132A-E7CC-42E3-BE01-F6A85AF3D5BE}"/>
            </a:ext>
          </a:extLst>
        </xdr:cNvPr>
        <xdr:cNvSpPr txBox="1"/>
      </xdr:nvSpPr>
      <xdr:spPr bwMode="gray">
        <a:xfrm>
          <a:off x="79706692" y="18697575"/>
          <a:ext cx="380831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June. 31</a:t>
          </a:r>
        </a:p>
      </xdr:txBody>
    </xdr:sp>
    <xdr:clientData/>
  </xdr:twoCellAnchor>
  <xdr:twoCellAnchor>
    <xdr:from>
      <xdr:col>299</xdr:col>
      <xdr:colOff>152400</xdr:colOff>
      <xdr:row>59</xdr:row>
      <xdr:rowOff>219288</xdr:rowOff>
    </xdr:from>
    <xdr:to>
      <xdr:col>300</xdr:col>
      <xdr:colOff>144141</xdr:colOff>
      <xdr:row>59</xdr:row>
      <xdr:rowOff>366325</xdr:rowOff>
    </xdr:to>
    <xdr:sp macro="" textlink="">
      <xdr:nvSpPr>
        <xdr:cNvPr id="62" name="Text Placeholder 371">
          <a:extLst>
            <a:ext uri="{FF2B5EF4-FFF2-40B4-BE49-F238E27FC236}">
              <a16:creationId xmlns:a16="http://schemas.microsoft.com/office/drawing/2014/main" id="{8D51F777-1280-4ED9-BF0C-360516AC3622}"/>
            </a:ext>
          </a:extLst>
        </xdr:cNvPr>
        <xdr:cNvSpPr>
          <a:spLocks noGrp="1"/>
        </xdr:cNvSpPr>
      </xdr:nvSpPr>
      <xdr:spPr bwMode="auto">
        <a:xfrm>
          <a:off x="79381350" y="18762558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G6</a:t>
          </a:r>
        </a:p>
      </xdr:txBody>
    </xdr:sp>
    <xdr:clientData/>
  </xdr:twoCellAnchor>
  <xdr:twoCellAnchor>
    <xdr:from>
      <xdr:col>230</xdr:col>
      <xdr:colOff>57150</xdr:colOff>
      <xdr:row>59</xdr:row>
      <xdr:rowOff>66888</xdr:rowOff>
    </xdr:from>
    <xdr:to>
      <xdr:col>231</xdr:col>
      <xdr:colOff>48891</xdr:colOff>
      <xdr:row>59</xdr:row>
      <xdr:rowOff>213925</xdr:rowOff>
    </xdr:to>
    <xdr:sp macro="" textlink="">
      <xdr:nvSpPr>
        <xdr:cNvPr id="63" name="Text Placeholder 371">
          <a:extLst>
            <a:ext uri="{FF2B5EF4-FFF2-40B4-BE49-F238E27FC236}">
              <a16:creationId xmlns:a16="http://schemas.microsoft.com/office/drawing/2014/main" id="{528B9DDD-A055-471C-BBA4-4CB41C1DAA50}"/>
            </a:ext>
          </a:extLst>
        </xdr:cNvPr>
        <xdr:cNvSpPr>
          <a:spLocks noGrp="1"/>
        </xdr:cNvSpPr>
      </xdr:nvSpPr>
      <xdr:spPr bwMode="auto">
        <a:xfrm>
          <a:off x="63508890" y="18610158"/>
          <a:ext cx="22605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G4</a:t>
          </a:r>
        </a:p>
      </xdr:txBody>
    </xdr:sp>
    <xdr:clientData/>
  </xdr:twoCellAnchor>
  <xdr:twoCellAnchor>
    <xdr:from>
      <xdr:col>230</xdr:col>
      <xdr:colOff>209171</xdr:colOff>
      <xdr:row>59</xdr:row>
      <xdr:rowOff>228600</xdr:rowOff>
    </xdr:from>
    <xdr:to>
      <xdr:col>232</xdr:col>
      <xdr:colOff>222196</xdr:colOff>
      <xdr:row>59</xdr:row>
      <xdr:rowOff>383976</xdr:rowOff>
    </xdr:to>
    <xdr:sp macro="" textlink="">
      <xdr:nvSpPr>
        <xdr:cNvPr id="64" name="ZoneTexte 130">
          <a:extLst>
            <a:ext uri="{FF2B5EF4-FFF2-40B4-BE49-F238E27FC236}">
              <a16:creationId xmlns:a16="http://schemas.microsoft.com/office/drawing/2014/main" id="{F9A1708E-4603-432B-AD8E-38081043CEBE}"/>
            </a:ext>
          </a:extLst>
        </xdr:cNvPr>
        <xdr:cNvSpPr txBox="1"/>
      </xdr:nvSpPr>
      <xdr:spPr bwMode="gray">
        <a:xfrm>
          <a:off x="63668531" y="18773775"/>
          <a:ext cx="464510" cy="155376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Feb. 30</a:t>
          </a:r>
        </a:p>
      </xdr:txBody>
    </xdr:sp>
    <xdr:clientData/>
  </xdr:twoCellAnchor>
  <xdr:twoCellAnchor>
    <xdr:from>
      <xdr:col>231</xdr:col>
      <xdr:colOff>96283</xdr:colOff>
      <xdr:row>59</xdr:row>
      <xdr:rowOff>395936</xdr:rowOff>
    </xdr:from>
    <xdr:to>
      <xdr:col>232</xdr:col>
      <xdr:colOff>30283</xdr:colOff>
      <xdr:row>59</xdr:row>
      <xdr:rowOff>482601</xdr:rowOff>
    </xdr:to>
    <xdr:sp macro="" textlink="">
      <xdr:nvSpPr>
        <xdr:cNvPr id="65" name="Losange 49">
          <a:extLst>
            <a:ext uri="{FF2B5EF4-FFF2-40B4-BE49-F238E27FC236}">
              <a16:creationId xmlns:a16="http://schemas.microsoft.com/office/drawing/2014/main" id="{194EC53E-D7D9-4F4C-8975-ADC3821D9A5E}"/>
            </a:ext>
          </a:extLst>
        </xdr:cNvPr>
        <xdr:cNvSpPr/>
      </xdr:nvSpPr>
      <xdr:spPr bwMode="gray">
        <a:xfrm>
          <a:off x="63776623" y="18944921"/>
          <a:ext cx="164505" cy="79045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258</xdr:col>
      <xdr:colOff>119743</xdr:colOff>
      <xdr:row>74</xdr:row>
      <xdr:rowOff>253972</xdr:rowOff>
    </xdr:from>
    <xdr:to>
      <xdr:col>273</xdr:col>
      <xdr:colOff>94978</xdr:colOff>
      <xdr:row>74</xdr:row>
      <xdr:rowOff>427327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B0E7E001-6CD1-4FD4-B297-3833A7E9E7AB}"/>
            </a:ext>
          </a:extLst>
        </xdr:cNvPr>
        <xdr:cNvSpPr/>
      </xdr:nvSpPr>
      <xdr:spPr>
        <a:xfrm>
          <a:off x="69977998" y="24138862"/>
          <a:ext cx="3406140" cy="1790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1"/>
          </a:solidFill>
        </a:ln>
      </xdr:spPr>
      <xdr:txBody>
        <a:bodyPr wrap="square" rtlCol="0" anchor="ctr" anchorCtr="0"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342892">
            <a:lnSpc>
              <a:spcPct val="90000"/>
            </a:lnSpc>
            <a:spcBef>
              <a:spcPts val="375"/>
            </a:spcBef>
          </a:pPr>
          <a:endParaRPr lang="en-US" sz="800" b="1">
            <a:solidFill>
              <a:srgbClr val="2C2926"/>
            </a:solidFill>
            <a:latin typeface="Gill Sans MT" panose="020B0502020104020203" pitchFamily="34" charset="77"/>
          </a:endParaRPr>
        </a:p>
      </xdr:txBody>
    </xdr:sp>
    <xdr:clientData/>
  </xdr:twoCellAnchor>
  <xdr:twoCellAnchor>
    <xdr:from>
      <xdr:col>257</xdr:col>
      <xdr:colOff>101599</xdr:colOff>
      <xdr:row>74</xdr:row>
      <xdr:rowOff>250371</xdr:rowOff>
    </xdr:from>
    <xdr:to>
      <xdr:col>272</xdr:col>
      <xdr:colOff>97970</xdr:colOff>
      <xdr:row>74</xdr:row>
      <xdr:rowOff>498837</xdr:rowOff>
    </xdr:to>
    <xdr:sp macro="" textlink="">
      <xdr:nvSpPr>
        <xdr:cNvPr id="67" name="ZoneTexte 262">
          <a:extLst>
            <a:ext uri="{FF2B5EF4-FFF2-40B4-BE49-F238E27FC236}">
              <a16:creationId xmlns:a16="http://schemas.microsoft.com/office/drawing/2014/main" id="{50EAD737-03F0-445D-9CFA-E95333834804}"/>
            </a:ext>
          </a:extLst>
        </xdr:cNvPr>
        <xdr:cNvSpPr txBox="1"/>
      </xdr:nvSpPr>
      <xdr:spPr>
        <a:xfrm>
          <a:off x="69725539" y="24135261"/>
          <a:ext cx="3425371" cy="252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1"/>
          </a:solidFill>
        </a:ln>
      </xdr:spPr>
      <xdr:txBody>
        <a:bodyPr wrap="square" rtlCol="0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354"/>
          <a:r>
            <a:rPr lang="en-GB" sz="1050">
              <a:solidFill>
                <a:srgbClr val="2C2926"/>
              </a:solidFill>
              <a:latin typeface="Gill Sans MT" panose="020B0502020104020203"/>
            </a:rPr>
            <a:t>PBuild</a:t>
          </a:r>
        </a:p>
      </xdr:txBody>
    </xdr:sp>
    <xdr:clientData/>
  </xdr:twoCellAnchor>
  <xdr:twoCellAnchor>
    <xdr:from>
      <xdr:col>297</xdr:col>
      <xdr:colOff>66684</xdr:colOff>
      <xdr:row>74</xdr:row>
      <xdr:rowOff>304801</xdr:rowOff>
    </xdr:from>
    <xdr:to>
      <xdr:col>298</xdr:col>
      <xdr:colOff>211295</xdr:colOff>
      <xdr:row>74</xdr:row>
      <xdr:rowOff>457455</xdr:rowOff>
    </xdr:to>
    <xdr:sp macro="" textlink="">
      <xdr:nvSpPr>
        <xdr:cNvPr id="68" name="ZoneTexte 156">
          <a:extLst>
            <a:ext uri="{FF2B5EF4-FFF2-40B4-BE49-F238E27FC236}">
              <a16:creationId xmlns:a16="http://schemas.microsoft.com/office/drawing/2014/main" id="{71DD1DDB-2BA6-4816-B041-28869039F70F}"/>
            </a:ext>
          </a:extLst>
        </xdr:cNvPr>
        <xdr:cNvSpPr txBox="1"/>
      </xdr:nvSpPr>
      <xdr:spPr bwMode="gray">
        <a:xfrm>
          <a:off x="78836529" y="24193501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May 31</a:t>
          </a:r>
        </a:p>
      </xdr:txBody>
    </xdr:sp>
    <xdr:clientData/>
  </xdr:twoCellAnchor>
  <xdr:twoCellAnchor>
    <xdr:from>
      <xdr:col>295</xdr:col>
      <xdr:colOff>194732</xdr:colOff>
      <xdr:row>74</xdr:row>
      <xdr:rowOff>371689</xdr:rowOff>
    </xdr:from>
    <xdr:to>
      <xdr:col>296</xdr:col>
      <xdr:colOff>186473</xdr:colOff>
      <xdr:row>74</xdr:row>
      <xdr:rowOff>518726</xdr:rowOff>
    </xdr:to>
    <xdr:sp macro="" textlink="">
      <xdr:nvSpPr>
        <xdr:cNvPr id="69" name="Text Placeholder 371">
          <a:extLst>
            <a:ext uri="{FF2B5EF4-FFF2-40B4-BE49-F238E27FC236}">
              <a16:creationId xmlns:a16="http://schemas.microsoft.com/office/drawing/2014/main" id="{BEFF01CB-9050-49D2-8B6A-62715EC2BC93}"/>
            </a:ext>
          </a:extLst>
        </xdr:cNvPr>
        <xdr:cNvSpPr>
          <a:spLocks noGrp="1"/>
        </xdr:cNvSpPr>
      </xdr:nvSpPr>
      <xdr:spPr bwMode="auto">
        <a:xfrm>
          <a:off x="78511187" y="24258484"/>
          <a:ext cx="216531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G5</a:t>
          </a:r>
        </a:p>
      </xdr:txBody>
    </xdr:sp>
    <xdr:clientData/>
  </xdr:twoCellAnchor>
  <xdr:twoCellAnchor>
    <xdr:from>
      <xdr:col>296</xdr:col>
      <xdr:colOff>201131</xdr:colOff>
      <xdr:row>74</xdr:row>
      <xdr:rowOff>393824</xdr:rowOff>
    </xdr:from>
    <xdr:to>
      <xdr:col>297</xdr:col>
      <xdr:colOff>58931</xdr:colOff>
      <xdr:row>74</xdr:row>
      <xdr:rowOff>485785</xdr:rowOff>
    </xdr:to>
    <xdr:sp macro="" textlink="">
      <xdr:nvSpPr>
        <xdr:cNvPr id="70" name="Losange 56">
          <a:extLst>
            <a:ext uri="{FF2B5EF4-FFF2-40B4-BE49-F238E27FC236}">
              <a16:creationId xmlns:a16="http://schemas.microsoft.com/office/drawing/2014/main" id="{C4164771-3591-4396-9965-62E8F758292C}"/>
            </a:ext>
          </a:extLst>
        </xdr:cNvPr>
        <xdr:cNvSpPr/>
      </xdr:nvSpPr>
      <xdr:spPr bwMode="gray">
        <a:xfrm>
          <a:off x="78746186" y="24286334"/>
          <a:ext cx="8068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311</xdr:col>
      <xdr:colOff>66684</xdr:colOff>
      <xdr:row>74</xdr:row>
      <xdr:rowOff>262468</xdr:rowOff>
    </xdr:from>
    <xdr:to>
      <xdr:col>312</xdr:col>
      <xdr:colOff>211295</xdr:colOff>
      <xdr:row>74</xdr:row>
      <xdr:rowOff>415122</xdr:rowOff>
    </xdr:to>
    <xdr:sp macro="" textlink="">
      <xdr:nvSpPr>
        <xdr:cNvPr id="71" name="ZoneTexte 156">
          <a:extLst>
            <a:ext uri="{FF2B5EF4-FFF2-40B4-BE49-F238E27FC236}">
              <a16:creationId xmlns:a16="http://schemas.microsoft.com/office/drawing/2014/main" id="{212A689D-EF95-4D93-9D50-6C8123B45549}"/>
            </a:ext>
          </a:extLst>
        </xdr:cNvPr>
        <xdr:cNvSpPr txBox="1"/>
      </xdr:nvSpPr>
      <xdr:spPr bwMode="gray">
        <a:xfrm>
          <a:off x="82036929" y="24149263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Aug 31</a:t>
          </a:r>
        </a:p>
      </xdr:txBody>
    </xdr:sp>
    <xdr:clientData/>
  </xdr:twoCellAnchor>
  <xdr:twoCellAnchor>
    <xdr:from>
      <xdr:col>309</xdr:col>
      <xdr:colOff>194732</xdr:colOff>
      <xdr:row>74</xdr:row>
      <xdr:rowOff>329356</xdr:rowOff>
    </xdr:from>
    <xdr:to>
      <xdr:col>310</xdr:col>
      <xdr:colOff>186473</xdr:colOff>
      <xdr:row>74</xdr:row>
      <xdr:rowOff>476393</xdr:rowOff>
    </xdr:to>
    <xdr:sp macro="" textlink="">
      <xdr:nvSpPr>
        <xdr:cNvPr id="72" name="Text Placeholder 371">
          <a:extLst>
            <a:ext uri="{FF2B5EF4-FFF2-40B4-BE49-F238E27FC236}">
              <a16:creationId xmlns:a16="http://schemas.microsoft.com/office/drawing/2014/main" id="{359BC940-89AE-4FE8-80CA-662849338973}"/>
            </a:ext>
          </a:extLst>
        </xdr:cNvPr>
        <xdr:cNvSpPr>
          <a:spLocks noGrp="1"/>
        </xdr:cNvSpPr>
      </xdr:nvSpPr>
      <xdr:spPr bwMode="auto">
        <a:xfrm>
          <a:off x="81711587" y="24214246"/>
          <a:ext cx="216531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G6</a:t>
          </a:r>
        </a:p>
      </xdr:txBody>
    </xdr:sp>
    <xdr:clientData/>
  </xdr:twoCellAnchor>
  <xdr:twoCellAnchor>
    <xdr:from>
      <xdr:col>310</xdr:col>
      <xdr:colOff>201131</xdr:colOff>
      <xdr:row>74</xdr:row>
      <xdr:rowOff>351491</xdr:rowOff>
    </xdr:from>
    <xdr:to>
      <xdr:col>311</xdr:col>
      <xdr:colOff>58931</xdr:colOff>
      <xdr:row>74</xdr:row>
      <xdr:rowOff>443452</xdr:rowOff>
    </xdr:to>
    <xdr:sp macro="" textlink="">
      <xdr:nvSpPr>
        <xdr:cNvPr id="73" name="Losange 59">
          <a:extLst>
            <a:ext uri="{FF2B5EF4-FFF2-40B4-BE49-F238E27FC236}">
              <a16:creationId xmlns:a16="http://schemas.microsoft.com/office/drawing/2014/main" id="{DA36B3BB-B77E-4864-B61D-80870F644724}"/>
            </a:ext>
          </a:extLst>
        </xdr:cNvPr>
        <xdr:cNvSpPr/>
      </xdr:nvSpPr>
      <xdr:spPr bwMode="gray">
        <a:xfrm>
          <a:off x="81946586" y="24242096"/>
          <a:ext cx="8068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243</xdr:col>
      <xdr:colOff>0</xdr:colOff>
      <xdr:row>74</xdr:row>
      <xdr:rowOff>66888</xdr:rowOff>
    </xdr:from>
    <xdr:to>
      <xdr:col>243</xdr:col>
      <xdr:colOff>220341</xdr:colOff>
      <xdr:row>74</xdr:row>
      <xdr:rowOff>213925</xdr:rowOff>
    </xdr:to>
    <xdr:sp macro="" textlink="">
      <xdr:nvSpPr>
        <xdr:cNvPr id="74" name="Text Placeholder 371">
          <a:extLst>
            <a:ext uri="{FF2B5EF4-FFF2-40B4-BE49-F238E27FC236}">
              <a16:creationId xmlns:a16="http://schemas.microsoft.com/office/drawing/2014/main" id="{7EF09CD6-C3BE-43DC-BD84-95692EDA4D31}"/>
            </a:ext>
          </a:extLst>
        </xdr:cNvPr>
        <xdr:cNvSpPr>
          <a:spLocks noGrp="1"/>
        </xdr:cNvSpPr>
      </xdr:nvSpPr>
      <xdr:spPr bwMode="auto">
        <a:xfrm>
          <a:off x="66427350" y="23953683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G4</a:t>
          </a:r>
        </a:p>
      </xdr:txBody>
    </xdr:sp>
    <xdr:clientData/>
  </xdr:twoCellAnchor>
  <xdr:twoCellAnchor>
    <xdr:from>
      <xdr:col>244</xdr:col>
      <xdr:colOff>6399</xdr:colOff>
      <xdr:row>74</xdr:row>
      <xdr:rowOff>89023</xdr:rowOff>
    </xdr:from>
    <xdr:to>
      <xdr:col>244</xdr:col>
      <xdr:colOff>92799</xdr:colOff>
      <xdr:row>74</xdr:row>
      <xdr:rowOff>180984</xdr:rowOff>
    </xdr:to>
    <xdr:sp macro="" textlink="">
      <xdr:nvSpPr>
        <xdr:cNvPr id="75" name="Losange 62">
          <a:extLst>
            <a:ext uri="{FF2B5EF4-FFF2-40B4-BE49-F238E27FC236}">
              <a16:creationId xmlns:a16="http://schemas.microsoft.com/office/drawing/2014/main" id="{9BE2F158-44AF-40C9-9FD7-198527583A70}"/>
            </a:ext>
          </a:extLst>
        </xdr:cNvPr>
        <xdr:cNvSpPr/>
      </xdr:nvSpPr>
      <xdr:spPr bwMode="gray">
        <a:xfrm>
          <a:off x="66664254" y="23981533"/>
          <a:ext cx="8830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230</xdr:col>
      <xdr:colOff>39910</xdr:colOff>
      <xdr:row>74</xdr:row>
      <xdr:rowOff>347763</xdr:rowOff>
    </xdr:from>
    <xdr:to>
      <xdr:col>231</xdr:col>
      <xdr:colOff>67000</xdr:colOff>
      <xdr:row>74</xdr:row>
      <xdr:rowOff>501952</xdr:rowOff>
    </xdr:to>
    <xdr:sp macro="" textlink="">
      <xdr:nvSpPr>
        <xdr:cNvPr id="76" name="Text Placeholder 3119">
          <a:extLst>
            <a:ext uri="{FF2B5EF4-FFF2-40B4-BE49-F238E27FC236}">
              <a16:creationId xmlns:a16="http://schemas.microsoft.com/office/drawing/2014/main" id="{6A57BFCB-BFCA-4909-9E13-A826A87C8F79}"/>
            </a:ext>
          </a:extLst>
        </xdr:cNvPr>
        <xdr:cNvSpPr>
          <a:spLocks noGrp="1"/>
        </xdr:cNvSpPr>
      </xdr:nvSpPr>
      <xdr:spPr bwMode="auto">
        <a:xfrm>
          <a:off x="63495460" y="24238368"/>
          <a:ext cx="253785" cy="154189"/>
        </a:xfrm>
        <a:prstGeom prst="rect">
          <a:avLst/>
        </a:prstGeom>
        <a:solidFill>
          <a:schemeClr val="bg1"/>
        </a:solidFill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r" defTabSz="685800">
            <a:lnSpc>
              <a:spcPct val="100000"/>
            </a:lnSpc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solidFill>
                <a:srgbClr val="404040"/>
              </a:solidFill>
              <a:latin typeface="Arial Narrow"/>
              <a:cs typeface="Arial"/>
            </a:rPr>
            <a:t>ER</a:t>
          </a:r>
        </a:p>
      </xdr:txBody>
    </xdr:sp>
    <xdr:clientData/>
  </xdr:twoCellAnchor>
  <xdr:twoCellAnchor>
    <xdr:from>
      <xdr:col>230</xdr:col>
      <xdr:colOff>215218</xdr:colOff>
      <xdr:row>74</xdr:row>
      <xdr:rowOff>205618</xdr:rowOff>
    </xdr:from>
    <xdr:to>
      <xdr:col>232</xdr:col>
      <xdr:colOff>228243</xdr:colOff>
      <xdr:row>74</xdr:row>
      <xdr:rowOff>360994</xdr:rowOff>
    </xdr:to>
    <xdr:sp macro="" textlink="">
      <xdr:nvSpPr>
        <xdr:cNvPr id="77" name="ZoneTexte 76">
          <a:extLst>
            <a:ext uri="{FF2B5EF4-FFF2-40B4-BE49-F238E27FC236}">
              <a16:creationId xmlns:a16="http://schemas.microsoft.com/office/drawing/2014/main" id="{45C1D1F2-29C4-409A-90DE-AE46D79D7B16}"/>
            </a:ext>
          </a:extLst>
        </xdr:cNvPr>
        <xdr:cNvSpPr txBox="1"/>
      </xdr:nvSpPr>
      <xdr:spPr bwMode="gray">
        <a:xfrm>
          <a:off x="63666958" y="24098128"/>
          <a:ext cx="474035" cy="155376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Feb. 30</a:t>
          </a:r>
        </a:p>
      </xdr:txBody>
    </xdr:sp>
    <xdr:clientData/>
  </xdr:twoCellAnchor>
  <xdr:twoCellAnchor>
    <xdr:from>
      <xdr:col>231</xdr:col>
      <xdr:colOff>138615</xdr:colOff>
      <xdr:row>74</xdr:row>
      <xdr:rowOff>370536</xdr:rowOff>
    </xdr:from>
    <xdr:to>
      <xdr:col>232</xdr:col>
      <xdr:colOff>72615</xdr:colOff>
      <xdr:row>74</xdr:row>
      <xdr:rowOff>457201</xdr:rowOff>
    </xdr:to>
    <xdr:sp macro="" textlink="">
      <xdr:nvSpPr>
        <xdr:cNvPr id="78" name="Losange 66">
          <a:extLst>
            <a:ext uri="{FF2B5EF4-FFF2-40B4-BE49-F238E27FC236}">
              <a16:creationId xmlns:a16="http://schemas.microsoft.com/office/drawing/2014/main" id="{5A4FD192-2E43-4629-A998-5479CB33BEDD}"/>
            </a:ext>
          </a:extLst>
        </xdr:cNvPr>
        <xdr:cNvSpPr/>
      </xdr:nvSpPr>
      <xdr:spPr bwMode="gray">
        <a:xfrm>
          <a:off x="63818955" y="24257331"/>
          <a:ext cx="166410" cy="88570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158</xdr:col>
      <xdr:colOff>56107</xdr:colOff>
      <xdr:row>74</xdr:row>
      <xdr:rowOff>238127</xdr:rowOff>
    </xdr:from>
    <xdr:to>
      <xdr:col>159</xdr:col>
      <xdr:colOff>200718</xdr:colOff>
      <xdr:row>74</xdr:row>
      <xdr:rowOff>389468</xdr:rowOff>
    </xdr:to>
    <xdr:sp macro="" textlink="">
      <xdr:nvSpPr>
        <xdr:cNvPr id="79" name="ZoneTexte 156">
          <a:extLst>
            <a:ext uri="{FF2B5EF4-FFF2-40B4-BE49-F238E27FC236}">
              <a16:creationId xmlns:a16="http://schemas.microsoft.com/office/drawing/2014/main" id="{FBAE166A-CB7E-4FDD-AF5C-D420749D8963}"/>
            </a:ext>
          </a:extLst>
        </xdr:cNvPr>
        <xdr:cNvSpPr txBox="1"/>
      </xdr:nvSpPr>
      <xdr:spPr bwMode="gray">
        <a:xfrm>
          <a:off x="47056267" y="24128732"/>
          <a:ext cx="371306" cy="151341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Sep. 28</a:t>
          </a:r>
        </a:p>
      </xdr:txBody>
    </xdr:sp>
    <xdr:clientData/>
  </xdr:twoCellAnchor>
  <xdr:twoCellAnchor>
    <xdr:from>
      <xdr:col>156</xdr:col>
      <xdr:colOff>184155</xdr:colOff>
      <xdr:row>74</xdr:row>
      <xdr:rowOff>305015</xdr:rowOff>
    </xdr:from>
    <xdr:to>
      <xdr:col>157</xdr:col>
      <xdr:colOff>175896</xdr:colOff>
      <xdr:row>74</xdr:row>
      <xdr:rowOff>452052</xdr:rowOff>
    </xdr:to>
    <xdr:sp macro="" textlink="">
      <xdr:nvSpPr>
        <xdr:cNvPr id="80" name="Text Placeholder 371">
          <a:extLst>
            <a:ext uri="{FF2B5EF4-FFF2-40B4-BE49-F238E27FC236}">
              <a16:creationId xmlns:a16="http://schemas.microsoft.com/office/drawing/2014/main" id="{C0E17235-0454-4FF4-8E3C-3B864CADEFA4}"/>
            </a:ext>
          </a:extLst>
        </xdr:cNvPr>
        <xdr:cNvSpPr>
          <a:spLocks noGrp="1"/>
        </xdr:cNvSpPr>
      </xdr:nvSpPr>
      <xdr:spPr bwMode="auto">
        <a:xfrm>
          <a:off x="46721400" y="24193715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G3</a:t>
          </a:r>
        </a:p>
      </xdr:txBody>
    </xdr:sp>
    <xdr:clientData/>
  </xdr:twoCellAnchor>
  <xdr:twoCellAnchor>
    <xdr:from>
      <xdr:col>157</xdr:col>
      <xdr:colOff>190554</xdr:colOff>
      <xdr:row>74</xdr:row>
      <xdr:rowOff>327150</xdr:rowOff>
    </xdr:from>
    <xdr:to>
      <xdr:col>158</xdr:col>
      <xdr:colOff>48354</xdr:colOff>
      <xdr:row>74</xdr:row>
      <xdr:rowOff>419111</xdr:rowOff>
    </xdr:to>
    <xdr:sp macro="" textlink="">
      <xdr:nvSpPr>
        <xdr:cNvPr id="81" name="Losange 69">
          <a:extLst>
            <a:ext uri="{FF2B5EF4-FFF2-40B4-BE49-F238E27FC236}">
              <a16:creationId xmlns:a16="http://schemas.microsoft.com/office/drawing/2014/main" id="{82AEEC6B-979E-48A2-A57F-4658FE294AF6}"/>
            </a:ext>
          </a:extLst>
        </xdr:cNvPr>
        <xdr:cNvSpPr/>
      </xdr:nvSpPr>
      <xdr:spPr bwMode="gray">
        <a:xfrm>
          <a:off x="46958304" y="24212040"/>
          <a:ext cx="88305" cy="95771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80</xdr:col>
      <xdr:colOff>125953</xdr:colOff>
      <xdr:row>74</xdr:row>
      <xdr:rowOff>262468</xdr:rowOff>
    </xdr:from>
    <xdr:to>
      <xdr:col>82</xdr:col>
      <xdr:colOff>41964</xdr:colOff>
      <xdr:row>74</xdr:row>
      <xdr:rowOff>415122</xdr:rowOff>
    </xdr:to>
    <xdr:sp macro="" textlink="">
      <xdr:nvSpPr>
        <xdr:cNvPr id="82" name="ZoneTexte 156">
          <a:extLst>
            <a:ext uri="{FF2B5EF4-FFF2-40B4-BE49-F238E27FC236}">
              <a16:creationId xmlns:a16="http://schemas.microsoft.com/office/drawing/2014/main" id="{DDAD9E0F-E9CA-4BD2-BC71-DE11B936F3D0}"/>
            </a:ext>
          </a:extLst>
        </xdr:cNvPr>
        <xdr:cNvSpPr txBox="1"/>
      </xdr:nvSpPr>
      <xdr:spPr bwMode="gray">
        <a:xfrm>
          <a:off x="29295313" y="24149263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Mar. 27</a:t>
          </a:r>
        </a:p>
      </xdr:txBody>
    </xdr:sp>
    <xdr:clientData/>
  </xdr:twoCellAnchor>
  <xdr:twoCellAnchor>
    <xdr:from>
      <xdr:col>79</xdr:col>
      <xdr:colOff>25401</xdr:colOff>
      <xdr:row>74</xdr:row>
      <xdr:rowOff>329356</xdr:rowOff>
    </xdr:from>
    <xdr:to>
      <xdr:col>80</xdr:col>
      <xdr:colOff>17142</xdr:colOff>
      <xdr:row>74</xdr:row>
      <xdr:rowOff>476393</xdr:rowOff>
    </xdr:to>
    <xdr:sp macro="" textlink="">
      <xdr:nvSpPr>
        <xdr:cNvPr id="83" name="Text Placeholder 371">
          <a:extLst>
            <a:ext uri="{FF2B5EF4-FFF2-40B4-BE49-F238E27FC236}">
              <a16:creationId xmlns:a16="http://schemas.microsoft.com/office/drawing/2014/main" id="{09134E32-ACD7-48E2-9952-514CDD8A7FC3}"/>
            </a:ext>
          </a:extLst>
        </xdr:cNvPr>
        <xdr:cNvSpPr>
          <a:spLocks noGrp="1"/>
        </xdr:cNvSpPr>
      </xdr:nvSpPr>
      <xdr:spPr bwMode="auto">
        <a:xfrm>
          <a:off x="28958541" y="24214246"/>
          <a:ext cx="227961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G2</a:t>
          </a:r>
        </a:p>
      </xdr:txBody>
    </xdr:sp>
    <xdr:clientData/>
  </xdr:twoCellAnchor>
  <xdr:twoCellAnchor>
    <xdr:from>
      <xdr:col>80</xdr:col>
      <xdr:colOff>31800</xdr:colOff>
      <xdr:row>74</xdr:row>
      <xdr:rowOff>351491</xdr:rowOff>
    </xdr:from>
    <xdr:to>
      <xdr:col>80</xdr:col>
      <xdr:colOff>118200</xdr:colOff>
      <xdr:row>74</xdr:row>
      <xdr:rowOff>443452</xdr:rowOff>
    </xdr:to>
    <xdr:sp macro="" textlink="">
      <xdr:nvSpPr>
        <xdr:cNvPr id="84" name="Losange 72">
          <a:extLst>
            <a:ext uri="{FF2B5EF4-FFF2-40B4-BE49-F238E27FC236}">
              <a16:creationId xmlns:a16="http://schemas.microsoft.com/office/drawing/2014/main" id="{CE79DF71-0E74-4788-A9D1-0E8983605443}"/>
            </a:ext>
          </a:extLst>
        </xdr:cNvPr>
        <xdr:cNvSpPr/>
      </xdr:nvSpPr>
      <xdr:spPr bwMode="gray">
        <a:xfrm>
          <a:off x="29195445" y="24242096"/>
          <a:ext cx="90210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54</xdr:col>
      <xdr:colOff>0</xdr:colOff>
      <xdr:row>74</xdr:row>
      <xdr:rowOff>66888</xdr:rowOff>
    </xdr:from>
    <xdr:to>
      <xdr:col>54</xdr:col>
      <xdr:colOff>220341</xdr:colOff>
      <xdr:row>74</xdr:row>
      <xdr:rowOff>213925</xdr:rowOff>
    </xdr:to>
    <xdr:sp macro="" textlink="">
      <xdr:nvSpPr>
        <xdr:cNvPr id="85" name="Text Placeholder 371">
          <a:extLst>
            <a:ext uri="{FF2B5EF4-FFF2-40B4-BE49-F238E27FC236}">
              <a16:creationId xmlns:a16="http://schemas.microsoft.com/office/drawing/2014/main" id="{602ED8FD-E2AE-4DFD-8F5A-2AC90567EBC0}"/>
            </a:ext>
          </a:extLst>
        </xdr:cNvPr>
        <xdr:cNvSpPr>
          <a:spLocks noGrp="1"/>
        </xdr:cNvSpPr>
      </xdr:nvSpPr>
      <xdr:spPr bwMode="auto">
        <a:xfrm>
          <a:off x="23221950" y="23953683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G2</a:t>
          </a:r>
        </a:p>
      </xdr:txBody>
    </xdr:sp>
    <xdr:clientData/>
  </xdr:twoCellAnchor>
  <xdr:twoCellAnchor>
    <xdr:from>
      <xdr:col>146</xdr:col>
      <xdr:colOff>123825</xdr:colOff>
      <xdr:row>74</xdr:row>
      <xdr:rowOff>200238</xdr:rowOff>
    </xdr:from>
    <xdr:to>
      <xdr:col>147</xdr:col>
      <xdr:colOff>115566</xdr:colOff>
      <xdr:row>74</xdr:row>
      <xdr:rowOff>347275</xdr:rowOff>
    </xdr:to>
    <xdr:sp macro="" textlink="">
      <xdr:nvSpPr>
        <xdr:cNvPr id="86" name="Text Placeholder 371">
          <a:extLst>
            <a:ext uri="{FF2B5EF4-FFF2-40B4-BE49-F238E27FC236}">
              <a16:creationId xmlns:a16="http://schemas.microsoft.com/office/drawing/2014/main" id="{E3750FBE-ED50-4FE8-BB60-BBB80DB99ABD}"/>
            </a:ext>
          </a:extLst>
        </xdr:cNvPr>
        <xdr:cNvSpPr>
          <a:spLocks noGrp="1"/>
        </xdr:cNvSpPr>
      </xdr:nvSpPr>
      <xdr:spPr bwMode="auto">
        <a:xfrm>
          <a:off x="44378880" y="24090843"/>
          <a:ext cx="218436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G3</a:t>
          </a:r>
        </a:p>
      </xdr:txBody>
    </xdr:sp>
    <xdr:clientData/>
  </xdr:twoCellAnchor>
  <xdr:twoCellAnchor>
    <xdr:from>
      <xdr:col>147</xdr:col>
      <xdr:colOff>130224</xdr:colOff>
      <xdr:row>74</xdr:row>
      <xdr:rowOff>222373</xdr:rowOff>
    </xdr:from>
    <xdr:to>
      <xdr:col>147</xdr:col>
      <xdr:colOff>216624</xdr:colOff>
      <xdr:row>74</xdr:row>
      <xdr:rowOff>314334</xdr:rowOff>
    </xdr:to>
    <xdr:sp macro="" textlink="">
      <xdr:nvSpPr>
        <xdr:cNvPr id="87" name="Losange 8">
          <a:extLst>
            <a:ext uri="{FF2B5EF4-FFF2-40B4-BE49-F238E27FC236}">
              <a16:creationId xmlns:a16="http://schemas.microsoft.com/office/drawing/2014/main" id="{72E82839-0D36-4510-AF4A-140EA3873B77}"/>
            </a:ext>
          </a:extLst>
        </xdr:cNvPr>
        <xdr:cNvSpPr/>
      </xdr:nvSpPr>
      <xdr:spPr bwMode="gray">
        <a:xfrm>
          <a:off x="44615784" y="24109168"/>
          <a:ext cx="78780" cy="95771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273</xdr:col>
      <xdr:colOff>219085</xdr:colOff>
      <xdr:row>74</xdr:row>
      <xdr:rowOff>186267</xdr:rowOff>
    </xdr:from>
    <xdr:to>
      <xdr:col>275</xdr:col>
      <xdr:colOff>135096</xdr:colOff>
      <xdr:row>74</xdr:row>
      <xdr:rowOff>338921</xdr:rowOff>
    </xdr:to>
    <xdr:sp macro="" textlink="">
      <xdr:nvSpPr>
        <xdr:cNvPr id="88" name="ZoneTexte 156">
          <a:extLst>
            <a:ext uri="{FF2B5EF4-FFF2-40B4-BE49-F238E27FC236}">
              <a16:creationId xmlns:a16="http://schemas.microsoft.com/office/drawing/2014/main" id="{148BEAEE-7730-434E-9CA1-163AE05D845A}"/>
            </a:ext>
          </a:extLst>
        </xdr:cNvPr>
        <xdr:cNvSpPr txBox="1"/>
      </xdr:nvSpPr>
      <xdr:spPr bwMode="gray">
        <a:xfrm>
          <a:off x="73502530" y="24073062"/>
          <a:ext cx="371306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Dec 30</a:t>
          </a:r>
        </a:p>
      </xdr:txBody>
    </xdr:sp>
    <xdr:clientData/>
  </xdr:twoCellAnchor>
  <xdr:twoCellAnchor>
    <xdr:from>
      <xdr:col>272</xdr:col>
      <xdr:colOff>118533</xdr:colOff>
      <xdr:row>74</xdr:row>
      <xdr:rowOff>253155</xdr:rowOff>
    </xdr:from>
    <xdr:to>
      <xdr:col>273</xdr:col>
      <xdr:colOff>110274</xdr:colOff>
      <xdr:row>74</xdr:row>
      <xdr:rowOff>400192</xdr:rowOff>
    </xdr:to>
    <xdr:sp macro="" textlink="">
      <xdr:nvSpPr>
        <xdr:cNvPr id="89" name="Text Placeholder 371">
          <a:extLst>
            <a:ext uri="{FF2B5EF4-FFF2-40B4-BE49-F238E27FC236}">
              <a16:creationId xmlns:a16="http://schemas.microsoft.com/office/drawing/2014/main" id="{9AC077CD-5946-43A5-BB06-1791F7241317}"/>
            </a:ext>
          </a:extLst>
        </xdr:cNvPr>
        <xdr:cNvSpPr>
          <a:spLocks noGrp="1"/>
        </xdr:cNvSpPr>
      </xdr:nvSpPr>
      <xdr:spPr bwMode="auto">
        <a:xfrm>
          <a:off x="73177188" y="24138045"/>
          <a:ext cx="216531" cy="147037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G5</a:t>
          </a:r>
        </a:p>
      </xdr:txBody>
    </xdr:sp>
    <xdr:clientData/>
  </xdr:twoCellAnchor>
  <xdr:twoCellAnchor>
    <xdr:from>
      <xdr:col>273</xdr:col>
      <xdr:colOff>124932</xdr:colOff>
      <xdr:row>74</xdr:row>
      <xdr:rowOff>275290</xdr:rowOff>
    </xdr:from>
    <xdr:to>
      <xdr:col>273</xdr:col>
      <xdr:colOff>211332</xdr:colOff>
      <xdr:row>74</xdr:row>
      <xdr:rowOff>367251</xdr:rowOff>
    </xdr:to>
    <xdr:sp macro="" textlink="">
      <xdr:nvSpPr>
        <xdr:cNvPr id="90" name="Losange 14">
          <a:extLst>
            <a:ext uri="{FF2B5EF4-FFF2-40B4-BE49-F238E27FC236}">
              <a16:creationId xmlns:a16="http://schemas.microsoft.com/office/drawing/2014/main" id="{AE9288ED-E088-46D7-A1E8-A9B7A723D2CE}"/>
            </a:ext>
          </a:extLst>
        </xdr:cNvPr>
        <xdr:cNvSpPr/>
      </xdr:nvSpPr>
      <xdr:spPr bwMode="gray">
        <a:xfrm>
          <a:off x="73412187" y="24165895"/>
          <a:ext cx="80685" cy="86246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  <xdr:twoCellAnchor>
    <xdr:from>
      <xdr:col>301</xdr:col>
      <xdr:colOff>24352</xdr:colOff>
      <xdr:row>74</xdr:row>
      <xdr:rowOff>152400</xdr:rowOff>
    </xdr:from>
    <xdr:to>
      <xdr:col>302</xdr:col>
      <xdr:colOff>168963</xdr:colOff>
      <xdr:row>74</xdr:row>
      <xdr:rowOff>305054</xdr:rowOff>
    </xdr:to>
    <xdr:sp macro="" textlink="">
      <xdr:nvSpPr>
        <xdr:cNvPr id="91" name="ZoneTexte 156">
          <a:extLst>
            <a:ext uri="{FF2B5EF4-FFF2-40B4-BE49-F238E27FC236}">
              <a16:creationId xmlns:a16="http://schemas.microsoft.com/office/drawing/2014/main" id="{52245BCC-CF82-413D-8778-F0E509541855}"/>
            </a:ext>
          </a:extLst>
        </xdr:cNvPr>
        <xdr:cNvSpPr txBox="1"/>
      </xdr:nvSpPr>
      <xdr:spPr bwMode="gray">
        <a:xfrm>
          <a:off x="79706692" y="24041100"/>
          <a:ext cx="380831" cy="152654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June. 31</a:t>
          </a:r>
        </a:p>
      </xdr:txBody>
    </xdr:sp>
    <xdr:clientData/>
  </xdr:twoCellAnchor>
  <xdr:twoCellAnchor>
    <xdr:from>
      <xdr:col>299</xdr:col>
      <xdr:colOff>152400</xdr:colOff>
      <xdr:row>74</xdr:row>
      <xdr:rowOff>219288</xdr:rowOff>
    </xdr:from>
    <xdr:to>
      <xdr:col>300</xdr:col>
      <xdr:colOff>144141</xdr:colOff>
      <xdr:row>74</xdr:row>
      <xdr:rowOff>366325</xdr:rowOff>
    </xdr:to>
    <xdr:sp macro="" textlink="">
      <xdr:nvSpPr>
        <xdr:cNvPr id="92" name="Text Placeholder 371">
          <a:extLst>
            <a:ext uri="{FF2B5EF4-FFF2-40B4-BE49-F238E27FC236}">
              <a16:creationId xmlns:a16="http://schemas.microsoft.com/office/drawing/2014/main" id="{311FA8B2-07DD-4376-B830-51E87F59E65B}"/>
            </a:ext>
          </a:extLst>
        </xdr:cNvPr>
        <xdr:cNvSpPr>
          <a:spLocks noGrp="1"/>
        </xdr:cNvSpPr>
      </xdr:nvSpPr>
      <xdr:spPr bwMode="auto">
        <a:xfrm>
          <a:off x="79381350" y="24106083"/>
          <a:ext cx="21843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G6</a:t>
          </a:r>
        </a:p>
      </xdr:txBody>
    </xdr:sp>
    <xdr:clientData/>
  </xdr:twoCellAnchor>
  <xdr:twoCellAnchor>
    <xdr:from>
      <xdr:col>230</xdr:col>
      <xdr:colOff>57150</xdr:colOff>
      <xdr:row>74</xdr:row>
      <xdr:rowOff>66888</xdr:rowOff>
    </xdr:from>
    <xdr:to>
      <xdr:col>231</xdr:col>
      <xdr:colOff>48891</xdr:colOff>
      <xdr:row>74</xdr:row>
      <xdr:rowOff>213925</xdr:rowOff>
    </xdr:to>
    <xdr:sp macro="" textlink="">
      <xdr:nvSpPr>
        <xdr:cNvPr id="93" name="Text Placeholder 371">
          <a:extLst>
            <a:ext uri="{FF2B5EF4-FFF2-40B4-BE49-F238E27FC236}">
              <a16:creationId xmlns:a16="http://schemas.microsoft.com/office/drawing/2014/main" id="{6D405B7A-2A50-4FD6-B74A-6525CA06CCBA}"/>
            </a:ext>
          </a:extLst>
        </xdr:cNvPr>
        <xdr:cNvSpPr>
          <a:spLocks noGrp="1"/>
        </xdr:cNvSpPr>
      </xdr:nvSpPr>
      <xdr:spPr bwMode="auto">
        <a:xfrm>
          <a:off x="63508890" y="23953683"/>
          <a:ext cx="226056" cy="145132"/>
        </a:xfrm>
        <a:prstGeom prst="rect">
          <a:avLst/>
        </a:prstGeom>
        <a:ln>
          <a:noFill/>
        </a:ln>
        <a:effectLst/>
      </xdr:spPr>
      <xdr:txBody>
        <a:bodyPr vert="horz" wrap="square" lIns="0" tIns="0" rIns="0" bIns="0" rtlCol="0" anchor="t">
          <a:noAutofit/>
        </a:bodyPr>
        <a:lstStyle>
          <a:defPPr>
            <a:defRPr lang="it-IT"/>
          </a:defPPr>
          <a:lvl1pPr marL="0" indent="0" algn="l" defTabSz="914400" rtl="0" eaLnBrk="1" latinLnBrk="0" hangingPunct="1">
            <a:lnSpc>
              <a:spcPct val="110000"/>
            </a:lnSpc>
            <a:spcBef>
              <a:spcPts val="600"/>
            </a:spcBef>
            <a:spcAft>
              <a:spcPts val="300"/>
            </a:spcAft>
            <a:buFont typeface="Arial" panose="020B0604020202020204" pitchFamily="34" charset="0"/>
            <a:buChar char="​"/>
            <a:defRPr lang="en-US" sz="1200" kern="120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1pPr>
          <a:lvl2pPr marL="2844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Arial" panose="020B0604020202020204" pitchFamily="34" charset="0"/>
            <a:buChar char="•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2pPr>
          <a:lvl3pPr marL="511200" indent="-21600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tx2"/>
            </a:buClr>
            <a:buSzPct val="100000"/>
            <a:buFont typeface="Trebuchet MS" panose="020B0603020202020204" pitchFamily="34" charset="0"/>
            <a:buChar char="–"/>
            <a:defRPr lang="en-US" sz="1200" kern="1200" dirty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3pPr>
          <a:lvl4pPr marL="0" indent="0" algn="l" defTabSz="914400" rtl="0" eaLnBrk="1" latinLnBrk="0" hangingPunct="1">
            <a:lnSpc>
              <a:spcPct val="110000"/>
            </a:lnSpc>
            <a:spcBef>
              <a:spcPts val="300"/>
            </a:spcBef>
            <a:spcAft>
              <a:spcPts val="300"/>
            </a:spcAft>
            <a:buClr>
              <a:schemeClr val="tx2"/>
            </a:buClr>
            <a:buFont typeface="Arial" panose="020B0604020202020204" pitchFamily="34" charset="0"/>
            <a:buChar char="​"/>
            <a:defRPr lang="en-US" sz="1600" kern="120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4pPr>
          <a:lvl5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Font typeface="Arial" panose="020B0604020202020204" pitchFamily="34" charset="0"/>
            <a:buChar char="​"/>
            <a:defRPr lang="en-US" sz="1600" b="1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5pPr>
          <a:lvl6pPr marL="283464" indent="-219456" algn="l" defTabSz="914400" rtl="0" eaLnBrk="1" latinLnBrk="0" hangingPunct="1">
            <a:lnSpc>
              <a:spcPct val="90000"/>
            </a:lnSpc>
            <a:spcBef>
              <a:spcPts val="0"/>
            </a:spcBef>
            <a:spcAft>
              <a:spcPts val="600"/>
            </a:spcAft>
            <a:buClr>
              <a:schemeClr val="tx2"/>
            </a:buClr>
            <a:buFont typeface="Arial" panose="020B0604020202020204" pitchFamily="34" charset="0"/>
            <a:buChar char="•"/>
            <a:defRPr lang="en-US" sz="1600" kern="120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6pPr>
          <a:lvl7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4400" kern="1200" baseline="0" smtClean="0">
              <a:solidFill>
                <a:schemeClr val="tx1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7pPr>
          <a:lvl8pPr marL="0" indent="0" algn="l" defTabSz="914400" rtl="0" eaLnBrk="1" latinLnBrk="0" hangingPunct="1">
            <a:lnSpc>
              <a:spcPct val="90000"/>
            </a:lnSpc>
            <a:spcBef>
              <a:spcPts val="900"/>
            </a:spcBef>
            <a:spcAft>
              <a:spcPts val="0"/>
            </a:spcAft>
            <a:buFont typeface="Arial" panose="020B0604020202020204" pitchFamily="34" charset="0"/>
            <a:buChar char="​"/>
            <a:defRPr lang="en-US" sz="5400" kern="1200" baseline="0" smtClean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8pPr>
          <a:lvl9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900"/>
            </a:spcAft>
            <a:buFont typeface="Arial" panose="020B0604020202020204" pitchFamily="34" charset="0"/>
            <a:buChar char="​"/>
            <a:defRPr lang="en-US" sz="2400" kern="1200" baseline="0" dirty="0">
              <a:solidFill>
                <a:schemeClr val="tx2"/>
              </a:solidFill>
              <a:latin typeface="+mn-lt"/>
              <a:ea typeface="+mn-ea"/>
              <a:cs typeface="+mn-cs"/>
              <a:sym typeface="Trebuchet MS" panose="020B0603020202020204" pitchFamily="34" charset="0"/>
            </a:defRPr>
          </a:lvl9pPr>
        </a:lstStyle>
        <a:p>
          <a:pPr algn="ctr" defTabSz="685800">
            <a:spcBef>
              <a:spcPct val="0"/>
            </a:spcBef>
            <a:spcAft>
              <a:spcPct val="0"/>
            </a:spcAft>
            <a:defRPr/>
          </a:pPr>
          <a:r>
            <a:rPr lang="en-US" sz="825" b="1">
              <a:latin typeface="Arial Narrow"/>
              <a:cs typeface="Arial"/>
            </a:rPr>
            <a:t>G4</a:t>
          </a:r>
        </a:p>
      </xdr:txBody>
    </xdr:sp>
    <xdr:clientData/>
  </xdr:twoCellAnchor>
  <xdr:twoCellAnchor>
    <xdr:from>
      <xdr:col>230</xdr:col>
      <xdr:colOff>209171</xdr:colOff>
      <xdr:row>74</xdr:row>
      <xdr:rowOff>228600</xdr:rowOff>
    </xdr:from>
    <xdr:to>
      <xdr:col>232</xdr:col>
      <xdr:colOff>222196</xdr:colOff>
      <xdr:row>74</xdr:row>
      <xdr:rowOff>383976</xdr:rowOff>
    </xdr:to>
    <xdr:sp macro="" textlink="">
      <xdr:nvSpPr>
        <xdr:cNvPr id="94" name="ZoneTexte 130">
          <a:extLst>
            <a:ext uri="{FF2B5EF4-FFF2-40B4-BE49-F238E27FC236}">
              <a16:creationId xmlns:a16="http://schemas.microsoft.com/office/drawing/2014/main" id="{D3F47280-6886-4334-8FB9-B94D9FB4DCA4}"/>
            </a:ext>
          </a:extLst>
        </xdr:cNvPr>
        <xdr:cNvSpPr txBox="1"/>
      </xdr:nvSpPr>
      <xdr:spPr bwMode="gray">
        <a:xfrm>
          <a:off x="63668531" y="24117300"/>
          <a:ext cx="464510" cy="155376"/>
        </a:xfrm>
        <a:prstGeom prst="rect">
          <a:avLst/>
        </a:prstGeom>
        <a:solidFill>
          <a:schemeClr val="bg1"/>
        </a:solidFill>
      </xdr:spPr>
      <xdr:txBody>
        <a:bodyPr wrap="square" lIns="0" tIns="13500" rIns="0" bIns="13500" anchor="ctr">
          <a:sp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110000"/>
            </a:lnSpc>
            <a:spcBef>
              <a:spcPct val="0"/>
            </a:spcBef>
            <a:spcAft>
              <a:spcPct val="0"/>
            </a:spcAft>
            <a:buFont typeface="Arial" panose="020B0604020202020204" pitchFamily="34" charset="0"/>
            <a:buChar char="​"/>
            <a:defRPr/>
          </a:pPr>
          <a:r>
            <a:rPr lang="en-US" sz="825" b="1">
              <a:solidFill>
                <a:srgbClr val="1554FF"/>
              </a:solidFill>
              <a:latin typeface="Arial Narrow"/>
              <a:cs typeface="Arial"/>
              <a:sym typeface="Trebuchet MS" panose="020B0603020202020204" pitchFamily="34" charset="0"/>
            </a:rPr>
            <a:t>Feb. 30</a:t>
          </a:r>
        </a:p>
      </xdr:txBody>
    </xdr:sp>
    <xdr:clientData/>
  </xdr:twoCellAnchor>
  <xdr:twoCellAnchor>
    <xdr:from>
      <xdr:col>231</xdr:col>
      <xdr:colOff>96283</xdr:colOff>
      <xdr:row>74</xdr:row>
      <xdr:rowOff>395936</xdr:rowOff>
    </xdr:from>
    <xdr:to>
      <xdr:col>232</xdr:col>
      <xdr:colOff>30283</xdr:colOff>
      <xdr:row>74</xdr:row>
      <xdr:rowOff>482601</xdr:rowOff>
    </xdr:to>
    <xdr:sp macro="" textlink="">
      <xdr:nvSpPr>
        <xdr:cNvPr id="95" name="Losange 49">
          <a:extLst>
            <a:ext uri="{FF2B5EF4-FFF2-40B4-BE49-F238E27FC236}">
              <a16:creationId xmlns:a16="http://schemas.microsoft.com/office/drawing/2014/main" id="{072993F3-DF97-496A-8983-56EAE80E1F0E}"/>
            </a:ext>
          </a:extLst>
        </xdr:cNvPr>
        <xdr:cNvSpPr/>
      </xdr:nvSpPr>
      <xdr:spPr bwMode="gray">
        <a:xfrm>
          <a:off x="63776623" y="24288446"/>
          <a:ext cx="164505" cy="79045"/>
        </a:xfrm>
        <a:prstGeom prst="diamond">
          <a:avLst/>
        </a:prstGeom>
        <a:solidFill>
          <a:schemeClr val="tx2"/>
        </a:solidFill>
        <a:ln w="9525" cap="rnd" cmpd="sng" algn="ctr">
          <a:solidFill>
            <a:schemeClr val="tx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4290" tIns="34290" rIns="34290" bIns="3429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8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377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566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754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943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131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320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509" algn="l" defTabSz="914377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685800">
            <a:lnSpc>
              <a:spcPct val="90000"/>
            </a:lnSpc>
            <a:spcAft>
              <a:spcPts val="750"/>
            </a:spcAft>
            <a:defRPr/>
          </a:pPr>
          <a:endParaRPr lang="en-US" sz="900">
            <a:solidFill>
              <a:srgbClr val="FFFFFF"/>
            </a:solidFill>
            <a:latin typeface="Arial Narrow"/>
            <a:cs typeface="Arial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ABAWSKI Sylvain (Iveco Group)" id="{64A4721B-9C8B-438E-9452-562D207F7190}" userId="S::sylvain.zabawski@ivecogroup.com::21dac2e5-3c9b-407a-b514-2040125f9c79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6-03-17T12:45:38.56" personId="{64A4721B-9C8B-438E-9452-562D207F7190}" id="{76CF7BDC-CE33-43BE-A7ED-556BDD0F42F8}">
    <text>2 -&gt; 1</text>
  </threadedComment>
  <threadedComment ref="E18" dT="2026-03-17T12:44:20.84" personId="{64A4721B-9C8B-438E-9452-562D207F7190}" id="{C45C0DB2-7006-445D-AECE-C047099BCAF6}">
    <text>2 -&gt; 0
Ordered by PE</text>
  </threadedComment>
  <threadedComment ref="F25" dT="2026-03-17T12:47:45.11" personId="{64A4721B-9C8B-438E-9452-562D207F7190}" id="{0639ED19-A1C4-4444-9FD9-665C93DD1C0B}">
    <text>+16k€
VMU with Ethernet</text>
  </threadedComment>
  <threadedComment ref="E26" dT="2026-03-17T12:46:00.23" personId="{64A4721B-9C8B-438E-9452-562D207F7190}" id="{D938AEF6-C711-44E1-964B-CBD801270173}">
    <text>7 -&gt; 5 packs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C:\Users\PA054\AppData\Local\Microsoft\Windows\Forms\AllItems.aspx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6C62-891C-44C9-A53A-43E3E871A441}">
  <sheetPr>
    <pageSetUpPr fitToPage="1"/>
  </sheetPr>
  <dimension ref="A1:P32"/>
  <sheetViews>
    <sheetView zoomScale="130" zoomScaleNormal="130" workbookViewId="0">
      <selection activeCell="M18" sqref="M18"/>
    </sheetView>
  </sheetViews>
  <sheetFormatPr defaultColWidth="11.42578125" defaultRowHeight="14.45"/>
  <cols>
    <col min="1" max="1" width="14.140625" bestFit="1" customWidth="1"/>
    <col min="4" max="4" width="14.140625" bestFit="1" customWidth="1"/>
    <col min="5" max="16" width="6.140625" customWidth="1"/>
  </cols>
  <sheetData>
    <row r="1" spans="1:16">
      <c r="A1" s="437" t="s">
        <v>0</v>
      </c>
      <c r="B1" s="399" t="s">
        <v>1</v>
      </c>
      <c r="C1" s="399" t="s">
        <v>2</v>
      </c>
      <c r="D1" s="439" t="s">
        <v>3</v>
      </c>
      <c r="E1" s="439">
        <v>2026</v>
      </c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</row>
    <row r="2" spans="1:16" ht="15" thickBot="1">
      <c r="A2" s="438"/>
      <c r="B2" s="408">
        <f>SUM(B3:B23)</f>
        <v>6125</v>
      </c>
      <c r="C2" s="408">
        <f>SUM(C3:C23)</f>
        <v>6125</v>
      </c>
      <c r="D2" s="438"/>
      <c r="E2" s="404" t="s">
        <v>4</v>
      </c>
      <c r="F2" s="404" t="s">
        <v>5</v>
      </c>
      <c r="G2" s="404" t="s">
        <v>6</v>
      </c>
      <c r="H2" s="404" t="s">
        <v>7</v>
      </c>
      <c r="I2" s="404" t="s">
        <v>6</v>
      </c>
      <c r="J2" s="404" t="s">
        <v>4</v>
      </c>
      <c r="K2" s="404" t="s">
        <v>4</v>
      </c>
      <c r="L2" s="404" t="s">
        <v>7</v>
      </c>
      <c r="M2" s="404" t="s">
        <v>8</v>
      </c>
      <c r="N2" s="404" t="s">
        <v>9</v>
      </c>
      <c r="O2" s="404" t="s">
        <v>10</v>
      </c>
      <c r="P2" s="404" t="s">
        <v>11</v>
      </c>
    </row>
    <row r="3" spans="1:16">
      <c r="A3" s="401" t="s">
        <v>12</v>
      </c>
      <c r="B3" s="405">
        <v>725</v>
      </c>
      <c r="C3" s="401">
        <v>725</v>
      </c>
      <c r="D3" s="401" t="s">
        <v>13</v>
      </c>
      <c r="E3" s="409">
        <f>$C3*140/1560</f>
        <v>65.064102564102569</v>
      </c>
      <c r="F3" s="409">
        <f t="shared" ref="F3:K7" si="0">$C3*140/1560</f>
        <v>65.064102564102569</v>
      </c>
      <c r="G3" s="409">
        <f t="shared" si="0"/>
        <v>65.064102564102569</v>
      </c>
      <c r="H3" s="409">
        <f t="shared" si="0"/>
        <v>65.064102564102569</v>
      </c>
      <c r="I3" s="409">
        <f t="shared" si="0"/>
        <v>65.064102564102569</v>
      </c>
      <c r="J3" s="409">
        <f t="shared" si="0"/>
        <v>65.064102564102569</v>
      </c>
      <c r="K3" s="409">
        <f t="shared" si="0"/>
        <v>65.064102564102569</v>
      </c>
      <c r="L3" s="409">
        <f>$C3*20/1560</f>
        <v>9.2948717948717956</v>
      </c>
      <c r="M3" s="409">
        <f>$C3*140/1560</f>
        <v>65.064102564102569</v>
      </c>
      <c r="N3" s="409">
        <f t="shared" ref="N3:P7" si="1">$C3*140/1560</f>
        <v>65.064102564102569</v>
      </c>
      <c r="O3" s="409">
        <f t="shared" si="1"/>
        <v>65.064102564102569</v>
      </c>
      <c r="P3" s="409">
        <f t="shared" si="1"/>
        <v>65.064102564102569</v>
      </c>
    </row>
    <row r="4" spans="1:16" ht="15" thickBot="1">
      <c r="A4" s="402" t="s">
        <v>14</v>
      </c>
      <c r="B4" s="406">
        <v>365</v>
      </c>
      <c r="C4" s="402">
        <v>365</v>
      </c>
      <c r="D4" s="402" t="s">
        <v>15</v>
      </c>
      <c r="E4" s="411">
        <f>$C4*140/1560</f>
        <v>32.756410256410255</v>
      </c>
      <c r="F4" s="411">
        <f t="shared" si="0"/>
        <v>32.756410256410255</v>
      </c>
      <c r="G4" s="411">
        <f t="shared" si="0"/>
        <v>32.756410256410255</v>
      </c>
      <c r="H4" s="411">
        <f t="shared" si="0"/>
        <v>32.756410256410255</v>
      </c>
      <c r="I4" s="411">
        <f t="shared" si="0"/>
        <v>32.756410256410255</v>
      </c>
      <c r="J4" s="411">
        <f t="shared" si="0"/>
        <v>32.756410256410255</v>
      </c>
      <c r="K4" s="411">
        <f t="shared" si="0"/>
        <v>32.756410256410255</v>
      </c>
      <c r="L4" s="411">
        <f>$C4*20/1560</f>
        <v>4.6794871794871797</v>
      </c>
      <c r="M4" s="411">
        <f>$C4*140/1560</f>
        <v>32.756410256410255</v>
      </c>
      <c r="N4" s="411">
        <f t="shared" si="1"/>
        <v>32.756410256410255</v>
      </c>
      <c r="O4" s="411">
        <f t="shared" si="1"/>
        <v>32.756410256410255</v>
      </c>
      <c r="P4" s="411">
        <f t="shared" si="1"/>
        <v>32.756410256410255</v>
      </c>
    </row>
    <row r="5" spans="1:16">
      <c r="A5" s="440" t="s">
        <v>16</v>
      </c>
      <c r="B5" s="435">
        <f>SUM(C5:C7)</f>
        <v>650</v>
      </c>
      <c r="C5" s="398">
        <v>200</v>
      </c>
      <c r="D5" s="398" t="s">
        <v>17</v>
      </c>
      <c r="E5" s="409"/>
      <c r="F5" s="409"/>
      <c r="G5" s="409">
        <f>$C5*160/1560</f>
        <v>20.512820512820515</v>
      </c>
      <c r="H5" s="409">
        <f t="shared" ref="H5:P5" si="2">$C5*160/1560</f>
        <v>20.512820512820515</v>
      </c>
      <c r="I5" s="409">
        <f t="shared" si="2"/>
        <v>20.512820512820515</v>
      </c>
      <c r="J5" s="409">
        <f t="shared" si="2"/>
        <v>20.512820512820515</v>
      </c>
      <c r="K5" s="409">
        <f t="shared" si="2"/>
        <v>20.512820512820515</v>
      </c>
      <c r="L5" s="409">
        <f>$C5*120/1560</f>
        <v>15.384615384615385</v>
      </c>
      <c r="M5" s="409">
        <f t="shared" si="2"/>
        <v>20.512820512820515</v>
      </c>
      <c r="N5" s="409">
        <f t="shared" si="2"/>
        <v>20.512820512820515</v>
      </c>
      <c r="O5" s="409">
        <f t="shared" si="2"/>
        <v>20.512820512820515</v>
      </c>
      <c r="P5" s="409">
        <f t="shared" si="2"/>
        <v>20.512820512820515</v>
      </c>
    </row>
    <row r="6" spans="1:16">
      <c r="A6" s="441"/>
      <c r="B6" s="425"/>
      <c r="C6" s="14">
        <v>200</v>
      </c>
      <c r="D6" s="14" t="s">
        <v>18</v>
      </c>
      <c r="E6" s="410">
        <f t="shared" ref="E6:E7" si="3">$C6*140/1560</f>
        <v>17.948717948717949</v>
      </c>
      <c r="F6" s="410">
        <f t="shared" si="0"/>
        <v>17.948717948717949</v>
      </c>
      <c r="G6" s="410">
        <f t="shared" si="0"/>
        <v>17.948717948717949</v>
      </c>
      <c r="H6" s="410">
        <f t="shared" si="0"/>
        <v>17.948717948717949</v>
      </c>
      <c r="I6" s="410">
        <f t="shared" si="0"/>
        <v>17.948717948717949</v>
      </c>
      <c r="J6" s="410">
        <f t="shared" si="0"/>
        <v>17.948717948717949</v>
      </c>
      <c r="K6" s="410">
        <f t="shared" si="0"/>
        <v>17.948717948717949</v>
      </c>
      <c r="L6" s="410">
        <f t="shared" ref="L6:L7" si="4">$C6*20/1560</f>
        <v>2.5641025641025643</v>
      </c>
      <c r="M6" s="410">
        <f t="shared" ref="M6:M7" si="5">$C6*140/1560</f>
        <v>17.948717948717949</v>
      </c>
      <c r="N6" s="410">
        <f t="shared" si="1"/>
        <v>17.948717948717949</v>
      </c>
      <c r="O6" s="410">
        <f t="shared" si="1"/>
        <v>17.948717948717949</v>
      </c>
      <c r="P6" s="410">
        <f t="shared" si="1"/>
        <v>17.948717948717949</v>
      </c>
    </row>
    <row r="7" spans="1:16" ht="15" thickBot="1">
      <c r="A7" s="442"/>
      <c r="B7" s="436"/>
      <c r="C7" s="400">
        <v>250</v>
      </c>
      <c r="D7" s="400" t="s">
        <v>19</v>
      </c>
      <c r="E7" s="411">
        <f t="shared" si="3"/>
        <v>22.435897435897434</v>
      </c>
      <c r="F7" s="411">
        <f t="shared" si="0"/>
        <v>22.435897435897434</v>
      </c>
      <c r="G7" s="411">
        <f t="shared" si="0"/>
        <v>22.435897435897434</v>
      </c>
      <c r="H7" s="411">
        <f t="shared" si="0"/>
        <v>22.435897435897434</v>
      </c>
      <c r="I7" s="411">
        <f t="shared" si="0"/>
        <v>22.435897435897434</v>
      </c>
      <c r="J7" s="411">
        <f t="shared" si="0"/>
        <v>22.435897435897434</v>
      </c>
      <c r="K7" s="411">
        <f t="shared" si="0"/>
        <v>22.435897435897434</v>
      </c>
      <c r="L7" s="411">
        <f t="shared" si="4"/>
        <v>3.2051282051282053</v>
      </c>
      <c r="M7" s="411">
        <f t="shared" si="5"/>
        <v>22.435897435897434</v>
      </c>
      <c r="N7" s="411">
        <f t="shared" si="1"/>
        <v>22.435897435897434</v>
      </c>
      <c r="O7" s="411">
        <f t="shared" si="1"/>
        <v>22.435897435897434</v>
      </c>
      <c r="P7" s="411">
        <f t="shared" si="1"/>
        <v>22.435897435897434</v>
      </c>
    </row>
    <row r="8" spans="1:16">
      <c r="A8" s="440" t="s">
        <v>20</v>
      </c>
      <c r="B8" s="435">
        <f>SUM(C8:C13)</f>
        <v>1650</v>
      </c>
      <c r="C8" s="401">
        <v>500</v>
      </c>
      <c r="D8" s="401" t="s">
        <v>21</v>
      </c>
      <c r="E8" s="401"/>
      <c r="F8" s="401"/>
      <c r="G8" s="14"/>
      <c r="H8" s="14"/>
      <c r="I8" s="421">
        <v>250</v>
      </c>
      <c r="J8" s="401"/>
      <c r="L8" s="401">
        <v>250</v>
      </c>
      <c r="M8" s="401"/>
      <c r="N8" s="401"/>
      <c r="O8" s="401"/>
      <c r="P8" s="401"/>
    </row>
    <row r="9" spans="1:16">
      <c r="A9" s="441"/>
      <c r="B9" s="425"/>
      <c r="C9" s="14">
        <v>260</v>
      </c>
      <c r="D9" s="14" t="s">
        <v>22</v>
      </c>
      <c r="E9" s="14"/>
      <c r="F9" s="14"/>
      <c r="G9" s="14"/>
      <c r="H9" s="14"/>
      <c r="I9" s="14"/>
      <c r="J9" s="14"/>
      <c r="K9" s="14"/>
      <c r="L9" s="14"/>
      <c r="N9" s="14">
        <v>260</v>
      </c>
      <c r="O9" s="14"/>
      <c r="P9" s="14"/>
    </row>
    <row r="10" spans="1:16">
      <c r="A10" s="441"/>
      <c r="B10" s="425"/>
      <c r="C10" s="14">
        <v>140</v>
      </c>
      <c r="D10" s="14" t="s">
        <v>23</v>
      </c>
      <c r="E10" s="14"/>
      <c r="F10" s="14"/>
      <c r="G10" s="14"/>
      <c r="H10" s="14"/>
      <c r="I10" s="14"/>
      <c r="J10" s="14"/>
      <c r="K10" s="14"/>
      <c r="L10" s="423">
        <v>80</v>
      </c>
      <c r="M10" s="423">
        <v>60</v>
      </c>
      <c r="N10" s="14"/>
      <c r="O10" s="14"/>
      <c r="P10" s="14"/>
    </row>
    <row r="11" spans="1:16">
      <c r="A11" s="441"/>
      <c r="B11" s="425"/>
      <c r="C11" s="14">
        <v>500</v>
      </c>
      <c r="D11" s="14" t="s">
        <v>24</v>
      </c>
      <c r="E11" s="14"/>
      <c r="F11" s="14"/>
      <c r="G11" s="14"/>
      <c r="H11" s="14"/>
      <c r="I11" s="422">
        <v>250</v>
      </c>
      <c r="J11" s="14"/>
      <c r="K11" s="14"/>
      <c r="L11" s="14"/>
      <c r="M11" s="14">
        <v>250</v>
      </c>
      <c r="N11" s="14"/>
      <c r="O11" s="14"/>
      <c r="P11" s="14"/>
    </row>
    <row r="12" spans="1:16">
      <c r="A12" s="441"/>
      <c r="B12" s="425"/>
      <c r="C12" s="14">
        <v>100</v>
      </c>
      <c r="D12" s="14" t="s">
        <v>25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100</v>
      </c>
    </row>
    <row r="13" spans="1:16" ht="15" thickBot="1">
      <c r="A13" s="442"/>
      <c r="B13" s="436"/>
      <c r="C13" s="402">
        <v>150</v>
      </c>
      <c r="D13" s="402" t="s">
        <v>26</v>
      </c>
      <c r="E13" s="402"/>
      <c r="F13" s="402"/>
      <c r="G13" s="402"/>
      <c r="H13" s="402"/>
      <c r="I13" s="402"/>
      <c r="J13" s="402"/>
      <c r="K13" s="402"/>
      <c r="L13" s="402"/>
      <c r="M13" s="402"/>
      <c r="N13" s="402"/>
      <c r="O13" s="402"/>
      <c r="P13" s="402">
        <v>150</v>
      </c>
    </row>
    <row r="14" spans="1:16" ht="15" thickBot="1">
      <c r="A14" s="403" t="s">
        <v>27</v>
      </c>
      <c r="B14" s="407">
        <f>C14</f>
        <v>35</v>
      </c>
      <c r="C14" s="403">
        <v>35</v>
      </c>
      <c r="D14" s="403"/>
      <c r="E14" s="403"/>
      <c r="F14" s="403"/>
      <c r="G14" s="403"/>
      <c r="H14" s="403"/>
      <c r="I14" s="403"/>
      <c r="J14" s="403"/>
      <c r="K14" s="403"/>
      <c r="L14" s="403"/>
      <c r="M14" s="403"/>
      <c r="N14" s="403">
        <v>35</v>
      </c>
      <c r="O14" s="403"/>
      <c r="P14" s="403"/>
    </row>
    <row r="15" spans="1:16" ht="15" thickBot="1">
      <c r="A15" s="403" t="s">
        <v>28</v>
      </c>
      <c r="B15" s="407">
        <f>C15</f>
        <v>1000</v>
      </c>
      <c r="C15" s="403">
        <v>1000</v>
      </c>
      <c r="D15" s="403"/>
      <c r="E15" s="403"/>
      <c r="F15" s="403"/>
      <c r="G15" s="403">
        <v>500</v>
      </c>
      <c r="H15" s="403"/>
      <c r="I15" s="403"/>
      <c r="J15" s="403"/>
      <c r="K15" s="403">
        <v>250</v>
      </c>
      <c r="L15" s="403"/>
      <c r="M15" s="403"/>
      <c r="N15" s="403">
        <v>250</v>
      </c>
      <c r="O15" s="403"/>
      <c r="P15" s="403"/>
    </row>
    <row r="16" spans="1:16" ht="15" thickBot="1">
      <c r="A16" s="403" t="s">
        <v>29</v>
      </c>
      <c r="B16" s="407">
        <f>C16</f>
        <v>100</v>
      </c>
      <c r="C16" s="403">
        <v>100</v>
      </c>
      <c r="D16" s="403"/>
      <c r="E16" s="403"/>
      <c r="F16" s="403"/>
      <c r="G16" s="403"/>
      <c r="H16" s="403"/>
      <c r="I16" s="403"/>
      <c r="J16" s="403"/>
      <c r="K16" s="403"/>
      <c r="L16" s="403"/>
      <c r="M16" s="403">
        <v>16</v>
      </c>
      <c r="N16" s="403"/>
      <c r="O16" s="403"/>
      <c r="P16" s="403">
        <v>84</v>
      </c>
    </row>
    <row r="17" spans="1:16">
      <c r="A17" s="432" t="s">
        <v>30</v>
      </c>
      <c r="B17" s="435">
        <f>SUM(C17:C23)</f>
        <v>1600</v>
      </c>
      <c r="C17" s="401">
        <v>250</v>
      </c>
      <c r="D17" s="401" t="s">
        <v>31</v>
      </c>
      <c r="E17" s="401"/>
      <c r="F17" s="401"/>
      <c r="G17" s="421">
        <v>97</v>
      </c>
      <c r="H17" s="421">
        <v>50</v>
      </c>
      <c r="I17" s="401"/>
      <c r="J17" s="401"/>
      <c r="K17" s="401"/>
      <c r="L17" s="401">
        <v>103</v>
      </c>
      <c r="M17" s="401"/>
      <c r="N17" s="401"/>
      <c r="O17" s="401"/>
      <c r="P17" s="401"/>
    </row>
    <row r="18" spans="1:16">
      <c r="A18" s="433"/>
      <c r="B18" s="425"/>
      <c r="C18" s="14">
        <v>300</v>
      </c>
      <c r="D18" s="14" t="s">
        <v>32</v>
      </c>
      <c r="E18" s="14"/>
      <c r="F18" s="14"/>
      <c r="G18" s="14"/>
      <c r="H18" s="422">
        <v>26</v>
      </c>
      <c r="I18" s="14"/>
      <c r="J18" s="422">
        <v>50</v>
      </c>
      <c r="K18" s="14"/>
      <c r="L18" s="14"/>
      <c r="M18" s="14">
        <v>224</v>
      </c>
      <c r="N18" s="14"/>
      <c r="O18" s="14"/>
      <c r="P18" s="14"/>
    </row>
    <row r="19" spans="1:16">
      <c r="A19" s="433"/>
      <c r="B19" s="425"/>
      <c r="C19" s="14">
        <v>480</v>
      </c>
      <c r="D19" s="14" t="s">
        <v>33</v>
      </c>
      <c r="E19" s="14"/>
      <c r="F19" s="14"/>
      <c r="G19" s="14"/>
      <c r="H19" s="422">
        <v>20</v>
      </c>
      <c r="I19" s="14"/>
      <c r="J19" s="422">
        <v>50</v>
      </c>
      <c r="K19" s="14"/>
      <c r="L19" s="14">
        <v>180</v>
      </c>
      <c r="M19" s="14"/>
      <c r="N19" s="14">
        <v>230</v>
      </c>
      <c r="O19" s="14"/>
      <c r="P19" s="14"/>
    </row>
    <row r="20" spans="1:16">
      <c r="A20" s="433"/>
      <c r="B20" s="425"/>
      <c r="C20" s="14">
        <v>50</v>
      </c>
      <c r="D20" s="14" t="s">
        <v>34</v>
      </c>
      <c r="E20" s="14"/>
      <c r="F20" s="14"/>
      <c r="G20" s="14"/>
      <c r="H20" s="14"/>
      <c r="I20" s="14"/>
      <c r="J20" s="422">
        <v>36</v>
      </c>
      <c r="K20" s="14"/>
      <c r="L20" s="14"/>
      <c r="M20" s="14">
        <v>14</v>
      </c>
      <c r="O20" s="14"/>
      <c r="P20" s="14"/>
    </row>
    <row r="21" spans="1:16">
      <c r="A21" s="433"/>
      <c r="B21" s="425"/>
      <c r="C21" s="14">
        <v>170</v>
      </c>
      <c r="D21" s="14" t="s">
        <v>35</v>
      </c>
      <c r="E21" s="14"/>
      <c r="F21" s="14"/>
      <c r="G21" s="422">
        <v>57</v>
      </c>
      <c r="H21" s="422">
        <v>26</v>
      </c>
      <c r="I21" s="14"/>
      <c r="J21" s="14"/>
      <c r="K21" s="14"/>
      <c r="L21" s="14"/>
      <c r="M21" s="14">
        <v>87</v>
      </c>
      <c r="N21" s="14"/>
      <c r="O21" s="14"/>
      <c r="P21" s="14"/>
    </row>
    <row r="22" spans="1:16">
      <c r="A22" s="433"/>
      <c r="B22" s="425"/>
      <c r="C22" s="14">
        <v>300</v>
      </c>
      <c r="D22" s="14" t="s">
        <v>36</v>
      </c>
      <c r="E22" s="14"/>
      <c r="F22" s="14"/>
      <c r="G22" s="422">
        <v>80</v>
      </c>
      <c r="H22" s="422">
        <v>50</v>
      </c>
      <c r="I22" s="14"/>
      <c r="J22" s="14"/>
      <c r="L22" s="14"/>
      <c r="M22" s="14">
        <v>170</v>
      </c>
      <c r="N22" s="14"/>
      <c r="O22" s="14"/>
      <c r="P22" s="14"/>
    </row>
    <row r="23" spans="1:16" ht="15" thickBot="1">
      <c r="A23" s="434"/>
      <c r="B23" s="436"/>
      <c r="C23" s="402">
        <v>50</v>
      </c>
      <c r="D23" s="402" t="s">
        <v>37</v>
      </c>
      <c r="E23" s="402"/>
      <c r="F23" s="402"/>
      <c r="G23" s="402"/>
      <c r="H23" s="402"/>
      <c r="I23" s="402"/>
      <c r="J23" s="402"/>
      <c r="K23" s="402"/>
      <c r="L23" s="402"/>
      <c r="M23" s="402">
        <v>50</v>
      </c>
      <c r="N23" s="402"/>
      <c r="O23" s="402"/>
      <c r="P23" s="402"/>
    </row>
    <row r="24" spans="1:16" ht="15" thickBot="1">
      <c r="D24" s="412" t="s">
        <v>38</v>
      </c>
      <c r="E24" s="413">
        <f>SUM(E3:E23)</f>
        <v>138.2051282051282</v>
      </c>
      <c r="F24" s="413">
        <f t="shared" ref="F24:P24" si="6">SUM(F3:F23)</f>
        <v>138.2051282051282</v>
      </c>
      <c r="G24" s="413">
        <f t="shared" si="6"/>
        <v>892.71794871794873</v>
      </c>
      <c r="H24" s="413">
        <f t="shared" si="6"/>
        <v>330.71794871794873</v>
      </c>
      <c r="I24" s="413">
        <f t="shared" si="6"/>
        <v>658.71794871794873</v>
      </c>
      <c r="J24" s="413">
        <f t="shared" si="6"/>
        <v>294.71794871794873</v>
      </c>
      <c r="K24" s="413">
        <f t="shared" si="6"/>
        <v>408.71794871794873</v>
      </c>
      <c r="L24" s="413">
        <f t="shared" si="6"/>
        <v>648.12820512820508</v>
      </c>
      <c r="M24" s="413">
        <f t="shared" si="6"/>
        <v>1029.7179487179487</v>
      </c>
      <c r="N24" s="413">
        <f t="shared" si="6"/>
        <v>933.71794871794873</v>
      </c>
      <c r="O24" s="413">
        <f t="shared" si="6"/>
        <v>158.7179487179487</v>
      </c>
      <c r="P24" s="414">
        <f t="shared" si="6"/>
        <v>492.71794871794873</v>
      </c>
    </row>
    <row r="25" spans="1:16" ht="15" thickBot="1">
      <c r="D25" s="412"/>
      <c r="E25" s="413">
        <f>E24-E4-E17</f>
        <v>105.44871794871796</v>
      </c>
      <c r="F25" s="413">
        <f t="shared" ref="F25:P25" si="7">F24-F4-F17</f>
        <v>105.44871794871796</v>
      </c>
      <c r="G25" s="413">
        <f t="shared" si="7"/>
        <v>762.96153846153845</v>
      </c>
      <c r="H25" s="413">
        <f t="shared" si="7"/>
        <v>247.96153846153845</v>
      </c>
      <c r="I25" s="413">
        <f t="shared" si="7"/>
        <v>625.96153846153845</v>
      </c>
      <c r="J25" s="413">
        <f t="shared" si="7"/>
        <v>261.96153846153845</v>
      </c>
      <c r="K25" s="413">
        <f t="shared" si="7"/>
        <v>375.96153846153845</v>
      </c>
      <c r="L25" s="413">
        <f t="shared" si="7"/>
        <v>540.4487179487179</v>
      </c>
      <c r="M25" s="413">
        <f t="shared" si="7"/>
        <v>996.96153846153845</v>
      </c>
      <c r="N25" s="413">
        <f t="shared" si="7"/>
        <v>900.96153846153845</v>
      </c>
      <c r="O25" s="413">
        <f t="shared" si="7"/>
        <v>125.96153846153845</v>
      </c>
      <c r="P25" s="413">
        <f t="shared" si="7"/>
        <v>459.96153846153845</v>
      </c>
    </row>
    <row r="26" spans="1:16" ht="15" thickBot="1">
      <c r="D26" s="412" t="s">
        <v>39</v>
      </c>
      <c r="E26" s="413">
        <f>E24</f>
        <v>138.2051282051282</v>
      </c>
      <c r="F26" s="413">
        <f>E26+F24</f>
        <v>276.41025641025641</v>
      </c>
      <c r="G26" s="413">
        <f t="shared" ref="G26:P26" si="8">F26+G24</f>
        <v>1169.1282051282051</v>
      </c>
      <c r="H26" s="413">
        <f t="shared" si="8"/>
        <v>1499.8461538461538</v>
      </c>
      <c r="I26" s="413">
        <f t="shared" si="8"/>
        <v>2158.5641025641025</v>
      </c>
      <c r="J26" s="413">
        <f t="shared" si="8"/>
        <v>2453.2820512820513</v>
      </c>
      <c r="K26" s="413">
        <f t="shared" si="8"/>
        <v>2862</v>
      </c>
      <c r="L26" s="413">
        <f t="shared" si="8"/>
        <v>3510.1282051282051</v>
      </c>
      <c r="M26" s="413">
        <f t="shared" si="8"/>
        <v>4539.8461538461543</v>
      </c>
      <c r="N26" s="413">
        <f t="shared" si="8"/>
        <v>5473.5641025641035</v>
      </c>
      <c r="O26" s="413">
        <f t="shared" si="8"/>
        <v>5632.2820512820517</v>
      </c>
      <c r="P26" s="413">
        <f t="shared" si="8"/>
        <v>6125</v>
      </c>
    </row>
    <row r="27" spans="1:16">
      <c r="D27" s="415" t="s">
        <v>40</v>
      </c>
      <c r="E27" s="416">
        <f>SUM(E3:E4)</f>
        <v>97.820512820512818</v>
      </c>
      <c r="F27" s="416">
        <f t="shared" ref="F27:P27" si="9">SUM(F3:F4)</f>
        <v>97.820512820512818</v>
      </c>
      <c r="G27" s="416">
        <f t="shared" si="9"/>
        <v>97.820512820512818</v>
      </c>
      <c r="H27" s="416">
        <f t="shared" si="9"/>
        <v>97.820512820512818</v>
      </c>
      <c r="I27" s="416">
        <f t="shared" si="9"/>
        <v>97.820512820512818</v>
      </c>
      <c r="J27" s="416">
        <f t="shared" si="9"/>
        <v>97.820512820512818</v>
      </c>
      <c r="K27" s="416">
        <f t="shared" si="9"/>
        <v>97.820512820512818</v>
      </c>
      <c r="L27" s="416">
        <f t="shared" si="9"/>
        <v>13.974358974358974</v>
      </c>
      <c r="M27" s="416">
        <f t="shared" si="9"/>
        <v>97.820512820512818</v>
      </c>
      <c r="N27" s="416">
        <f t="shared" si="9"/>
        <v>97.820512820512818</v>
      </c>
      <c r="O27" s="416">
        <f t="shared" si="9"/>
        <v>97.820512820512818</v>
      </c>
      <c r="P27" s="416">
        <f t="shared" si="9"/>
        <v>97.820512820512818</v>
      </c>
    </row>
    <row r="28" spans="1:16">
      <c r="D28" s="415" t="s">
        <v>16</v>
      </c>
      <c r="E28" s="416">
        <f>SUM(E5:E7)</f>
        <v>40.384615384615387</v>
      </c>
      <c r="F28" s="416">
        <f t="shared" ref="F28:P28" si="10">SUM(F5:F7)</f>
        <v>40.384615384615387</v>
      </c>
      <c r="G28" s="416">
        <f t="shared" si="10"/>
        <v>60.897435897435898</v>
      </c>
      <c r="H28" s="416">
        <f t="shared" si="10"/>
        <v>60.897435897435898</v>
      </c>
      <c r="I28" s="416">
        <f t="shared" si="10"/>
        <v>60.897435897435898</v>
      </c>
      <c r="J28" s="416">
        <f t="shared" si="10"/>
        <v>60.897435897435898</v>
      </c>
      <c r="K28" s="416">
        <f t="shared" si="10"/>
        <v>60.897435897435898</v>
      </c>
      <c r="L28" s="416">
        <f t="shared" si="10"/>
        <v>21.153846153846153</v>
      </c>
      <c r="M28" s="416">
        <f t="shared" si="10"/>
        <v>60.897435897435898</v>
      </c>
      <c r="N28" s="416">
        <f t="shared" si="10"/>
        <v>60.897435897435898</v>
      </c>
      <c r="O28" s="416">
        <f t="shared" si="10"/>
        <v>60.897435897435898</v>
      </c>
      <c r="P28" s="416">
        <f t="shared" si="10"/>
        <v>60.897435897435898</v>
      </c>
    </row>
    <row r="29" spans="1:16">
      <c r="D29" s="415" t="s">
        <v>41</v>
      </c>
      <c r="E29" s="417">
        <f>SUM(E8:E14)</f>
        <v>0</v>
      </c>
      <c r="F29" s="417">
        <f t="shared" ref="F29:P29" si="11">SUM(F8:F14)</f>
        <v>0</v>
      </c>
      <c r="G29" s="417">
        <f t="shared" si="11"/>
        <v>0</v>
      </c>
      <c r="H29" s="417">
        <f t="shared" si="11"/>
        <v>0</v>
      </c>
      <c r="I29" s="417">
        <f t="shared" si="11"/>
        <v>500</v>
      </c>
      <c r="J29" s="417">
        <f t="shared" si="11"/>
        <v>0</v>
      </c>
      <c r="K29" s="417">
        <f t="shared" si="11"/>
        <v>0</v>
      </c>
      <c r="L29" s="417">
        <f>SUM(L8:L14)</f>
        <v>330</v>
      </c>
      <c r="M29" s="417">
        <f t="shared" si="11"/>
        <v>310</v>
      </c>
      <c r="N29" s="417">
        <f t="shared" si="11"/>
        <v>295</v>
      </c>
      <c r="O29" s="417">
        <f t="shared" si="11"/>
        <v>0</v>
      </c>
      <c r="P29" s="417">
        <f t="shared" si="11"/>
        <v>250</v>
      </c>
    </row>
    <row r="30" spans="1:16">
      <c r="D30" s="415" t="s">
        <v>28</v>
      </c>
      <c r="E30" s="417">
        <f>SUM(E15)</f>
        <v>0</v>
      </c>
      <c r="F30" s="417">
        <f t="shared" ref="F30:P30" si="12">SUM(F15)</f>
        <v>0</v>
      </c>
      <c r="G30" s="417">
        <f t="shared" si="12"/>
        <v>500</v>
      </c>
      <c r="H30" s="417">
        <f t="shared" si="12"/>
        <v>0</v>
      </c>
      <c r="I30" s="417">
        <f t="shared" si="12"/>
        <v>0</v>
      </c>
      <c r="J30" s="417">
        <f t="shared" si="12"/>
        <v>0</v>
      </c>
      <c r="K30" s="417">
        <f t="shared" si="12"/>
        <v>250</v>
      </c>
      <c r="L30" s="417">
        <f t="shared" si="12"/>
        <v>0</v>
      </c>
      <c r="M30" s="417">
        <f t="shared" si="12"/>
        <v>0</v>
      </c>
      <c r="N30" s="417">
        <f t="shared" si="12"/>
        <v>250</v>
      </c>
      <c r="O30" s="417">
        <f t="shared" si="12"/>
        <v>0</v>
      </c>
      <c r="P30" s="417">
        <f t="shared" si="12"/>
        <v>0</v>
      </c>
    </row>
    <row r="31" spans="1:16">
      <c r="D31" s="415" t="s">
        <v>30</v>
      </c>
      <c r="E31" s="417">
        <f>SUM(E17:E23)</f>
        <v>0</v>
      </c>
      <c r="F31" s="417">
        <f t="shared" ref="F31:P31" si="13">SUM(F17:F23)</f>
        <v>0</v>
      </c>
      <c r="G31" s="417">
        <f t="shared" si="13"/>
        <v>234</v>
      </c>
      <c r="H31" s="417">
        <f t="shared" si="13"/>
        <v>172</v>
      </c>
      <c r="I31" s="417">
        <f t="shared" si="13"/>
        <v>0</v>
      </c>
      <c r="J31" s="417">
        <f t="shared" si="13"/>
        <v>136</v>
      </c>
      <c r="K31" s="417">
        <f t="shared" si="13"/>
        <v>0</v>
      </c>
      <c r="L31" s="417">
        <f t="shared" si="13"/>
        <v>283</v>
      </c>
      <c r="M31" s="417">
        <f t="shared" si="13"/>
        <v>545</v>
      </c>
      <c r="N31" s="417">
        <f t="shared" si="13"/>
        <v>230</v>
      </c>
      <c r="O31" s="417">
        <f t="shared" si="13"/>
        <v>0</v>
      </c>
      <c r="P31" s="417">
        <f t="shared" si="13"/>
        <v>0</v>
      </c>
    </row>
    <row r="32" spans="1:16">
      <c r="D32" s="415" t="s">
        <v>29</v>
      </c>
      <c r="E32" s="417">
        <f>SUM(E16)</f>
        <v>0</v>
      </c>
      <c r="F32" s="417">
        <f t="shared" ref="F32:P32" si="14">SUM(F16)</f>
        <v>0</v>
      </c>
      <c r="G32" s="417">
        <f t="shared" si="14"/>
        <v>0</v>
      </c>
      <c r="H32" s="417">
        <f t="shared" si="14"/>
        <v>0</v>
      </c>
      <c r="I32" s="417">
        <f t="shared" si="14"/>
        <v>0</v>
      </c>
      <c r="J32" s="417">
        <f t="shared" si="14"/>
        <v>0</v>
      </c>
      <c r="K32" s="417">
        <f t="shared" si="14"/>
        <v>0</v>
      </c>
      <c r="L32" s="417">
        <f t="shared" si="14"/>
        <v>0</v>
      </c>
      <c r="M32" s="417">
        <f t="shared" si="14"/>
        <v>16</v>
      </c>
      <c r="N32" s="417">
        <f t="shared" si="14"/>
        <v>0</v>
      </c>
      <c r="O32" s="417">
        <f t="shared" si="14"/>
        <v>0</v>
      </c>
      <c r="P32" s="417">
        <f t="shared" si="14"/>
        <v>84</v>
      </c>
    </row>
  </sheetData>
  <mergeCells count="9">
    <mergeCell ref="A17:A23"/>
    <mergeCell ref="B17:B23"/>
    <mergeCell ref="A1:A2"/>
    <mergeCell ref="D1:D2"/>
    <mergeCell ref="E1:P1"/>
    <mergeCell ref="A5:A7"/>
    <mergeCell ref="B5:B7"/>
    <mergeCell ref="A8:A13"/>
    <mergeCell ref="B8:B13"/>
  </mergeCells>
  <pageMargins left="0.7" right="0.7" top="0.75" bottom="0.75" header="0.3" footer="0.3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F16C-DCB8-4058-9349-56C93147917F}">
  <sheetPr codeName="Feuil1">
    <pageSetUpPr fitToPage="1"/>
  </sheetPr>
  <dimension ref="A1:P31"/>
  <sheetViews>
    <sheetView zoomScale="130" zoomScaleNormal="130" workbookViewId="0">
      <selection activeCell="B31" sqref="B31"/>
    </sheetView>
  </sheetViews>
  <sheetFormatPr defaultColWidth="11.42578125" defaultRowHeight="14.45"/>
  <cols>
    <col min="1" max="1" width="14.140625" bestFit="1" customWidth="1"/>
    <col min="4" max="4" width="14.140625" bestFit="1" customWidth="1"/>
    <col min="5" max="16" width="6.140625" customWidth="1"/>
  </cols>
  <sheetData>
    <row r="1" spans="1:16">
      <c r="A1" s="437" t="s">
        <v>0</v>
      </c>
      <c r="B1" s="399" t="s">
        <v>1</v>
      </c>
      <c r="C1" s="399" t="s">
        <v>2</v>
      </c>
      <c r="D1" s="439" t="s">
        <v>3</v>
      </c>
      <c r="E1" s="439">
        <v>2026</v>
      </c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</row>
    <row r="2" spans="1:16" ht="15" thickBot="1">
      <c r="A2" s="438"/>
      <c r="B2" s="408">
        <f>SUM(B3:B22)</f>
        <v>6125</v>
      </c>
      <c r="C2" s="408">
        <f>SUM(C3:C22)</f>
        <v>6125</v>
      </c>
      <c r="D2" s="438"/>
      <c r="E2" s="404" t="s">
        <v>4</v>
      </c>
      <c r="F2" s="404" t="s">
        <v>5</v>
      </c>
      <c r="G2" s="404" t="s">
        <v>6</v>
      </c>
      <c r="H2" s="404" t="s">
        <v>7</v>
      </c>
      <c r="I2" s="404" t="s">
        <v>6</v>
      </c>
      <c r="J2" s="404" t="s">
        <v>4</v>
      </c>
      <c r="K2" s="404" t="s">
        <v>4</v>
      </c>
      <c r="L2" s="404" t="s">
        <v>7</v>
      </c>
      <c r="M2" s="404" t="s">
        <v>8</v>
      </c>
      <c r="N2" s="404" t="s">
        <v>9</v>
      </c>
      <c r="O2" s="404" t="s">
        <v>10</v>
      </c>
      <c r="P2" s="404" t="s">
        <v>11</v>
      </c>
    </row>
    <row r="3" spans="1:16">
      <c r="A3" s="401" t="s">
        <v>12</v>
      </c>
      <c r="B3" s="405">
        <v>725</v>
      </c>
      <c r="C3" s="401">
        <v>725</v>
      </c>
      <c r="D3" s="401" t="s">
        <v>13</v>
      </c>
      <c r="E3" s="409">
        <f>$C3*140/1560</f>
        <v>65.064102564102569</v>
      </c>
      <c r="F3" s="409">
        <f t="shared" ref="F3:K7" si="0">$C3*140/1560</f>
        <v>65.064102564102569</v>
      </c>
      <c r="G3" s="409">
        <f t="shared" si="0"/>
        <v>65.064102564102569</v>
      </c>
      <c r="H3" s="409">
        <f t="shared" si="0"/>
        <v>65.064102564102569</v>
      </c>
      <c r="I3" s="409">
        <f t="shared" si="0"/>
        <v>65.064102564102569</v>
      </c>
      <c r="J3" s="409">
        <f t="shared" si="0"/>
        <v>65.064102564102569</v>
      </c>
      <c r="K3" s="409">
        <f t="shared" si="0"/>
        <v>65.064102564102569</v>
      </c>
      <c r="L3" s="409">
        <f>$C3*20/1560</f>
        <v>9.2948717948717956</v>
      </c>
      <c r="M3" s="409">
        <f>$C3*140/1560</f>
        <v>65.064102564102569</v>
      </c>
      <c r="N3" s="409">
        <f t="shared" ref="N3:P7" si="1">$C3*140/1560</f>
        <v>65.064102564102569</v>
      </c>
      <c r="O3" s="409">
        <f t="shared" si="1"/>
        <v>65.064102564102569</v>
      </c>
      <c r="P3" s="409">
        <f t="shared" si="1"/>
        <v>65.064102564102569</v>
      </c>
    </row>
    <row r="4" spans="1:16" ht="15" thickBot="1">
      <c r="A4" s="402" t="s">
        <v>14</v>
      </c>
      <c r="B4" s="406">
        <v>365</v>
      </c>
      <c r="C4" s="402">
        <v>365</v>
      </c>
      <c r="D4" s="402" t="s">
        <v>15</v>
      </c>
      <c r="E4" s="411">
        <f>$C4*140/1560</f>
        <v>32.756410256410255</v>
      </c>
      <c r="F4" s="411">
        <f t="shared" si="0"/>
        <v>32.756410256410255</v>
      </c>
      <c r="G4" s="411">
        <f t="shared" si="0"/>
        <v>32.756410256410255</v>
      </c>
      <c r="H4" s="411">
        <f t="shared" si="0"/>
        <v>32.756410256410255</v>
      </c>
      <c r="I4" s="411">
        <f t="shared" si="0"/>
        <v>32.756410256410255</v>
      </c>
      <c r="J4" s="411">
        <f t="shared" si="0"/>
        <v>32.756410256410255</v>
      </c>
      <c r="K4" s="411">
        <f t="shared" si="0"/>
        <v>32.756410256410255</v>
      </c>
      <c r="L4" s="411">
        <f>$C4*20/1560</f>
        <v>4.6794871794871797</v>
      </c>
      <c r="M4" s="411">
        <f>$C4*140/1560</f>
        <v>32.756410256410255</v>
      </c>
      <c r="N4" s="411">
        <f t="shared" si="1"/>
        <v>32.756410256410255</v>
      </c>
      <c r="O4" s="411">
        <f t="shared" si="1"/>
        <v>32.756410256410255</v>
      </c>
      <c r="P4" s="411">
        <f t="shared" si="1"/>
        <v>32.756410256410255</v>
      </c>
    </row>
    <row r="5" spans="1:16">
      <c r="A5" s="440" t="s">
        <v>16</v>
      </c>
      <c r="B5" s="435">
        <f>SUM(C5:C7)</f>
        <v>650</v>
      </c>
      <c r="C5" s="398">
        <v>200</v>
      </c>
      <c r="D5" s="398" t="s">
        <v>17</v>
      </c>
      <c r="E5" s="409"/>
      <c r="F5" s="409"/>
      <c r="G5" s="409">
        <f>$C5*160/1560</f>
        <v>20.512820512820515</v>
      </c>
      <c r="H5" s="409">
        <f t="shared" ref="H5:P5" si="2">$C5*160/1560</f>
        <v>20.512820512820515</v>
      </c>
      <c r="I5" s="409">
        <f t="shared" si="2"/>
        <v>20.512820512820515</v>
      </c>
      <c r="J5" s="409">
        <f t="shared" si="2"/>
        <v>20.512820512820515</v>
      </c>
      <c r="K5" s="409">
        <f t="shared" si="2"/>
        <v>20.512820512820515</v>
      </c>
      <c r="L5" s="409">
        <f>$C5*120/1560</f>
        <v>15.384615384615385</v>
      </c>
      <c r="M5" s="409">
        <f t="shared" si="2"/>
        <v>20.512820512820515</v>
      </c>
      <c r="N5" s="409">
        <f t="shared" si="2"/>
        <v>20.512820512820515</v>
      </c>
      <c r="O5" s="409">
        <f t="shared" si="2"/>
        <v>20.512820512820515</v>
      </c>
      <c r="P5" s="409">
        <f t="shared" si="2"/>
        <v>20.512820512820515</v>
      </c>
    </row>
    <row r="6" spans="1:16">
      <c r="A6" s="441"/>
      <c r="B6" s="425"/>
      <c r="C6" s="14">
        <v>200</v>
      </c>
      <c r="D6" s="14" t="s">
        <v>18</v>
      </c>
      <c r="E6" s="410">
        <f t="shared" ref="E6:E7" si="3">$C6*140/1560</f>
        <v>17.948717948717949</v>
      </c>
      <c r="F6" s="410">
        <f t="shared" si="0"/>
        <v>17.948717948717949</v>
      </c>
      <c r="G6" s="410">
        <f t="shared" si="0"/>
        <v>17.948717948717949</v>
      </c>
      <c r="H6" s="410">
        <f t="shared" si="0"/>
        <v>17.948717948717949</v>
      </c>
      <c r="I6" s="410">
        <f t="shared" si="0"/>
        <v>17.948717948717949</v>
      </c>
      <c r="J6" s="410">
        <f t="shared" si="0"/>
        <v>17.948717948717949</v>
      </c>
      <c r="K6" s="410">
        <f t="shared" si="0"/>
        <v>17.948717948717949</v>
      </c>
      <c r="L6" s="410">
        <f t="shared" ref="L6:L7" si="4">$C6*20/1560</f>
        <v>2.5641025641025643</v>
      </c>
      <c r="M6" s="410">
        <f t="shared" ref="M6:M7" si="5">$C6*140/1560</f>
        <v>17.948717948717949</v>
      </c>
      <c r="N6" s="410">
        <f t="shared" si="1"/>
        <v>17.948717948717949</v>
      </c>
      <c r="O6" s="410">
        <f t="shared" si="1"/>
        <v>17.948717948717949</v>
      </c>
      <c r="P6" s="410">
        <f t="shared" si="1"/>
        <v>17.948717948717949</v>
      </c>
    </row>
    <row r="7" spans="1:16" ht="15" thickBot="1">
      <c r="A7" s="442"/>
      <c r="B7" s="436"/>
      <c r="C7" s="400">
        <v>250</v>
      </c>
      <c r="D7" s="400" t="s">
        <v>19</v>
      </c>
      <c r="E7" s="411">
        <f t="shared" si="3"/>
        <v>22.435897435897434</v>
      </c>
      <c r="F7" s="411">
        <f t="shared" si="0"/>
        <v>22.435897435897434</v>
      </c>
      <c r="G7" s="411">
        <f t="shared" si="0"/>
        <v>22.435897435897434</v>
      </c>
      <c r="H7" s="411">
        <f t="shared" si="0"/>
        <v>22.435897435897434</v>
      </c>
      <c r="I7" s="411">
        <f t="shared" si="0"/>
        <v>22.435897435897434</v>
      </c>
      <c r="J7" s="411">
        <f t="shared" si="0"/>
        <v>22.435897435897434</v>
      </c>
      <c r="K7" s="411">
        <f t="shared" si="0"/>
        <v>22.435897435897434</v>
      </c>
      <c r="L7" s="411">
        <f t="shared" si="4"/>
        <v>3.2051282051282053</v>
      </c>
      <c r="M7" s="411">
        <f t="shared" si="5"/>
        <v>22.435897435897434</v>
      </c>
      <c r="N7" s="411">
        <f t="shared" si="1"/>
        <v>22.435897435897434</v>
      </c>
      <c r="O7" s="411">
        <f t="shared" si="1"/>
        <v>22.435897435897434</v>
      </c>
      <c r="P7" s="411">
        <f t="shared" si="1"/>
        <v>22.435897435897434</v>
      </c>
    </row>
    <row r="8" spans="1:16">
      <c r="A8" s="440" t="s">
        <v>20</v>
      </c>
      <c r="B8" s="435">
        <f>SUM(C8:C12)</f>
        <v>1650</v>
      </c>
      <c r="C8" s="401">
        <v>500</v>
      </c>
      <c r="D8" s="401" t="s">
        <v>21</v>
      </c>
      <c r="E8" s="401"/>
      <c r="F8" s="401"/>
      <c r="G8" s="421">
        <v>250</v>
      </c>
      <c r="H8" s="401"/>
      <c r="I8" s="401"/>
      <c r="J8" s="401"/>
      <c r="K8" s="401">
        <v>250</v>
      </c>
      <c r="L8" s="401"/>
      <c r="M8" s="401"/>
      <c r="N8" s="401"/>
      <c r="O8" s="401"/>
      <c r="P8" s="401"/>
    </row>
    <row r="9" spans="1:16">
      <c r="A9" s="441"/>
      <c r="B9" s="425"/>
      <c r="C9" s="14">
        <v>400</v>
      </c>
      <c r="D9" s="14" t="s">
        <v>22</v>
      </c>
      <c r="E9" s="14"/>
      <c r="F9" s="14"/>
      <c r="G9" s="14"/>
      <c r="H9" s="90"/>
      <c r="I9" s="14"/>
      <c r="J9" s="14">
        <v>400</v>
      </c>
      <c r="K9" s="14"/>
      <c r="L9" s="14"/>
      <c r="M9" s="14"/>
      <c r="N9" s="14"/>
      <c r="O9" s="14"/>
      <c r="P9" s="14"/>
    </row>
    <row r="10" spans="1:16">
      <c r="A10" s="441"/>
      <c r="B10" s="425"/>
      <c r="C10" s="14">
        <v>500</v>
      </c>
      <c r="D10" s="14" t="s">
        <v>24</v>
      </c>
      <c r="E10" s="14"/>
      <c r="F10" s="14"/>
      <c r="G10" s="14"/>
      <c r="H10" s="422">
        <v>250</v>
      </c>
      <c r="I10" s="14"/>
      <c r="J10" s="14"/>
      <c r="K10" s="14"/>
      <c r="L10" s="14"/>
      <c r="M10" s="14">
        <v>250</v>
      </c>
      <c r="N10" s="14"/>
      <c r="O10" s="14"/>
      <c r="P10" s="14"/>
    </row>
    <row r="11" spans="1:16">
      <c r="A11" s="441"/>
      <c r="B11" s="425"/>
      <c r="C11" s="14">
        <v>100</v>
      </c>
      <c r="D11" s="14" t="s">
        <v>25</v>
      </c>
      <c r="E11" s="14"/>
      <c r="F11" s="14"/>
      <c r="G11" s="14"/>
      <c r="H11" s="14"/>
      <c r="I11" s="14"/>
      <c r="J11" s="14"/>
      <c r="K11" s="14"/>
      <c r="L11" s="14"/>
      <c r="M11" s="14">
        <v>100</v>
      </c>
      <c r="N11" s="14"/>
      <c r="O11" s="14"/>
      <c r="P11" s="14"/>
    </row>
    <row r="12" spans="1:16" ht="15" thickBot="1">
      <c r="A12" s="442"/>
      <c r="B12" s="436"/>
      <c r="C12" s="402">
        <v>150</v>
      </c>
      <c r="D12" s="402" t="s">
        <v>26</v>
      </c>
      <c r="E12" s="402"/>
      <c r="F12" s="402"/>
      <c r="G12" s="402"/>
      <c r="H12" s="402"/>
      <c r="I12" s="402"/>
      <c r="J12" s="402"/>
      <c r="K12" s="402"/>
      <c r="L12" s="402"/>
      <c r="M12" s="402">
        <v>150</v>
      </c>
      <c r="N12" s="402"/>
      <c r="O12" s="402"/>
      <c r="P12" s="402"/>
    </row>
    <row r="13" spans="1:16" ht="15" thickBot="1">
      <c r="A13" s="403" t="s">
        <v>27</v>
      </c>
      <c r="B13" s="407">
        <f>C13</f>
        <v>35</v>
      </c>
      <c r="C13" s="403">
        <v>35</v>
      </c>
      <c r="D13" s="403"/>
      <c r="E13" s="403"/>
      <c r="F13" s="403"/>
      <c r="G13" s="403"/>
      <c r="H13" s="403"/>
      <c r="I13" s="403"/>
      <c r="J13" s="403"/>
      <c r="K13" s="403"/>
      <c r="L13" s="403"/>
      <c r="M13" s="403"/>
      <c r="N13" s="403">
        <v>35</v>
      </c>
      <c r="O13" s="403"/>
      <c r="P13" s="403"/>
    </row>
    <row r="14" spans="1:16" ht="15" thickBot="1">
      <c r="A14" s="403" t="s">
        <v>28</v>
      </c>
      <c r="B14" s="407">
        <f>C14</f>
        <v>1000</v>
      </c>
      <c r="C14" s="403">
        <v>1000</v>
      </c>
      <c r="D14" s="403"/>
      <c r="E14" s="403"/>
      <c r="F14" s="403"/>
      <c r="G14" s="403">
        <v>500</v>
      </c>
      <c r="H14" s="403"/>
      <c r="I14" s="403"/>
      <c r="J14" s="403"/>
      <c r="K14" s="403">
        <v>250</v>
      </c>
      <c r="L14" s="403"/>
      <c r="M14" s="403"/>
      <c r="N14" s="403">
        <v>250</v>
      </c>
      <c r="O14" s="403"/>
      <c r="P14" s="403"/>
    </row>
    <row r="15" spans="1:16" ht="15" thickBot="1">
      <c r="A15" s="403" t="s">
        <v>29</v>
      </c>
      <c r="B15" s="407">
        <f>C15</f>
        <v>100</v>
      </c>
      <c r="C15" s="403">
        <v>100</v>
      </c>
      <c r="D15" s="403"/>
      <c r="E15" s="403"/>
      <c r="F15" s="403"/>
      <c r="G15" s="403"/>
      <c r="H15" s="403"/>
      <c r="I15" s="403"/>
      <c r="J15" s="403"/>
      <c r="K15" s="403"/>
      <c r="L15" s="403"/>
      <c r="M15" s="403">
        <v>16</v>
      </c>
      <c r="N15" s="403"/>
      <c r="O15" s="403"/>
      <c r="P15" s="403">
        <v>84</v>
      </c>
    </row>
    <row r="16" spans="1:16">
      <c r="A16" s="432" t="s">
        <v>30</v>
      </c>
      <c r="B16" s="435">
        <f>SUM(C16:C22)</f>
        <v>1600</v>
      </c>
      <c r="C16" s="401">
        <v>250</v>
      </c>
      <c r="D16" s="401" t="s">
        <v>31</v>
      </c>
      <c r="E16" s="401"/>
      <c r="F16" s="401"/>
      <c r="G16" s="421">
        <v>150</v>
      </c>
      <c r="H16" s="401"/>
      <c r="I16" s="401"/>
      <c r="J16" s="401"/>
      <c r="K16" s="401"/>
      <c r="L16" s="401">
        <v>100</v>
      </c>
      <c r="M16" s="401"/>
      <c r="N16" s="401"/>
      <c r="O16" s="401"/>
      <c r="P16" s="401"/>
    </row>
    <row r="17" spans="1:16">
      <c r="A17" s="433"/>
      <c r="B17" s="425"/>
      <c r="C17" s="14">
        <v>300</v>
      </c>
      <c r="D17" s="14" t="s">
        <v>32</v>
      </c>
      <c r="E17" s="14"/>
      <c r="F17" s="14"/>
      <c r="G17" s="422">
        <v>150</v>
      </c>
      <c r="H17" s="14"/>
      <c r="I17" s="14"/>
      <c r="J17" s="14"/>
      <c r="K17" s="14"/>
      <c r="L17" s="14"/>
      <c r="M17" s="14">
        <v>150</v>
      </c>
      <c r="N17" s="14"/>
      <c r="O17" s="14"/>
      <c r="P17" s="14"/>
    </row>
    <row r="18" spans="1:16">
      <c r="A18" s="433"/>
      <c r="B18" s="425"/>
      <c r="C18" s="14">
        <v>480</v>
      </c>
      <c r="D18" s="14" t="s">
        <v>33</v>
      </c>
      <c r="E18" s="14"/>
      <c r="F18" s="14"/>
      <c r="G18" s="422">
        <v>100</v>
      </c>
      <c r="H18" s="14"/>
      <c r="I18" s="14"/>
      <c r="J18" s="14"/>
      <c r="K18" s="14">
        <v>200</v>
      </c>
      <c r="L18" s="14"/>
      <c r="M18" s="14"/>
      <c r="N18" s="14">
        <v>180</v>
      </c>
      <c r="O18" s="14"/>
      <c r="P18" s="14"/>
    </row>
    <row r="19" spans="1:16">
      <c r="A19" s="433"/>
      <c r="B19" s="425"/>
      <c r="C19" s="14">
        <v>50</v>
      </c>
      <c r="D19" s="14" t="s">
        <v>34</v>
      </c>
      <c r="E19" s="14"/>
      <c r="F19" s="14"/>
      <c r="G19" s="14"/>
      <c r="H19" s="14"/>
      <c r="I19" s="14">
        <v>50</v>
      </c>
      <c r="J19" s="14"/>
      <c r="K19" s="14"/>
      <c r="L19" s="14"/>
      <c r="M19" s="14"/>
      <c r="N19" s="14"/>
      <c r="O19" s="14"/>
      <c r="P19" s="14"/>
    </row>
    <row r="20" spans="1:16">
      <c r="A20" s="433"/>
      <c r="B20" s="425"/>
      <c r="C20" s="14">
        <v>170</v>
      </c>
      <c r="D20" s="14" t="s">
        <v>35</v>
      </c>
      <c r="E20" s="14"/>
      <c r="F20" s="14"/>
      <c r="G20" s="14">
        <v>80</v>
      </c>
      <c r="H20" s="14"/>
      <c r="I20" s="14"/>
      <c r="J20" s="14"/>
      <c r="K20" s="14">
        <v>90</v>
      </c>
      <c r="L20" s="14"/>
      <c r="M20" s="14"/>
      <c r="N20" s="14"/>
      <c r="O20" s="14"/>
      <c r="P20" s="14"/>
    </row>
    <row r="21" spans="1:16">
      <c r="A21" s="433"/>
      <c r="B21" s="425"/>
      <c r="C21" s="14">
        <v>300</v>
      </c>
      <c r="D21" s="14" t="s">
        <v>36</v>
      </c>
      <c r="E21" s="14"/>
      <c r="F21" s="14"/>
      <c r="G21" s="14">
        <v>150</v>
      </c>
      <c r="H21" s="14"/>
      <c r="I21" s="14"/>
      <c r="J21" s="14"/>
      <c r="K21" s="14">
        <v>150</v>
      </c>
      <c r="L21" s="14"/>
      <c r="M21" s="14"/>
      <c r="N21" s="14"/>
      <c r="O21" s="14"/>
      <c r="P21" s="14"/>
    </row>
    <row r="22" spans="1:16" ht="15" thickBot="1">
      <c r="A22" s="434"/>
      <c r="B22" s="436"/>
      <c r="C22" s="402">
        <v>50</v>
      </c>
      <c r="D22" s="402" t="s">
        <v>37</v>
      </c>
      <c r="E22" s="402"/>
      <c r="F22" s="402"/>
      <c r="G22" s="402"/>
      <c r="H22" s="402"/>
      <c r="I22" s="402"/>
      <c r="J22" s="402"/>
      <c r="K22" s="402"/>
      <c r="L22" s="402"/>
      <c r="M22" s="402">
        <v>50</v>
      </c>
      <c r="N22" s="402"/>
      <c r="O22" s="402"/>
      <c r="P22" s="402"/>
    </row>
    <row r="23" spans="1:16" ht="15" thickBot="1">
      <c r="D23" s="412" t="s">
        <v>38</v>
      </c>
      <c r="E23" s="413">
        <f>SUM(E3:E22)</f>
        <v>138.2051282051282</v>
      </c>
      <c r="F23" s="413">
        <f t="shared" ref="F23:P23" si="6">SUM(F3:F22)</f>
        <v>138.2051282051282</v>
      </c>
      <c r="G23" s="413">
        <f t="shared" si="6"/>
        <v>1538.7179487179487</v>
      </c>
      <c r="H23" s="413">
        <f t="shared" si="6"/>
        <v>408.71794871794873</v>
      </c>
      <c r="I23" s="413">
        <f t="shared" si="6"/>
        <v>208.7179487179487</v>
      </c>
      <c r="J23" s="413">
        <f t="shared" si="6"/>
        <v>558.71794871794873</v>
      </c>
      <c r="K23" s="413">
        <f t="shared" si="6"/>
        <v>1098.7179487179487</v>
      </c>
      <c r="L23" s="413">
        <f t="shared" si="6"/>
        <v>135.12820512820514</v>
      </c>
      <c r="M23" s="413">
        <f t="shared" si="6"/>
        <v>874.71794871794873</v>
      </c>
      <c r="N23" s="413">
        <f t="shared" si="6"/>
        <v>623.71794871794873</v>
      </c>
      <c r="O23" s="413">
        <f t="shared" si="6"/>
        <v>158.7179487179487</v>
      </c>
      <c r="P23" s="414">
        <f t="shared" si="6"/>
        <v>242.7179487179487</v>
      </c>
    </row>
    <row r="24" spans="1:16" ht="15" thickBot="1">
      <c r="D24" s="412"/>
      <c r="E24" s="413">
        <f>E23-E4</f>
        <v>105.44871794871796</v>
      </c>
      <c r="F24" s="413">
        <f t="shared" ref="F24:P24" si="7">F23-F4</f>
        <v>105.44871794871796</v>
      </c>
      <c r="G24" s="413">
        <f t="shared" si="7"/>
        <v>1505.9615384615386</v>
      </c>
      <c r="H24" s="413">
        <f t="shared" si="7"/>
        <v>375.96153846153845</v>
      </c>
      <c r="I24" s="413">
        <f t="shared" si="7"/>
        <v>175.96153846153845</v>
      </c>
      <c r="J24" s="413">
        <f t="shared" si="7"/>
        <v>525.96153846153845</v>
      </c>
      <c r="K24" s="413">
        <f t="shared" si="7"/>
        <v>1065.9615384615386</v>
      </c>
      <c r="L24" s="413">
        <f t="shared" si="7"/>
        <v>130.44871794871796</v>
      </c>
      <c r="M24" s="413">
        <f t="shared" si="7"/>
        <v>841.96153846153845</v>
      </c>
      <c r="N24" s="413">
        <f t="shared" si="7"/>
        <v>590.96153846153845</v>
      </c>
      <c r="O24" s="413">
        <f t="shared" si="7"/>
        <v>125.96153846153845</v>
      </c>
      <c r="P24" s="413">
        <f t="shared" si="7"/>
        <v>209.96153846153845</v>
      </c>
    </row>
    <row r="25" spans="1:16" ht="15" thickBot="1">
      <c r="D25" s="412" t="s">
        <v>39</v>
      </c>
      <c r="E25" s="413">
        <f>E23</f>
        <v>138.2051282051282</v>
      </c>
      <c r="F25" s="413">
        <f>E25+F23</f>
        <v>276.41025641025641</v>
      </c>
      <c r="G25" s="413">
        <f t="shared" ref="G25:P25" si="8">F25+G23</f>
        <v>1815.1282051282051</v>
      </c>
      <c r="H25" s="413">
        <f t="shared" si="8"/>
        <v>2223.8461538461538</v>
      </c>
      <c r="I25" s="413">
        <f t="shared" si="8"/>
        <v>2432.5641025641025</v>
      </c>
      <c r="J25" s="413">
        <f t="shared" si="8"/>
        <v>2991.2820512820513</v>
      </c>
      <c r="K25" s="413">
        <f t="shared" si="8"/>
        <v>4090</v>
      </c>
      <c r="L25" s="413">
        <f t="shared" si="8"/>
        <v>4225.1282051282051</v>
      </c>
      <c r="M25" s="413">
        <f t="shared" si="8"/>
        <v>5099.8461538461543</v>
      </c>
      <c r="N25" s="413">
        <f t="shared" si="8"/>
        <v>5723.5641025641035</v>
      </c>
      <c r="O25" s="413">
        <f t="shared" si="8"/>
        <v>5882.2820512820517</v>
      </c>
      <c r="P25" s="413">
        <f t="shared" si="8"/>
        <v>6125</v>
      </c>
    </row>
    <row r="26" spans="1:16">
      <c r="D26" s="415" t="s">
        <v>40</v>
      </c>
      <c r="E26" s="416">
        <f>SUM(E3:E4)</f>
        <v>97.820512820512818</v>
      </c>
      <c r="F26" s="416">
        <f t="shared" ref="F26:P26" si="9">SUM(F3:F4)</f>
        <v>97.820512820512818</v>
      </c>
      <c r="G26" s="416">
        <f t="shared" si="9"/>
        <v>97.820512820512818</v>
      </c>
      <c r="H26" s="416">
        <f t="shared" si="9"/>
        <v>97.820512820512818</v>
      </c>
      <c r="I26" s="416">
        <f t="shared" si="9"/>
        <v>97.820512820512818</v>
      </c>
      <c r="J26" s="416">
        <f t="shared" si="9"/>
        <v>97.820512820512818</v>
      </c>
      <c r="K26" s="416">
        <f t="shared" si="9"/>
        <v>97.820512820512818</v>
      </c>
      <c r="L26" s="416">
        <f t="shared" si="9"/>
        <v>13.974358974358974</v>
      </c>
      <c r="M26" s="416">
        <f t="shared" si="9"/>
        <v>97.820512820512818</v>
      </c>
      <c r="N26" s="416">
        <f t="shared" si="9"/>
        <v>97.820512820512818</v>
      </c>
      <c r="O26" s="416">
        <f t="shared" si="9"/>
        <v>97.820512820512818</v>
      </c>
      <c r="P26" s="416">
        <f t="shared" si="9"/>
        <v>97.820512820512818</v>
      </c>
    </row>
    <row r="27" spans="1:16">
      <c r="D27" s="415" t="s">
        <v>16</v>
      </c>
      <c r="E27" s="416">
        <f>SUM(E5:E7)</f>
        <v>40.384615384615387</v>
      </c>
      <c r="F27" s="416">
        <f t="shared" ref="F27:P27" si="10">SUM(F5:F7)</f>
        <v>40.384615384615387</v>
      </c>
      <c r="G27" s="416">
        <f t="shared" si="10"/>
        <v>60.897435897435898</v>
      </c>
      <c r="H27" s="416">
        <f t="shared" si="10"/>
        <v>60.897435897435898</v>
      </c>
      <c r="I27" s="416">
        <f t="shared" si="10"/>
        <v>60.897435897435898</v>
      </c>
      <c r="J27" s="416">
        <f t="shared" si="10"/>
        <v>60.897435897435898</v>
      </c>
      <c r="K27" s="416">
        <f t="shared" si="10"/>
        <v>60.897435897435898</v>
      </c>
      <c r="L27" s="416">
        <f t="shared" si="10"/>
        <v>21.153846153846153</v>
      </c>
      <c r="M27" s="416">
        <f t="shared" si="10"/>
        <v>60.897435897435898</v>
      </c>
      <c r="N27" s="416">
        <f t="shared" si="10"/>
        <v>60.897435897435898</v>
      </c>
      <c r="O27" s="416">
        <f t="shared" si="10"/>
        <v>60.897435897435898</v>
      </c>
      <c r="P27" s="416">
        <f t="shared" si="10"/>
        <v>60.897435897435898</v>
      </c>
    </row>
    <row r="28" spans="1:16">
      <c r="D28" s="415" t="s">
        <v>41</v>
      </c>
      <c r="E28" s="417">
        <f>SUM(E8:E13)</f>
        <v>0</v>
      </c>
      <c r="F28" s="417">
        <f t="shared" ref="F28:P28" si="11">SUM(F8:F13)</f>
        <v>0</v>
      </c>
      <c r="G28" s="417">
        <f t="shared" si="11"/>
        <v>250</v>
      </c>
      <c r="H28" s="417">
        <f t="shared" si="11"/>
        <v>250</v>
      </c>
      <c r="I28" s="417">
        <f t="shared" si="11"/>
        <v>0</v>
      </c>
      <c r="J28" s="417">
        <f t="shared" si="11"/>
        <v>400</v>
      </c>
      <c r="K28" s="417">
        <f t="shared" si="11"/>
        <v>250</v>
      </c>
      <c r="L28" s="417">
        <f t="shared" si="11"/>
        <v>0</v>
      </c>
      <c r="M28" s="417">
        <f t="shared" si="11"/>
        <v>500</v>
      </c>
      <c r="N28" s="417">
        <f t="shared" si="11"/>
        <v>35</v>
      </c>
      <c r="O28" s="417">
        <f t="shared" si="11"/>
        <v>0</v>
      </c>
      <c r="P28" s="417">
        <f t="shared" si="11"/>
        <v>0</v>
      </c>
    </row>
    <row r="29" spans="1:16">
      <c r="D29" s="415" t="s">
        <v>28</v>
      </c>
      <c r="E29" s="417">
        <f>SUM(E14)</f>
        <v>0</v>
      </c>
      <c r="F29" s="417">
        <f t="shared" ref="F29:P29" si="12">SUM(F14)</f>
        <v>0</v>
      </c>
      <c r="G29" s="417">
        <f t="shared" si="12"/>
        <v>500</v>
      </c>
      <c r="H29" s="417">
        <f t="shared" si="12"/>
        <v>0</v>
      </c>
      <c r="I29" s="417">
        <f t="shared" si="12"/>
        <v>0</v>
      </c>
      <c r="J29" s="417">
        <f t="shared" si="12"/>
        <v>0</v>
      </c>
      <c r="K29" s="417">
        <f t="shared" si="12"/>
        <v>250</v>
      </c>
      <c r="L29" s="417">
        <f t="shared" si="12"/>
        <v>0</v>
      </c>
      <c r="M29" s="417">
        <f t="shared" si="12"/>
        <v>0</v>
      </c>
      <c r="N29" s="417">
        <f t="shared" si="12"/>
        <v>250</v>
      </c>
      <c r="O29" s="417">
        <f t="shared" si="12"/>
        <v>0</v>
      </c>
      <c r="P29" s="417">
        <f t="shared" si="12"/>
        <v>0</v>
      </c>
    </row>
    <row r="30" spans="1:16">
      <c r="D30" s="415" t="s">
        <v>30</v>
      </c>
      <c r="E30" s="417">
        <f>SUM(E16:E22)</f>
        <v>0</v>
      </c>
      <c r="F30" s="417">
        <f t="shared" ref="F30:P30" si="13">SUM(F16:F22)</f>
        <v>0</v>
      </c>
      <c r="G30" s="417">
        <f t="shared" si="13"/>
        <v>630</v>
      </c>
      <c r="H30" s="417">
        <f t="shared" si="13"/>
        <v>0</v>
      </c>
      <c r="I30" s="417">
        <f t="shared" si="13"/>
        <v>50</v>
      </c>
      <c r="J30" s="417">
        <f t="shared" si="13"/>
        <v>0</v>
      </c>
      <c r="K30" s="417">
        <f t="shared" si="13"/>
        <v>440</v>
      </c>
      <c r="L30" s="417">
        <f t="shared" si="13"/>
        <v>100</v>
      </c>
      <c r="M30" s="417">
        <f t="shared" si="13"/>
        <v>200</v>
      </c>
      <c r="N30" s="417">
        <f t="shared" si="13"/>
        <v>180</v>
      </c>
      <c r="O30" s="417">
        <f t="shared" si="13"/>
        <v>0</v>
      </c>
      <c r="P30" s="417">
        <f t="shared" si="13"/>
        <v>0</v>
      </c>
    </row>
    <row r="31" spans="1:16">
      <c r="D31" s="415" t="s">
        <v>29</v>
      </c>
      <c r="E31" s="417">
        <f>SUM(E15)</f>
        <v>0</v>
      </c>
      <c r="F31" s="417">
        <f t="shared" ref="F31:P31" si="14">SUM(F15)</f>
        <v>0</v>
      </c>
      <c r="G31" s="417">
        <f t="shared" si="14"/>
        <v>0</v>
      </c>
      <c r="H31" s="417">
        <f t="shared" si="14"/>
        <v>0</v>
      </c>
      <c r="I31" s="417">
        <f t="shared" si="14"/>
        <v>0</v>
      </c>
      <c r="J31" s="417">
        <f t="shared" si="14"/>
        <v>0</v>
      </c>
      <c r="K31" s="417">
        <f t="shared" si="14"/>
        <v>0</v>
      </c>
      <c r="L31" s="417">
        <f t="shared" si="14"/>
        <v>0</v>
      </c>
      <c r="M31" s="417">
        <f t="shared" si="14"/>
        <v>16</v>
      </c>
      <c r="N31" s="417">
        <f t="shared" si="14"/>
        <v>0</v>
      </c>
      <c r="O31" s="417">
        <f t="shared" si="14"/>
        <v>0</v>
      </c>
      <c r="P31" s="417">
        <f t="shared" si="14"/>
        <v>84</v>
      </c>
    </row>
  </sheetData>
  <mergeCells count="9">
    <mergeCell ref="A16:A22"/>
    <mergeCell ref="B16:B22"/>
    <mergeCell ref="B8:B12"/>
    <mergeCell ref="B5:B7"/>
    <mergeCell ref="E1:P1"/>
    <mergeCell ref="D1:D2"/>
    <mergeCell ref="A1:A2"/>
    <mergeCell ref="A5:A7"/>
    <mergeCell ref="A8:A12"/>
  </mergeCells>
  <pageMargins left="0.7" right="0.7" top="0.75" bottom="0.75" header="0.3" footer="0.3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26F1-AA4C-4CC2-A44A-8B8149606C67}">
  <sheetPr codeName="Feuil2"/>
  <dimension ref="A1:V29"/>
  <sheetViews>
    <sheetView tabSelected="1" zoomScale="85" zoomScaleNormal="85" workbookViewId="0">
      <pane xSplit="2" ySplit="3" topLeftCell="C4" activePane="bottomRight" state="frozen"/>
      <selection pane="bottomRight" activeCell="S3" sqref="S3"/>
      <selection pane="bottomLeft" activeCell="A4" sqref="A4"/>
      <selection pane="topRight" activeCell="C1" sqref="C1"/>
    </sheetView>
  </sheetViews>
  <sheetFormatPr defaultColWidth="11.42578125" defaultRowHeight="14.45"/>
  <cols>
    <col min="2" max="2" width="26" bestFit="1" customWidth="1"/>
    <col min="4" max="4" width="4.140625" hidden="1" customWidth="1"/>
  </cols>
  <sheetData>
    <row r="1" spans="1:22">
      <c r="A1" s="89" t="s">
        <v>42</v>
      </c>
      <c r="B1" t="s">
        <v>43</v>
      </c>
      <c r="E1" s="431" t="s">
        <v>44</v>
      </c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</row>
    <row r="2" spans="1:22">
      <c r="A2" s="90"/>
      <c r="B2" t="s">
        <v>45</v>
      </c>
      <c r="C2" s="398"/>
      <c r="D2" s="14"/>
      <c r="E2" s="428" t="s">
        <v>46</v>
      </c>
      <c r="F2" s="428"/>
      <c r="G2" s="428" t="s">
        <v>47</v>
      </c>
      <c r="H2" s="428"/>
      <c r="I2" s="429" t="s">
        <v>48</v>
      </c>
      <c r="J2" s="429"/>
      <c r="K2" s="427" t="s">
        <v>49</v>
      </c>
      <c r="L2" s="427"/>
      <c r="M2" s="427" t="s">
        <v>50</v>
      </c>
      <c r="N2" s="427"/>
      <c r="O2" s="427" t="s">
        <v>51</v>
      </c>
      <c r="P2" s="427"/>
      <c r="Q2" s="427" t="s">
        <v>52</v>
      </c>
      <c r="R2" s="427"/>
      <c r="S2" s="427" t="s">
        <v>53</v>
      </c>
      <c r="T2" s="427"/>
    </row>
    <row r="3" spans="1:22">
      <c r="C3" s="14" t="s">
        <v>54</v>
      </c>
      <c r="D3" s="14"/>
      <c r="E3" s="14" t="s">
        <v>55</v>
      </c>
      <c r="F3" s="14" t="s">
        <v>56</v>
      </c>
      <c r="G3" s="14" t="s">
        <v>55</v>
      </c>
      <c r="H3" s="14" t="s">
        <v>56</v>
      </c>
      <c r="I3" s="14" t="s">
        <v>55</v>
      </c>
      <c r="J3" s="14" t="s">
        <v>56</v>
      </c>
      <c r="K3" s="14" t="s">
        <v>55</v>
      </c>
      <c r="L3" s="14" t="s">
        <v>56</v>
      </c>
      <c r="M3" s="14" t="s">
        <v>55</v>
      </c>
      <c r="N3" s="14" t="s">
        <v>56</v>
      </c>
      <c r="O3" s="14" t="s">
        <v>55</v>
      </c>
      <c r="P3" s="14" t="s">
        <v>56</v>
      </c>
      <c r="Q3" s="14" t="s">
        <v>55</v>
      </c>
      <c r="R3" s="14" t="s">
        <v>56</v>
      </c>
      <c r="S3" s="14" t="s">
        <v>55</v>
      </c>
      <c r="T3" s="14" t="s">
        <v>56</v>
      </c>
    </row>
    <row r="4" spans="1:22">
      <c r="A4" s="428" t="s">
        <v>57</v>
      </c>
      <c r="B4" s="14" t="s">
        <v>58</v>
      </c>
      <c r="C4" s="430">
        <v>25</v>
      </c>
      <c r="D4" s="14"/>
      <c r="E4" s="424">
        <v>1</v>
      </c>
      <c r="F4" s="424">
        <f>E4*$C4</f>
        <v>25</v>
      </c>
      <c r="G4" s="424">
        <v>1</v>
      </c>
      <c r="H4" s="424">
        <f>G4*$C4</f>
        <v>25</v>
      </c>
      <c r="I4" s="424">
        <v>1</v>
      </c>
      <c r="J4" s="424">
        <f>I4*$C4</f>
        <v>25</v>
      </c>
      <c r="K4" s="424">
        <v>1</v>
      </c>
      <c r="L4" s="424">
        <f>K4*$C4</f>
        <v>25</v>
      </c>
      <c r="M4" s="424">
        <v>1</v>
      </c>
      <c r="N4" s="424">
        <f>M4*$C4</f>
        <v>25</v>
      </c>
      <c r="O4" s="424">
        <v>1</v>
      </c>
      <c r="P4" s="424">
        <f>O4*$C4</f>
        <v>25</v>
      </c>
      <c r="Q4" s="424">
        <v>1</v>
      </c>
      <c r="R4" s="424">
        <f>Q4*$C4</f>
        <v>25</v>
      </c>
      <c r="S4" s="424">
        <v>1</v>
      </c>
      <c r="T4" s="424">
        <f>S4*$C4</f>
        <v>25</v>
      </c>
    </row>
    <row r="5" spans="1:22">
      <c r="A5" s="428"/>
      <c r="B5" s="14" t="s">
        <v>59</v>
      </c>
      <c r="C5" s="430"/>
      <c r="D5" s="14"/>
      <c r="E5" s="425"/>
      <c r="F5" s="425"/>
      <c r="G5" s="425"/>
      <c r="H5" s="425"/>
      <c r="I5" s="425"/>
      <c r="J5" s="425"/>
      <c r="K5" s="425"/>
      <c r="L5" s="425"/>
      <c r="M5" s="425"/>
      <c r="N5" s="425"/>
      <c r="O5" s="425"/>
      <c r="P5" s="425"/>
      <c r="Q5" s="425"/>
      <c r="R5" s="425"/>
      <c r="S5" s="425"/>
      <c r="T5" s="425"/>
    </row>
    <row r="6" spans="1:22">
      <c r="A6" s="428"/>
      <c r="B6" s="14" t="s">
        <v>60</v>
      </c>
      <c r="C6" s="430"/>
      <c r="D6" s="14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</row>
    <row r="7" spans="1:22">
      <c r="A7" s="428"/>
      <c r="B7" s="14" t="s">
        <v>61</v>
      </c>
      <c r="C7" s="14">
        <v>5</v>
      </c>
      <c r="D7" s="14"/>
      <c r="E7" s="394">
        <v>1</v>
      </c>
      <c r="F7" s="394">
        <f>E7*$C7</f>
        <v>5</v>
      </c>
      <c r="G7" s="394">
        <v>1</v>
      </c>
      <c r="H7" s="394">
        <f>G7*$C7</f>
        <v>5</v>
      </c>
      <c r="I7" s="394">
        <v>1</v>
      </c>
      <c r="J7" s="394">
        <f>I7*$C7</f>
        <v>5</v>
      </c>
      <c r="K7" s="394">
        <v>1</v>
      </c>
      <c r="L7" s="394">
        <f>K7*$C7</f>
        <v>5</v>
      </c>
      <c r="M7" s="394">
        <v>1</v>
      </c>
      <c r="N7" s="394">
        <f>M7*$C7</f>
        <v>5</v>
      </c>
      <c r="O7" s="394">
        <v>1</v>
      </c>
      <c r="P7" s="394">
        <f>O7*$C7</f>
        <v>5</v>
      </c>
      <c r="Q7" s="394">
        <v>1</v>
      </c>
      <c r="R7" s="394">
        <f>Q7*$C7</f>
        <v>5</v>
      </c>
      <c r="S7" s="394">
        <v>1</v>
      </c>
      <c r="T7" s="394">
        <f>S7*$C7</f>
        <v>5</v>
      </c>
    </row>
    <row r="8" spans="1:22">
      <c r="A8" s="428"/>
      <c r="B8" s="14" t="s">
        <v>62</v>
      </c>
      <c r="C8" s="14">
        <v>5</v>
      </c>
      <c r="D8" s="14"/>
      <c r="E8" s="418"/>
      <c r="F8" s="394">
        <f t="shared" ref="F8:H27" si="0">E8*$C8</f>
        <v>0</v>
      </c>
      <c r="G8" s="418"/>
      <c r="H8" s="394">
        <f t="shared" si="0"/>
        <v>0</v>
      </c>
      <c r="I8" s="418"/>
      <c r="J8" s="394">
        <f t="shared" ref="J8" si="1">I8*$C8</f>
        <v>0</v>
      </c>
      <c r="K8" s="418"/>
      <c r="L8" s="394">
        <f t="shared" ref="L8" si="2">K8*$C8</f>
        <v>0</v>
      </c>
      <c r="M8" s="418"/>
      <c r="N8" s="394">
        <f t="shared" ref="N8" si="3">M8*$C8</f>
        <v>0</v>
      </c>
      <c r="O8" s="418"/>
      <c r="P8" s="394">
        <f t="shared" ref="P8" si="4">O8*$C8</f>
        <v>0</v>
      </c>
      <c r="Q8" s="418"/>
      <c r="R8" s="394">
        <f t="shared" ref="R8" si="5">Q8*$C8</f>
        <v>0</v>
      </c>
      <c r="S8" s="418"/>
      <c r="T8" s="394">
        <f t="shared" ref="T8" si="6">S8*$C8</f>
        <v>0</v>
      </c>
    </row>
    <row r="9" spans="1:22">
      <c r="A9" s="428" t="s">
        <v>63</v>
      </c>
      <c r="B9" s="14" t="s">
        <v>64</v>
      </c>
      <c r="C9" s="14">
        <v>2.9</v>
      </c>
      <c r="D9" s="14"/>
      <c r="E9" s="394">
        <v>1</v>
      </c>
      <c r="F9" s="394">
        <f t="shared" si="0"/>
        <v>2.9</v>
      </c>
      <c r="G9" s="394">
        <v>1</v>
      </c>
      <c r="H9" s="394">
        <f t="shared" si="0"/>
        <v>2.9</v>
      </c>
      <c r="I9" s="394">
        <v>2</v>
      </c>
      <c r="J9" s="394">
        <f t="shared" ref="J9:J13" si="7">I9*$C9</f>
        <v>5.8</v>
      </c>
      <c r="K9" s="394">
        <v>2</v>
      </c>
      <c r="L9" s="394">
        <f t="shared" ref="L9:L13" si="8">K9*$C9</f>
        <v>5.8</v>
      </c>
      <c r="M9" s="394">
        <v>2</v>
      </c>
      <c r="N9" s="394">
        <f t="shared" ref="N9:N13" si="9">M9*$C9</f>
        <v>5.8</v>
      </c>
      <c r="O9" s="394">
        <v>2</v>
      </c>
      <c r="P9" s="394">
        <f t="shared" ref="P9:P13" si="10">O9*$C9</f>
        <v>5.8</v>
      </c>
      <c r="Q9" s="418"/>
      <c r="R9" s="394">
        <f t="shared" ref="R9:R13" si="11">Q9*$C9</f>
        <v>0</v>
      </c>
      <c r="S9" s="418"/>
      <c r="T9" s="394">
        <f t="shared" ref="T9:T13" si="12">S9*$C9</f>
        <v>0</v>
      </c>
    </row>
    <row r="10" spans="1:22">
      <c r="A10" s="428"/>
      <c r="B10" s="14" t="s">
        <v>65</v>
      </c>
      <c r="C10" s="14">
        <v>10</v>
      </c>
      <c r="D10" s="14"/>
      <c r="E10" s="418"/>
      <c r="F10" s="394">
        <f t="shared" si="0"/>
        <v>0</v>
      </c>
      <c r="G10" s="418"/>
      <c r="H10" s="394">
        <f t="shared" si="0"/>
        <v>0</v>
      </c>
      <c r="I10" s="418"/>
      <c r="J10" s="394">
        <f t="shared" ref="J10" si="13">I10*$C10</f>
        <v>0</v>
      </c>
      <c r="K10" s="418"/>
      <c r="L10" s="394">
        <f t="shared" ref="L10" si="14">K10*$C10</f>
        <v>0</v>
      </c>
      <c r="M10" s="418"/>
      <c r="N10" s="394">
        <f t="shared" ref="N10" si="15">M10*$C10</f>
        <v>0</v>
      </c>
      <c r="O10" s="418"/>
      <c r="P10" s="394">
        <f t="shared" ref="P10" si="16">O10*$C10</f>
        <v>0</v>
      </c>
      <c r="Q10" s="394">
        <v>1</v>
      </c>
      <c r="R10" s="394">
        <f t="shared" ref="R10" si="17">Q10*$C10</f>
        <v>10</v>
      </c>
      <c r="S10" s="394">
        <v>1</v>
      </c>
      <c r="T10" s="394">
        <f t="shared" ref="T10" si="18">S10*$C10</f>
        <v>10</v>
      </c>
      <c r="V10" s="419"/>
    </row>
    <row r="11" spans="1:22">
      <c r="A11" s="428"/>
      <c r="B11" s="14" t="s">
        <v>66</v>
      </c>
      <c r="C11" s="14">
        <v>11</v>
      </c>
      <c r="D11" s="14"/>
      <c r="E11" s="394">
        <v>1</v>
      </c>
      <c r="F11" s="394">
        <f t="shared" si="0"/>
        <v>11</v>
      </c>
      <c r="G11" s="418"/>
      <c r="H11" s="394">
        <f t="shared" si="0"/>
        <v>0</v>
      </c>
      <c r="I11" s="418"/>
      <c r="J11" s="394">
        <f t="shared" ref="J11" si="19">I11*$C11</f>
        <v>0</v>
      </c>
      <c r="K11" s="418"/>
      <c r="L11" s="394">
        <f t="shared" ref="L11" si="20">K11*$C11</f>
        <v>0</v>
      </c>
      <c r="M11" s="418"/>
      <c r="N11" s="394">
        <f t="shared" ref="N11" si="21">M11*$C11</f>
        <v>0</v>
      </c>
      <c r="O11" s="418"/>
      <c r="P11" s="394">
        <f t="shared" ref="P11" si="22">O11*$C11</f>
        <v>0</v>
      </c>
      <c r="Q11" s="418"/>
      <c r="R11" s="394">
        <f t="shared" ref="R11" si="23">Q11*$C11</f>
        <v>0</v>
      </c>
      <c r="S11" s="418"/>
      <c r="T11" s="394">
        <f t="shared" ref="T11" si="24">S11*$C11</f>
        <v>0</v>
      </c>
      <c r="U11">
        <f>E11+G11+I11+K11+M11+O11+Q11+S11</f>
        <v>1</v>
      </c>
      <c r="V11" s="419" t="s">
        <v>67</v>
      </c>
    </row>
    <row r="12" spans="1:22">
      <c r="A12" s="428"/>
      <c r="B12" s="14" t="s">
        <v>68</v>
      </c>
      <c r="C12" s="14">
        <v>11</v>
      </c>
      <c r="D12" s="14"/>
      <c r="E12" s="418"/>
      <c r="F12" s="394">
        <f t="shared" si="0"/>
        <v>0</v>
      </c>
      <c r="G12" s="394">
        <v>1</v>
      </c>
      <c r="H12" s="394">
        <f t="shared" ref="H12:H13" si="25">G12*$C12</f>
        <v>11</v>
      </c>
      <c r="I12" s="418"/>
      <c r="J12" s="394">
        <f t="shared" si="7"/>
        <v>0</v>
      </c>
      <c r="K12" s="394">
        <v>1</v>
      </c>
      <c r="L12" s="394">
        <f t="shared" si="8"/>
        <v>11</v>
      </c>
      <c r="M12" s="418"/>
      <c r="N12" s="394">
        <f t="shared" si="9"/>
        <v>0</v>
      </c>
      <c r="O12" s="418"/>
      <c r="P12" s="394">
        <f t="shared" si="10"/>
        <v>0</v>
      </c>
      <c r="Q12" s="418"/>
      <c r="R12" s="394">
        <f t="shared" si="11"/>
        <v>0</v>
      </c>
      <c r="S12" s="418"/>
      <c r="T12" s="394">
        <f t="shared" si="12"/>
        <v>0</v>
      </c>
      <c r="U12">
        <f t="shared" ref="U12:U17" si="26">E12+G12+I12+K12+M12+O12+Q12+S12</f>
        <v>2</v>
      </c>
    </row>
    <row r="13" spans="1:22">
      <c r="A13" s="428"/>
      <c r="B13" s="14" t="s">
        <v>69</v>
      </c>
      <c r="C13" s="14">
        <v>11</v>
      </c>
      <c r="D13" s="14"/>
      <c r="E13" s="418"/>
      <c r="F13" s="394">
        <f t="shared" ref="F13" si="27">E13*$C13</f>
        <v>0</v>
      </c>
      <c r="G13" s="418"/>
      <c r="H13" s="394">
        <f t="shared" si="25"/>
        <v>0</v>
      </c>
      <c r="I13" s="394">
        <v>1</v>
      </c>
      <c r="J13" s="394">
        <f t="shared" si="7"/>
        <v>11</v>
      </c>
      <c r="K13" s="418"/>
      <c r="L13" s="394">
        <f t="shared" si="8"/>
        <v>0</v>
      </c>
      <c r="M13" s="394">
        <v>1</v>
      </c>
      <c r="N13" s="394">
        <f t="shared" si="9"/>
        <v>11</v>
      </c>
      <c r="O13" s="394">
        <v>1</v>
      </c>
      <c r="P13" s="394">
        <f t="shared" si="10"/>
        <v>11</v>
      </c>
      <c r="Q13" s="394">
        <v>1</v>
      </c>
      <c r="R13" s="394">
        <f t="shared" si="11"/>
        <v>11</v>
      </c>
      <c r="S13" s="394">
        <v>1</v>
      </c>
      <c r="T13" s="394">
        <f t="shared" si="12"/>
        <v>11</v>
      </c>
      <c r="U13">
        <f t="shared" ref="U13" si="28">E13+G13+I13+K13+M13+O13+Q13+S13</f>
        <v>5</v>
      </c>
    </row>
    <row r="14" spans="1:22">
      <c r="A14" s="428"/>
      <c r="B14" s="14" t="s">
        <v>70</v>
      </c>
      <c r="C14" s="14">
        <v>11</v>
      </c>
      <c r="D14" s="14"/>
      <c r="E14" s="418"/>
      <c r="F14" s="394">
        <f t="shared" si="0"/>
        <v>0</v>
      </c>
      <c r="G14" s="418"/>
      <c r="H14" s="394">
        <f t="shared" si="0"/>
        <v>0</v>
      </c>
      <c r="I14" s="418"/>
      <c r="J14" s="394">
        <f t="shared" ref="J14:J16" si="29">I14*$C14</f>
        <v>0</v>
      </c>
      <c r="K14" s="418"/>
      <c r="L14" s="394">
        <f t="shared" ref="L14:L16" si="30">K14*$C14</f>
        <v>0</v>
      </c>
      <c r="M14" s="418"/>
      <c r="N14" s="394">
        <f t="shared" ref="N14:N16" si="31">M14*$C14</f>
        <v>0</v>
      </c>
      <c r="O14" s="418"/>
      <c r="P14" s="394">
        <f t="shared" ref="P14:P16" si="32">O14*$C14</f>
        <v>0</v>
      </c>
      <c r="Q14" s="418"/>
      <c r="R14" s="394">
        <f t="shared" ref="R14:R16" si="33">Q14*$C14</f>
        <v>0</v>
      </c>
      <c r="S14" s="418"/>
      <c r="T14" s="394">
        <f t="shared" ref="T14:T16" si="34">S14*$C14</f>
        <v>0</v>
      </c>
      <c r="U14">
        <f t="shared" si="26"/>
        <v>0</v>
      </c>
    </row>
    <row r="15" spans="1:22">
      <c r="A15" s="428"/>
      <c r="B15" s="14" t="s">
        <v>71</v>
      </c>
      <c r="C15" s="14">
        <v>12</v>
      </c>
      <c r="D15" s="14"/>
      <c r="E15" s="394">
        <v>1</v>
      </c>
      <c r="F15" s="394">
        <f t="shared" si="0"/>
        <v>12</v>
      </c>
      <c r="G15" s="394">
        <v>1</v>
      </c>
      <c r="H15" s="394">
        <f t="shared" ref="H15:H16" si="35">G15*$C15</f>
        <v>12</v>
      </c>
      <c r="I15" s="418"/>
      <c r="J15" s="394">
        <f t="shared" si="29"/>
        <v>0</v>
      </c>
      <c r="K15" s="418"/>
      <c r="L15" s="394">
        <f t="shared" si="30"/>
        <v>0</v>
      </c>
      <c r="M15" s="418"/>
      <c r="N15" s="394">
        <f t="shared" si="31"/>
        <v>0</v>
      </c>
      <c r="O15" s="418"/>
      <c r="P15" s="394">
        <f t="shared" si="32"/>
        <v>0</v>
      </c>
      <c r="Q15" s="418"/>
      <c r="R15" s="394">
        <f t="shared" si="33"/>
        <v>0</v>
      </c>
      <c r="S15" s="418"/>
      <c r="T15" s="394">
        <f t="shared" si="34"/>
        <v>0</v>
      </c>
      <c r="U15">
        <f t="shared" si="26"/>
        <v>2</v>
      </c>
      <c r="V15" s="419" t="s">
        <v>67</v>
      </c>
    </row>
    <row r="16" spans="1:22">
      <c r="A16" s="428"/>
      <c r="B16" s="14" t="s">
        <v>72</v>
      </c>
      <c r="C16" s="14">
        <v>12</v>
      </c>
      <c r="D16" s="14"/>
      <c r="E16" s="418"/>
      <c r="F16" s="394">
        <f t="shared" ref="F16" si="36">E16*$C16</f>
        <v>0</v>
      </c>
      <c r="G16" s="418"/>
      <c r="H16" s="394">
        <f t="shared" si="35"/>
        <v>0</v>
      </c>
      <c r="I16" s="394">
        <v>1</v>
      </c>
      <c r="J16" s="394">
        <f t="shared" si="29"/>
        <v>12</v>
      </c>
      <c r="K16" s="394">
        <v>1</v>
      </c>
      <c r="L16" s="394">
        <f t="shared" si="30"/>
        <v>12</v>
      </c>
      <c r="M16" s="394">
        <v>1</v>
      </c>
      <c r="N16" s="394">
        <f t="shared" si="31"/>
        <v>12</v>
      </c>
      <c r="O16" s="394">
        <v>1</v>
      </c>
      <c r="P16" s="394">
        <f t="shared" si="32"/>
        <v>12</v>
      </c>
      <c r="Q16" s="394">
        <v>1</v>
      </c>
      <c r="R16" s="394">
        <f t="shared" si="33"/>
        <v>12</v>
      </c>
      <c r="S16" s="394">
        <v>1</v>
      </c>
      <c r="T16" s="394">
        <f t="shared" si="34"/>
        <v>12</v>
      </c>
      <c r="U16">
        <f t="shared" ref="U16" si="37">E16+G16+I16+K16+M16+O16+Q16+S16</f>
        <v>6</v>
      </c>
    </row>
    <row r="17" spans="1:21">
      <c r="A17" s="428"/>
      <c r="B17" s="14" t="s">
        <v>73</v>
      </c>
      <c r="C17" s="14">
        <v>12</v>
      </c>
      <c r="D17" s="14"/>
      <c r="E17" s="418"/>
      <c r="F17" s="394">
        <f t="shared" si="0"/>
        <v>0</v>
      </c>
      <c r="G17" s="418"/>
      <c r="H17" s="394">
        <f t="shared" si="0"/>
        <v>0</v>
      </c>
      <c r="I17" s="418"/>
      <c r="J17" s="394">
        <f t="shared" ref="J17" si="38">I17*$C17</f>
        <v>0</v>
      </c>
      <c r="K17" s="418"/>
      <c r="L17" s="394">
        <f t="shared" ref="L17" si="39">K17*$C17</f>
        <v>0</v>
      </c>
      <c r="M17" s="418"/>
      <c r="N17" s="394">
        <f t="shared" ref="N17" si="40">M17*$C17</f>
        <v>0</v>
      </c>
      <c r="O17" s="418"/>
      <c r="P17" s="394">
        <f t="shared" ref="P17" si="41">O17*$C17</f>
        <v>0</v>
      </c>
      <c r="Q17" s="418"/>
      <c r="R17" s="394">
        <f t="shared" ref="R17" si="42">Q17*$C17</f>
        <v>0</v>
      </c>
      <c r="S17" s="418"/>
      <c r="T17" s="394">
        <f t="shared" ref="T17" si="43">S17*$C17</f>
        <v>0</v>
      </c>
      <c r="U17">
        <f t="shared" si="26"/>
        <v>0</v>
      </c>
    </row>
    <row r="18" spans="1:21">
      <c r="A18" s="428" t="s">
        <v>74</v>
      </c>
      <c r="B18" s="14" t="s">
        <v>75</v>
      </c>
      <c r="C18" s="14">
        <v>1</v>
      </c>
      <c r="D18" s="14"/>
      <c r="E18" s="418"/>
      <c r="F18" s="394">
        <f t="shared" si="0"/>
        <v>0</v>
      </c>
      <c r="G18" s="418"/>
      <c r="H18" s="394">
        <f t="shared" si="0"/>
        <v>0</v>
      </c>
      <c r="I18" s="394">
        <v>2</v>
      </c>
      <c r="J18" s="394">
        <f t="shared" ref="J18" si="44">I18*$C18</f>
        <v>2</v>
      </c>
      <c r="K18" s="394">
        <v>2</v>
      </c>
      <c r="L18" s="394">
        <f t="shared" ref="L18" si="45">K18*$C18</f>
        <v>2</v>
      </c>
      <c r="M18" s="394">
        <v>2</v>
      </c>
      <c r="N18" s="394">
        <f t="shared" ref="N18" si="46">M18*$C18</f>
        <v>2</v>
      </c>
      <c r="O18" s="394">
        <v>2</v>
      </c>
      <c r="P18" s="394">
        <f t="shared" ref="P18" si="47">O18*$C18</f>
        <v>2</v>
      </c>
      <c r="Q18" s="394">
        <v>2</v>
      </c>
      <c r="R18" s="394">
        <f t="shared" ref="R18" si="48">Q18*$C18</f>
        <v>2</v>
      </c>
      <c r="S18" s="394">
        <v>2</v>
      </c>
      <c r="T18" s="394">
        <f t="shared" ref="T18" si="49">S18*$C18</f>
        <v>2</v>
      </c>
    </row>
    <row r="19" spans="1:21">
      <c r="A19" s="428"/>
      <c r="B19" s="14" t="s">
        <v>25</v>
      </c>
      <c r="C19" s="14">
        <v>5</v>
      </c>
      <c r="D19" s="14"/>
      <c r="E19" s="394">
        <v>1</v>
      </c>
      <c r="F19" s="394">
        <f t="shared" si="0"/>
        <v>5</v>
      </c>
      <c r="G19" s="418"/>
      <c r="H19" s="394">
        <f t="shared" si="0"/>
        <v>0</v>
      </c>
      <c r="I19" s="394">
        <v>1</v>
      </c>
      <c r="J19" s="394">
        <f t="shared" ref="J19" si="50">I19*$C19</f>
        <v>5</v>
      </c>
      <c r="K19" s="394">
        <v>1</v>
      </c>
      <c r="L19" s="394">
        <f t="shared" ref="L19" si="51">K19*$C19</f>
        <v>5</v>
      </c>
      <c r="M19" s="418"/>
      <c r="N19" s="394">
        <f t="shared" ref="N19" si="52">M19*$C19</f>
        <v>0</v>
      </c>
      <c r="O19" s="418"/>
      <c r="P19" s="394">
        <f t="shared" ref="P19" si="53">O19*$C19</f>
        <v>0</v>
      </c>
      <c r="Q19" s="418"/>
      <c r="R19" s="394">
        <f t="shared" ref="R19" si="54">Q19*$C19</f>
        <v>0</v>
      </c>
      <c r="S19" s="394">
        <v>1</v>
      </c>
      <c r="T19" s="394">
        <f t="shared" ref="T19" si="55">S19*$C19</f>
        <v>5</v>
      </c>
    </row>
    <row r="20" spans="1:21">
      <c r="A20" s="428"/>
      <c r="B20" s="14" t="s">
        <v>76</v>
      </c>
      <c r="C20" s="14">
        <v>1</v>
      </c>
      <c r="D20" s="14" t="s">
        <v>77</v>
      </c>
      <c r="E20" s="418"/>
      <c r="F20" s="394">
        <f t="shared" si="0"/>
        <v>0</v>
      </c>
      <c r="G20" s="418"/>
      <c r="H20" s="394">
        <f t="shared" si="0"/>
        <v>0</v>
      </c>
      <c r="I20" s="418"/>
      <c r="J20" s="394">
        <f t="shared" ref="J20" si="56">I20*$C20</f>
        <v>0</v>
      </c>
      <c r="K20" s="418"/>
      <c r="L20" s="394">
        <f t="shared" ref="L20" si="57">K20*$C20</f>
        <v>0</v>
      </c>
      <c r="M20" s="418"/>
      <c r="N20" s="394">
        <f t="shared" ref="N20" si="58">M20*$C20</f>
        <v>0</v>
      </c>
      <c r="O20" s="418"/>
      <c r="P20" s="394">
        <f t="shared" ref="P20" si="59">O20*$C20</f>
        <v>0</v>
      </c>
      <c r="Q20" s="418"/>
      <c r="R20" s="394">
        <f t="shared" ref="R20" si="60">Q20*$C20</f>
        <v>0</v>
      </c>
      <c r="S20" s="418"/>
      <c r="T20" s="394">
        <f t="shared" ref="T20" si="61">S20*$C20</f>
        <v>0</v>
      </c>
    </row>
    <row r="21" spans="1:21">
      <c r="A21" s="428"/>
      <c r="B21" s="14" t="s">
        <v>78</v>
      </c>
      <c r="C21" s="14">
        <v>20</v>
      </c>
      <c r="D21" s="14"/>
      <c r="E21" s="418"/>
      <c r="F21" s="394">
        <f t="shared" si="0"/>
        <v>0</v>
      </c>
      <c r="G21" s="418"/>
      <c r="H21" s="394">
        <f t="shared" si="0"/>
        <v>0</v>
      </c>
      <c r="I21" s="418"/>
      <c r="J21" s="394">
        <f t="shared" ref="J21" si="62">I21*$C21</f>
        <v>0</v>
      </c>
      <c r="K21" s="394">
        <v>1</v>
      </c>
      <c r="L21" s="394">
        <f t="shared" ref="L21" si="63">K21*$C21</f>
        <v>20</v>
      </c>
      <c r="M21" s="418"/>
      <c r="N21" s="394">
        <f t="shared" ref="N21" si="64">M21*$C21</f>
        <v>0</v>
      </c>
      <c r="O21" s="418"/>
      <c r="P21" s="394">
        <f t="shared" ref="P21" si="65">O21*$C21</f>
        <v>0</v>
      </c>
      <c r="Q21" s="418"/>
      <c r="R21" s="394">
        <f t="shared" ref="R21" si="66">Q21*$C21</f>
        <v>0</v>
      </c>
      <c r="S21" s="394">
        <v>1</v>
      </c>
      <c r="T21" s="394">
        <f t="shared" ref="T21" si="67">S21*$C21</f>
        <v>20</v>
      </c>
    </row>
    <row r="22" spans="1:21">
      <c r="A22" s="428"/>
      <c r="B22" s="14" t="s">
        <v>79</v>
      </c>
      <c r="C22" s="14">
        <v>5</v>
      </c>
      <c r="D22" s="14"/>
      <c r="E22" s="394">
        <v>1</v>
      </c>
      <c r="F22" s="394">
        <f t="shared" si="0"/>
        <v>5</v>
      </c>
      <c r="G22" s="394">
        <v>1</v>
      </c>
      <c r="H22" s="394">
        <f t="shared" si="0"/>
        <v>5</v>
      </c>
      <c r="I22" s="394">
        <v>1</v>
      </c>
      <c r="J22" s="394">
        <f t="shared" ref="J22" si="68">I22*$C22</f>
        <v>5</v>
      </c>
      <c r="K22" s="394">
        <v>1</v>
      </c>
      <c r="L22" s="394">
        <f t="shared" ref="L22" si="69">K22*$C22</f>
        <v>5</v>
      </c>
      <c r="M22" s="394">
        <v>1</v>
      </c>
      <c r="N22" s="394">
        <f t="shared" ref="N22" si="70">M22*$C22</f>
        <v>5</v>
      </c>
      <c r="O22" s="394">
        <v>1</v>
      </c>
      <c r="P22" s="394">
        <f t="shared" ref="P22" si="71">O22*$C22</f>
        <v>5</v>
      </c>
      <c r="Q22" s="394">
        <v>1</v>
      </c>
      <c r="R22" s="394">
        <f t="shared" ref="R22" si="72">Q22*$C22</f>
        <v>5</v>
      </c>
      <c r="S22" s="394">
        <v>1</v>
      </c>
      <c r="T22" s="394">
        <f t="shared" ref="T22" si="73">S22*$C22</f>
        <v>5</v>
      </c>
    </row>
    <row r="23" spans="1:21">
      <c r="A23" s="428"/>
      <c r="B23" s="14" t="s">
        <v>80</v>
      </c>
      <c r="C23" s="14">
        <v>3</v>
      </c>
      <c r="D23" s="14"/>
      <c r="E23" s="394">
        <v>1</v>
      </c>
      <c r="F23" s="394">
        <f t="shared" si="0"/>
        <v>3</v>
      </c>
      <c r="G23" s="418"/>
      <c r="H23" s="394">
        <f t="shared" si="0"/>
        <v>0</v>
      </c>
      <c r="I23" s="394">
        <v>1</v>
      </c>
      <c r="J23" s="394">
        <f t="shared" ref="J23" si="74">I23*$C23</f>
        <v>3</v>
      </c>
      <c r="K23" s="418"/>
      <c r="L23" s="394">
        <f t="shared" ref="L23" si="75">K23*$C23</f>
        <v>0</v>
      </c>
      <c r="M23" s="418"/>
      <c r="N23" s="394">
        <f t="shared" ref="N23" si="76">M23*$C23</f>
        <v>0</v>
      </c>
      <c r="O23" s="418"/>
      <c r="P23" s="394">
        <f t="shared" ref="P23" si="77">O23*$C23</f>
        <v>0</v>
      </c>
      <c r="Q23" s="418"/>
      <c r="R23" s="394">
        <f t="shared" ref="R23" si="78">Q23*$C23</f>
        <v>0</v>
      </c>
      <c r="S23" s="418"/>
      <c r="T23" s="394">
        <f t="shared" ref="T23" si="79">S23*$C23</f>
        <v>0</v>
      </c>
    </row>
    <row r="24" spans="1:21">
      <c r="A24" s="394" t="s">
        <v>81</v>
      </c>
      <c r="B24" s="14" t="s">
        <v>82</v>
      </c>
      <c r="C24" s="14">
        <v>5</v>
      </c>
      <c r="D24" s="14"/>
      <c r="E24" s="394">
        <v>1</v>
      </c>
      <c r="F24" s="394">
        <f t="shared" si="0"/>
        <v>5</v>
      </c>
      <c r="G24" s="394">
        <v>1</v>
      </c>
      <c r="H24" s="394">
        <f t="shared" si="0"/>
        <v>5</v>
      </c>
      <c r="I24" s="394">
        <v>1</v>
      </c>
      <c r="J24" s="394">
        <f t="shared" ref="J24" si="80">I24*$C24</f>
        <v>5</v>
      </c>
      <c r="K24" s="394">
        <v>1</v>
      </c>
      <c r="L24" s="394">
        <f t="shared" ref="L24" si="81">K24*$C24</f>
        <v>5</v>
      </c>
      <c r="M24" s="394">
        <v>1</v>
      </c>
      <c r="N24" s="394">
        <f t="shared" ref="N24" si="82">M24*$C24</f>
        <v>5</v>
      </c>
      <c r="O24" s="394">
        <v>1</v>
      </c>
      <c r="P24" s="394">
        <f t="shared" ref="P24" si="83">O24*$C24</f>
        <v>5</v>
      </c>
      <c r="Q24" s="394">
        <v>1</v>
      </c>
      <c r="R24" s="394">
        <f t="shared" ref="R24" si="84">Q24*$C24</f>
        <v>5</v>
      </c>
      <c r="S24" s="394">
        <v>1</v>
      </c>
      <c r="T24" s="394">
        <f t="shared" ref="T24" si="85">S24*$C24</f>
        <v>5</v>
      </c>
    </row>
    <row r="25" spans="1:21">
      <c r="A25" s="394" t="s">
        <v>83</v>
      </c>
      <c r="B25" s="14" t="s">
        <v>84</v>
      </c>
      <c r="C25" s="14">
        <v>0.5</v>
      </c>
      <c r="D25" s="14"/>
      <c r="E25" s="394">
        <v>1</v>
      </c>
      <c r="F25" s="394">
        <f>E25*$C25+16</f>
        <v>16.5</v>
      </c>
      <c r="G25" s="394">
        <v>1</v>
      </c>
      <c r="H25" s="394">
        <f t="shared" si="0"/>
        <v>0.5</v>
      </c>
      <c r="I25" s="394">
        <v>1</v>
      </c>
      <c r="J25" s="394">
        <f t="shared" ref="J25" si="86">I25*$C25</f>
        <v>0.5</v>
      </c>
      <c r="K25" s="394">
        <v>1</v>
      </c>
      <c r="L25" s="394">
        <f t="shared" ref="L25" si="87">K25*$C25</f>
        <v>0.5</v>
      </c>
      <c r="M25" s="394">
        <v>1</v>
      </c>
      <c r="N25" s="394">
        <f t="shared" ref="N25" si="88">M25*$C25</f>
        <v>0.5</v>
      </c>
      <c r="O25" s="394">
        <v>1</v>
      </c>
      <c r="P25" s="394">
        <f t="shared" ref="P25" si="89">O25*$C25</f>
        <v>0.5</v>
      </c>
      <c r="Q25" s="394">
        <v>1</v>
      </c>
      <c r="R25" s="394">
        <f t="shared" ref="R25" si="90">Q25*$C25</f>
        <v>0.5</v>
      </c>
      <c r="S25" s="394">
        <v>1</v>
      </c>
      <c r="T25" s="394">
        <f t="shared" ref="T25" si="91">S25*$C25</f>
        <v>0.5</v>
      </c>
    </row>
    <row r="26" spans="1:21">
      <c r="A26" s="428" t="s">
        <v>85</v>
      </c>
      <c r="B26" s="14" t="s">
        <v>86</v>
      </c>
      <c r="C26" s="14">
        <v>12</v>
      </c>
      <c r="D26" s="14" t="s">
        <v>87</v>
      </c>
      <c r="E26" s="394">
        <v>5</v>
      </c>
      <c r="F26" s="394">
        <f t="shared" si="0"/>
        <v>60</v>
      </c>
      <c r="G26" s="394">
        <v>7</v>
      </c>
      <c r="H26" s="394">
        <f t="shared" si="0"/>
        <v>84</v>
      </c>
      <c r="I26" s="394">
        <v>5</v>
      </c>
      <c r="J26" s="394">
        <f t="shared" ref="J26" si="92">I26*$C26</f>
        <v>60</v>
      </c>
      <c r="K26" s="394">
        <v>7</v>
      </c>
      <c r="L26" s="394">
        <f t="shared" ref="L26" si="93">K26*$C26</f>
        <v>84</v>
      </c>
      <c r="M26" s="394">
        <v>7</v>
      </c>
      <c r="N26" s="394">
        <f t="shared" ref="N26" si="94">M26*$C26</f>
        <v>84</v>
      </c>
      <c r="O26" s="394">
        <v>7</v>
      </c>
      <c r="P26" s="394">
        <f t="shared" ref="P26" si="95">O26*$C26</f>
        <v>84</v>
      </c>
      <c r="Q26" s="418"/>
      <c r="R26" s="394">
        <f t="shared" ref="R26" si="96">Q26*$C26</f>
        <v>0</v>
      </c>
      <c r="S26" s="418"/>
      <c r="T26" s="394">
        <f t="shared" ref="T26" si="97">S26*$C26</f>
        <v>0</v>
      </c>
    </row>
    <row r="27" spans="1:21">
      <c r="A27" s="428"/>
      <c r="B27" s="14" t="s">
        <v>88</v>
      </c>
      <c r="C27" s="14">
        <v>30</v>
      </c>
      <c r="D27" s="14"/>
      <c r="E27" s="418"/>
      <c r="F27" s="394">
        <f t="shared" si="0"/>
        <v>0</v>
      </c>
      <c r="G27" s="418"/>
      <c r="H27" s="394">
        <f t="shared" si="0"/>
        <v>0</v>
      </c>
      <c r="I27" s="418"/>
      <c r="J27" s="394">
        <f t="shared" ref="J27" si="98">I27*$C27</f>
        <v>0</v>
      </c>
      <c r="K27" s="418"/>
      <c r="L27" s="394">
        <f t="shared" ref="L27" si="99">K27*$C27</f>
        <v>0</v>
      </c>
      <c r="M27" s="418"/>
      <c r="N27" s="394">
        <f t="shared" ref="N27" si="100">M27*$C27</f>
        <v>0</v>
      </c>
      <c r="O27" s="418"/>
      <c r="P27" s="394">
        <f t="shared" ref="P27" si="101">O27*$C27</f>
        <v>0</v>
      </c>
      <c r="Q27" s="394">
        <v>7</v>
      </c>
      <c r="R27" s="394">
        <f t="shared" ref="R27" si="102">Q27*$C27</f>
        <v>210</v>
      </c>
      <c r="S27" s="394">
        <v>5</v>
      </c>
      <c r="T27" s="394">
        <f t="shared" ref="T27" si="103">S27*$C27</f>
        <v>150</v>
      </c>
    </row>
    <row r="28" spans="1:21">
      <c r="F28" s="399">
        <f>SUM(F4:F27)</f>
        <v>150.4</v>
      </c>
      <c r="H28" s="399">
        <f>SUM(H4:H27)</f>
        <v>150.4</v>
      </c>
      <c r="J28" s="399">
        <f>SUM(J4:J27)</f>
        <v>139.30000000000001</v>
      </c>
      <c r="L28" s="399">
        <f>SUM(L4:L27)</f>
        <v>180.3</v>
      </c>
      <c r="N28" s="399">
        <f>SUM(N4:N27)</f>
        <v>155.30000000000001</v>
      </c>
      <c r="P28" s="399">
        <f>SUM(P4:P27)</f>
        <v>155.30000000000001</v>
      </c>
      <c r="R28" s="399">
        <f>SUM(R4:R27)</f>
        <v>285.5</v>
      </c>
      <c r="T28" s="399">
        <f>SUM(T4:T27)</f>
        <v>250.5</v>
      </c>
    </row>
    <row r="29" spans="1:21" ht="28.9">
      <c r="E29" s="68" t="s">
        <v>89</v>
      </c>
      <c r="F29">
        <f>F4+F7</f>
        <v>30</v>
      </c>
      <c r="H29">
        <f>H4+H7</f>
        <v>30</v>
      </c>
    </row>
  </sheetData>
  <autoFilter ref="A3:U28" xr:uid="{9C6C26F1-AA4C-4CC2-A44A-8B8149606C67}"/>
  <mergeCells count="30">
    <mergeCell ref="T4:T6"/>
    <mergeCell ref="E1:T1"/>
    <mergeCell ref="F4:F6"/>
    <mergeCell ref="E4:E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S2:T2"/>
    <mergeCell ref="Q4:Q6"/>
    <mergeCell ref="A26:A27"/>
    <mergeCell ref="A9:A17"/>
    <mergeCell ref="E2:F2"/>
    <mergeCell ref="G2:H2"/>
    <mergeCell ref="I2:J2"/>
    <mergeCell ref="A18:A23"/>
    <mergeCell ref="C4:C6"/>
    <mergeCell ref="A4:A8"/>
    <mergeCell ref="S4:S6"/>
    <mergeCell ref="K2:L2"/>
    <mergeCell ref="M2:N2"/>
    <mergeCell ref="O2:P2"/>
    <mergeCell ref="Q2:R2"/>
    <mergeCell ref="R4:R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EF48-1908-4129-B55C-608629529696}">
  <sheetPr codeName="Feuil3"/>
  <dimension ref="A1:L27"/>
  <sheetViews>
    <sheetView workbookViewId="0">
      <selection activeCell="C19" sqref="C19"/>
    </sheetView>
  </sheetViews>
  <sheetFormatPr defaultColWidth="11.42578125" defaultRowHeight="14.45"/>
  <cols>
    <col min="2" max="2" width="24.5703125" bestFit="1" customWidth="1"/>
    <col min="4" max="4" width="0" hidden="1" customWidth="1"/>
  </cols>
  <sheetData>
    <row r="1" spans="1:12">
      <c r="A1" s="89"/>
      <c r="B1" t="s">
        <v>43</v>
      </c>
      <c r="E1" s="431" t="s">
        <v>90</v>
      </c>
      <c r="F1" s="431"/>
      <c r="G1" s="431"/>
      <c r="H1" s="431"/>
      <c r="I1" s="431"/>
      <c r="J1" s="431"/>
      <c r="K1" s="431"/>
      <c r="L1" s="431"/>
    </row>
    <row r="2" spans="1:12">
      <c r="A2" s="90"/>
      <c r="B2" t="s">
        <v>45</v>
      </c>
      <c r="C2" s="398"/>
      <c r="D2" s="14"/>
      <c r="E2" s="427" t="s">
        <v>91</v>
      </c>
      <c r="F2" s="427"/>
      <c r="G2" s="427" t="s">
        <v>92</v>
      </c>
      <c r="H2" s="427"/>
      <c r="I2" s="443" t="s">
        <v>93</v>
      </c>
      <c r="J2" s="443"/>
      <c r="K2" s="444" t="s">
        <v>94</v>
      </c>
      <c r="L2" s="444"/>
    </row>
    <row r="3" spans="1:12">
      <c r="A3" s="420"/>
      <c r="B3" t="s">
        <v>95</v>
      </c>
      <c r="C3" s="14" t="s">
        <v>54</v>
      </c>
      <c r="D3" s="14"/>
      <c r="E3" s="14" t="s">
        <v>55</v>
      </c>
      <c r="F3" s="14" t="s">
        <v>56</v>
      </c>
      <c r="G3" s="14" t="s">
        <v>55</v>
      </c>
      <c r="H3" s="14" t="s">
        <v>56</v>
      </c>
      <c r="I3" s="14" t="s">
        <v>55</v>
      </c>
      <c r="J3" s="14" t="s">
        <v>56</v>
      </c>
      <c r="K3" s="14" t="s">
        <v>55</v>
      </c>
      <c r="L3" s="399" t="s">
        <v>56</v>
      </c>
    </row>
    <row r="4" spans="1:12">
      <c r="A4" s="428" t="s">
        <v>57</v>
      </c>
      <c r="B4" s="14" t="s">
        <v>58</v>
      </c>
      <c r="C4" s="430">
        <v>25</v>
      </c>
      <c r="D4" s="14"/>
      <c r="E4" s="424">
        <v>1</v>
      </c>
      <c r="F4" s="424">
        <f>E4*$C4</f>
        <v>25</v>
      </c>
      <c r="G4" s="424">
        <v>1</v>
      </c>
      <c r="H4" s="424">
        <f>G4*$C4</f>
        <v>25</v>
      </c>
      <c r="I4" s="424">
        <v>1</v>
      </c>
      <c r="J4" s="424">
        <f>I4*$C4</f>
        <v>25</v>
      </c>
      <c r="K4" s="424">
        <v>1</v>
      </c>
      <c r="L4" s="424">
        <f>K4*$C4</f>
        <v>25</v>
      </c>
    </row>
    <row r="5" spans="1:12">
      <c r="A5" s="428"/>
      <c r="B5" s="14" t="s">
        <v>59</v>
      </c>
      <c r="C5" s="430"/>
      <c r="D5" s="14"/>
      <c r="E5" s="425"/>
      <c r="F5" s="425"/>
      <c r="G5" s="425"/>
      <c r="H5" s="425"/>
      <c r="I5" s="425"/>
      <c r="J5" s="425"/>
      <c r="K5" s="425"/>
      <c r="L5" s="425"/>
    </row>
    <row r="6" spans="1:12">
      <c r="A6" s="428"/>
      <c r="B6" s="14" t="s">
        <v>60</v>
      </c>
      <c r="C6" s="430"/>
      <c r="D6" s="14"/>
      <c r="E6" s="426"/>
      <c r="F6" s="426"/>
      <c r="G6" s="426"/>
      <c r="H6" s="426"/>
      <c r="I6" s="426"/>
      <c r="J6" s="426"/>
      <c r="K6" s="426"/>
      <c r="L6" s="426"/>
    </row>
    <row r="7" spans="1:12">
      <c r="A7" s="428"/>
      <c r="B7" s="14" t="s">
        <v>61</v>
      </c>
      <c r="C7" s="14">
        <v>5</v>
      </c>
      <c r="D7" s="14"/>
      <c r="E7" s="394">
        <v>1</v>
      </c>
      <c r="F7" s="394">
        <f>E7*$C7</f>
        <v>5</v>
      </c>
      <c r="G7" s="394">
        <v>1</v>
      </c>
      <c r="H7" s="394">
        <f>G7*$C7</f>
        <v>5</v>
      </c>
      <c r="I7" s="394">
        <v>1</v>
      </c>
      <c r="J7" s="394">
        <f>I7*$C7</f>
        <v>5</v>
      </c>
      <c r="K7" s="394">
        <v>1</v>
      </c>
      <c r="L7" s="394">
        <f>K7*$C7</f>
        <v>5</v>
      </c>
    </row>
    <row r="8" spans="1:12">
      <c r="A8" s="428"/>
      <c r="B8" s="14" t="s">
        <v>62</v>
      </c>
      <c r="C8" s="14">
        <v>5</v>
      </c>
      <c r="D8" s="14"/>
      <c r="E8" s="418"/>
      <c r="F8" s="394">
        <f t="shared" ref="F8:H26" si="0">E8*$C8</f>
        <v>0</v>
      </c>
      <c r="G8" s="418"/>
      <c r="H8" s="394">
        <f t="shared" si="0"/>
        <v>0</v>
      </c>
      <c r="I8" s="418"/>
      <c r="J8" s="394">
        <f t="shared" ref="J8:J26" si="1">I8*$C8</f>
        <v>0</v>
      </c>
      <c r="K8" s="418"/>
      <c r="L8" s="394">
        <f t="shared" ref="L8:L26" si="2">K8*$C8</f>
        <v>0</v>
      </c>
    </row>
    <row r="9" spans="1:12">
      <c r="A9" s="428" t="s">
        <v>63</v>
      </c>
      <c r="B9" s="14" t="s">
        <v>65</v>
      </c>
      <c r="C9" s="14">
        <v>10</v>
      </c>
      <c r="D9" s="14"/>
      <c r="E9" s="394">
        <v>1</v>
      </c>
      <c r="F9" s="394">
        <f t="shared" si="0"/>
        <v>10</v>
      </c>
      <c r="G9" s="394">
        <v>1</v>
      </c>
      <c r="H9" s="394">
        <f t="shared" si="0"/>
        <v>10</v>
      </c>
      <c r="I9" s="394">
        <v>1</v>
      </c>
      <c r="J9" s="394">
        <f t="shared" si="1"/>
        <v>10</v>
      </c>
      <c r="K9" s="394">
        <v>1</v>
      </c>
      <c r="L9" s="394">
        <f t="shared" si="2"/>
        <v>10</v>
      </c>
    </row>
    <row r="10" spans="1:12">
      <c r="A10" s="428"/>
      <c r="B10" s="14" t="s">
        <v>66</v>
      </c>
      <c r="C10" s="14">
        <v>11</v>
      </c>
      <c r="D10" s="14"/>
      <c r="E10" s="418"/>
      <c r="F10" s="394">
        <f t="shared" ref="F10" si="3">E10*$C10</f>
        <v>0</v>
      </c>
      <c r="G10" s="418"/>
      <c r="H10" s="394">
        <f t="shared" ref="H10" si="4">G10*$C10</f>
        <v>0</v>
      </c>
      <c r="I10" s="418"/>
      <c r="J10" s="394">
        <f t="shared" ref="J10" si="5">I10*$C10</f>
        <v>0</v>
      </c>
      <c r="K10" s="418"/>
      <c r="L10" s="394">
        <f t="shared" ref="L10" si="6">K10*$C10</f>
        <v>0</v>
      </c>
    </row>
    <row r="11" spans="1:12">
      <c r="A11" s="428"/>
      <c r="B11" s="14" t="s">
        <v>68</v>
      </c>
      <c r="C11" s="14">
        <v>11</v>
      </c>
      <c r="D11" s="14"/>
      <c r="E11" s="418"/>
      <c r="F11" s="394">
        <f t="shared" si="0"/>
        <v>0</v>
      </c>
      <c r="G11" s="418"/>
      <c r="H11" s="394">
        <f t="shared" si="0"/>
        <v>0</v>
      </c>
      <c r="I11" s="418"/>
      <c r="J11" s="394">
        <f t="shared" si="1"/>
        <v>0</v>
      </c>
      <c r="K11" s="418"/>
      <c r="L11" s="394">
        <f t="shared" si="2"/>
        <v>0</v>
      </c>
    </row>
    <row r="12" spans="1:12">
      <c r="A12" s="428"/>
      <c r="B12" s="14" t="s">
        <v>69</v>
      </c>
      <c r="C12" s="14">
        <v>11</v>
      </c>
      <c r="D12" s="14"/>
      <c r="E12" s="394">
        <v>1</v>
      </c>
      <c r="F12" s="394">
        <f t="shared" ref="F12" si="7">E12*$C12</f>
        <v>11</v>
      </c>
      <c r="G12" s="394">
        <v>1</v>
      </c>
      <c r="H12" s="394">
        <f t="shared" ref="H12" si="8">G12*$C12</f>
        <v>11</v>
      </c>
      <c r="I12" s="418"/>
      <c r="J12" s="394">
        <f t="shared" ref="J12" si="9">I12*$C12</f>
        <v>0</v>
      </c>
      <c r="K12" s="418"/>
      <c r="L12" s="394">
        <f t="shared" ref="L12" si="10">K12*$C12</f>
        <v>0</v>
      </c>
    </row>
    <row r="13" spans="1:12">
      <c r="A13" s="428"/>
      <c r="B13" s="14" t="s">
        <v>70</v>
      </c>
      <c r="C13" s="14">
        <v>11</v>
      </c>
      <c r="D13" s="14"/>
      <c r="E13" s="418"/>
      <c r="F13" s="394">
        <f t="shared" si="0"/>
        <v>0</v>
      </c>
      <c r="G13" s="418"/>
      <c r="H13" s="394">
        <f t="shared" si="0"/>
        <v>0</v>
      </c>
      <c r="I13" s="394">
        <v>1</v>
      </c>
      <c r="J13" s="394">
        <f t="shared" si="1"/>
        <v>11</v>
      </c>
      <c r="K13" s="394">
        <v>1</v>
      </c>
      <c r="L13" s="394">
        <f t="shared" si="2"/>
        <v>11</v>
      </c>
    </row>
    <row r="14" spans="1:12">
      <c r="A14" s="428"/>
      <c r="B14" s="14" t="s">
        <v>71</v>
      </c>
      <c r="C14" s="14">
        <v>12</v>
      </c>
      <c r="D14" s="14"/>
      <c r="E14" s="418"/>
      <c r="F14" s="394">
        <f t="shared" si="0"/>
        <v>0</v>
      </c>
      <c r="G14" s="418"/>
      <c r="H14" s="394">
        <f t="shared" si="0"/>
        <v>0</v>
      </c>
      <c r="I14" s="418"/>
      <c r="J14" s="394">
        <f t="shared" si="1"/>
        <v>0</v>
      </c>
      <c r="K14" s="418"/>
      <c r="L14" s="394">
        <f t="shared" si="2"/>
        <v>0</v>
      </c>
    </row>
    <row r="15" spans="1:12">
      <c r="A15" s="428"/>
      <c r="B15" s="14" t="s">
        <v>72</v>
      </c>
      <c r="C15" s="14">
        <v>12</v>
      </c>
      <c r="D15" s="14"/>
      <c r="E15" s="394">
        <v>1</v>
      </c>
      <c r="F15" s="394">
        <f t="shared" ref="F15" si="11">E15*$C15</f>
        <v>12</v>
      </c>
      <c r="G15" s="394">
        <v>1</v>
      </c>
      <c r="H15" s="394">
        <f t="shared" ref="H15" si="12">G15*$C15</f>
        <v>12</v>
      </c>
      <c r="I15" s="418"/>
      <c r="J15" s="394">
        <f t="shared" ref="J15" si="13">I15*$C15</f>
        <v>0</v>
      </c>
      <c r="K15" s="418"/>
      <c r="L15" s="394">
        <f t="shared" ref="L15" si="14">K15*$C15</f>
        <v>0</v>
      </c>
    </row>
    <row r="16" spans="1:12">
      <c r="A16" s="428"/>
      <c r="B16" s="14" t="s">
        <v>73</v>
      </c>
      <c r="C16" s="14">
        <v>12</v>
      </c>
      <c r="D16" s="14"/>
      <c r="E16" s="418"/>
      <c r="F16" s="394">
        <f t="shared" si="0"/>
        <v>0</v>
      </c>
      <c r="G16" s="418"/>
      <c r="H16" s="394">
        <f t="shared" si="0"/>
        <v>0</v>
      </c>
      <c r="I16" s="394">
        <v>1</v>
      </c>
      <c r="J16" s="394">
        <f t="shared" si="1"/>
        <v>12</v>
      </c>
      <c r="K16" s="394">
        <v>1</v>
      </c>
      <c r="L16" s="394">
        <f t="shared" si="2"/>
        <v>12</v>
      </c>
    </row>
    <row r="17" spans="1:12">
      <c r="A17" s="428" t="s">
        <v>74</v>
      </c>
      <c r="B17" s="14" t="s">
        <v>75</v>
      </c>
      <c r="C17" s="14">
        <v>1</v>
      </c>
      <c r="D17" s="14"/>
      <c r="E17" s="394">
        <v>2</v>
      </c>
      <c r="F17" s="394">
        <f t="shared" si="0"/>
        <v>2</v>
      </c>
      <c r="G17" s="394">
        <v>2</v>
      </c>
      <c r="H17" s="394">
        <f t="shared" si="0"/>
        <v>2</v>
      </c>
      <c r="I17" s="394">
        <v>2</v>
      </c>
      <c r="J17" s="394">
        <f t="shared" si="1"/>
        <v>2</v>
      </c>
      <c r="K17" s="394">
        <v>2</v>
      </c>
      <c r="L17" s="394">
        <f t="shared" si="2"/>
        <v>2</v>
      </c>
    </row>
    <row r="18" spans="1:12">
      <c r="A18" s="428"/>
      <c r="B18" s="14" t="s">
        <v>25</v>
      </c>
      <c r="C18" s="14">
        <v>5</v>
      </c>
      <c r="D18" s="14"/>
      <c r="E18" s="418"/>
      <c r="F18" s="394">
        <f t="shared" si="0"/>
        <v>0</v>
      </c>
      <c r="G18" s="394">
        <v>1</v>
      </c>
      <c r="H18" s="394">
        <f t="shared" si="0"/>
        <v>5</v>
      </c>
      <c r="I18" s="394">
        <v>1</v>
      </c>
      <c r="J18" s="394">
        <f t="shared" si="1"/>
        <v>5</v>
      </c>
      <c r="K18" s="418"/>
      <c r="L18" s="394">
        <f t="shared" si="2"/>
        <v>0</v>
      </c>
    </row>
    <row r="19" spans="1:12">
      <c r="A19" s="428"/>
      <c r="B19" s="14" t="s">
        <v>76</v>
      </c>
      <c r="C19" s="14">
        <v>1</v>
      </c>
      <c r="D19" s="14" t="s">
        <v>77</v>
      </c>
      <c r="E19" s="418"/>
      <c r="F19" s="394">
        <f t="shared" si="0"/>
        <v>0</v>
      </c>
      <c r="G19" s="418"/>
      <c r="H19" s="394">
        <f t="shared" si="0"/>
        <v>0</v>
      </c>
      <c r="I19" s="418"/>
      <c r="J19" s="394">
        <f t="shared" si="1"/>
        <v>0</v>
      </c>
      <c r="K19" s="418"/>
      <c r="L19" s="394">
        <f t="shared" si="2"/>
        <v>0</v>
      </c>
    </row>
    <row r="20" spans="1:12">
      <c r="A20" s="428"/>
      <c r="B20" s="14" t="s">
        <v>78</v>
      </c>
      <c r="C20" s="14">
        <v>20</v>
      </c>
      <c r="D20" s="14"/>
      <c r="E20" s="418"/>
      <c r="F20" s="394">
        <f t="shared" si="0"/>
        <v>0</v>
      </c>
      <c r="G20" s="418"/>
      <c r="H20" s="394">
        <f t="shared" si="0"/>
        <v>0</v>
      </c>
      <c r="I20" s="394">
        <v>1</v>
      </c>
      <c r="J20" s="394">
        <f t="shared" si="1"/>
        <v>20</v>
      </c>
      <c r="K20" s="418"/>
      <c r="L20" s="394">
        <f t="shared" si="2"/>
        <v>0</v>
      </c>
    </row>
    <row r="21" spans="1:12">
      <c r="A21" s="428"/>
      <c r="B21" s="14" t="s">
        <v>79</v>
      </c>
      <c r="C21" s="14">
        <v>5</v>
      </c>
      <c r="D21" s="14"/>
      <c r="E21" s="394">
        <v>1</v>
      </c>
      <c r="F21" s="394">
        <f t="shared" si="0"/>
        <v>5</v>
      </c>
      <c r="G21" s="394">
        <v>1</v>
      </c>
      <c r="H21" s="394">
        <f t="shared" si="0"/>
        <v>5</v>
      </c>
      <c r="I21" s="394">
        <v>1</v>
      </c>
      <c r="J21" s="394">
        <f t="shared" si="1"/>
        <v>5</v>
      </c>
      <c r="K21" s="394">
        <v>1</v>
      </c>
      <c r="L21" s="394">
        <f t="shared" si="2"/>
        <v>5</v>
      </c>
    </row>
    <row r="22" spans="1:12">
      <c r="A22" s="428"/>
      <c r="B22" s="14" t="s">
        <v>80</v>
      </c>
      <c r="C22" s="14">
        <v>3</v>
      </c>
      <c r="D22" s="14"/>
      <c r="E22" s="418"/>
      <c r="F22" s="394">
        <f t="shared" si="0"/>
        <v>0</v>
      </c>
      <c r="G22" s="394">
        <v>1</v>
      </c>
      <c r="H22" s="394">
        <f t="shared" si="0"/>
        <v>3</v>
      </c>
      <c r="I22" s="418"/>
      <c r="J22" s="394">
        <f t="shared" si="1"/>
        <v>0</v>
      </c>
      <c r="K22" s="418"/>
      <c r="L22" s="394">
        <f t="shared" si="2"/>
        <v>0</v>
      </c>
    </row>
    <row r="23" spans="1:12">
      <c r="A23" s="394" t="s">
        <v>81</v>
      </c>
      <c r="B23" s="14" t="s">
        <v>82</v>
      </c>
      <c r="C23" s="14">
        <v>5</v>
      </c>
      <c r="D23" s="14"/>
      <c r="E23" s="394">
        <v>1</v>
      </c>
      <c r="F23" s="394">
        <f t="shared" si="0"/>
        <v>5</v>
      </c>
      <c r="G23" s="394">
        <v>1</v>
      </c>
      <c r="H23" s="394">
        <f t="shared" si="0"/>
        <v>5</v>
      </c>
      <c r="I23" s="394">
        <v>1</v>
      </c>
      <c r="J23" s="394">
        <f t="shared" si="1"/>
        <v>5</v>
      </c>
      <c r="K23" s="394">
        <v>1</v>
      </c>
      <c r="L23" s="394">
        <f t="shared" si="2"/>
        <v>5</v>
      </c>
    </row>
    <row r="24" spans="1:12">
      <c r="A24" s="394" t="s">
        <v>83</v>
      </c>
      <c r="B24" s="14" t="s">
        <v>84</v>
      </c>
      <c r="C24" s="14">
        <v>0.5</v>
      </c>
      <c r="D24" s="14"/>
      <c r="E24" s="394">
        <v>1</v>
      </c>
      <c r="F24" s="394">
        <f t="shared" si="0"/>
        <v>0.5</v>
      </c>
      <c r="G24" s="394">
        <v>1</v>
      </c>
      <c r="H24" s="394">
        <f t="shared" si="0"/>
        <v>0.5</v>
      </c>
      <c r="I24" s="394">
        <v>1</v>
      </c>
      <c r="J24" s="394">
        <f t="shared" si="1"/>
        <v>0.5</v>
      </c>
      <c r="K24" s="394">
        <v>1</v>
      </c>
      <c r="L24" s="394">
        <f t="shared" si="2"/>
        <v>0.5</v>
      </c>
    </row>
    <row r="25" spans="1:12">
      <c r="A25" s="428" t="s">
        <v>85</v>
      </c>
      <c r="B25" s="14" t="s">
        <v>86</v>
      </c>
      <c r="C25" s="14">
        <v>12</v>
      </c>
      <c r="D25" s="14" t="s">
        <v>87</v>
      </c>
      <c r="E25" s="418"/>
      <c r="F25" s="394">
        <f t="shared" si="0"/>
        <v>0</v>
      </c>
      <c r="G25" s="418"/>
      <c r="H25" s="394">
        <f t="shared" si="0"/>
        <v>0</v>
      </c>
      <c r="I25" s="418"/>
      <c r="J25" s="394">
        <f t="shared" si="1"/>
        <v>0</v>
      </c>
      <c r="K25" s="418"/>
      <c r="L25" s="394">
        <f t="shared" si="2"/>
        <v>0</v>
      </c>
    </row>
    <row r="26" spans="1:12">
      <c r="A26" s="428"/>
      <c r="B26" s="14" t="s">
        <v>88</v>
      </c>
      <c r="C26" s="14">
        <v>30</v>
      </c>
      <c r="D26" s="14"/>
      <c r="E26" s="394">
        <v>8</v>
      </c>
      <c r="F26" s="394">
        <f t="shared" si="0"/>
        <v>240</v>
      </c>
      <c r="G26" s="394">
        <v>8</v>
      </c>
      <c r="H26" s="394">
        <f t="shared" si="0"/>
        <v>240</v>
      </c>
      <c r="I26" s="394">
        <v>8</v>
      </c>
      <c r="J26" s="394">
        <f t="shared" si="1"/>
        <v>240</v>
      </c>
      <c r="K26" s="394">
        <v>8</v>
      </c>
      <c r="L26" s="394">
        <f t="shared" si="2"/>
        <v>240</v>
      </c>
    </row>
    <row r="27" spans="1:12">
      <c r="F27" s="399">
        <f>SUM(F4:F26)</f>
        <v>315.5</v>
      </c>
      <c r="H27" s="399">
        <f>SUM(H4:H26)</f>
        <v>323.5</v>
      </c>
      <c r="J27" s="399">
        <f>SUM(J4:J26)</f>
        <v>340.5</v>
      </c>
      <c r="L27" s="399">
        <f>SUM(L4:L26)</f>
        <v>315.5</v>
      </c>
    </row>
  </sheetData>
  <autoFilter ref="A3:L3" xr:uid="{112BEF48-1908-4129-B55C-608629529696}"/>
  <mergeCells count="18">
    <mergeCell ref="A9:A16"/>
    <mergeCell ref="A17:A22"/>
    <mergeCell ref="A25:A26"/>
    <mergeCell ref="I4:I6"/>
    <mergeCell ref="J4:J6"/>
    <mergeCell ref="K4:K6"/>
    <mergeCell ref="L4:L6"/>
    <mergeCell ref="A4:A8"/>
    <mergeCell ref="C4:C6"/>
    <mergeCell ref="E4:E6"/>
    <mergeCell ref="F4:F6"/>
    <mergeCell ref="G4:G6"/>
    <mergeCell ref="H4:H6"/>
    <mergeCell ref="E1:L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B8FA-56B8-4B5C-8E10-B9E3D5A290F3}">
  <sheetPr codeName="Feuil4"/>
  <dimension ref="A1:H22"/>
  <sheetViews>
    <sheetView workbookViewId="0">
      <selection activeCell="G2" sqref="E2:H2"/>
    </sheetView>
  </sheetViews>
  <sheetFormatPr defaultColWidth="11.42578125" defaultRowHeight="14.45"/>
  <cols>
    <col min="2" max="2" width="13.85546875" customWidth="1"/>
    <col min="4" max="4" width="0" hidden="1" customWidth="1"/>
  </cols>
  <sheetData>
    <row r="1" spans="1:8">
      <c r="A1" s="89"/>
      <c r="B1" t="s">
        <v>43</v>
      </c>
      <c r="E1" s="431" t="s">
        <v>96</v>
      </c>
      <c r="F1" s="431"/>
      <c r="G1" s="431"/>
      <c r="H1" s="431"/>
    </row>
    <row r="2" spans="1:8">
      <c r="A2" s="90"/>
      <c r="B2" t="s">
        <v>45</v>
      </c>
      <c r="C2" s="398"/>
      <c r="D2" s="14"/>
      <c r="E2" s="427" t="s">
        <v>97</v>
      </c>
      <c r="F2" s="427"/>
      <c r="G2" s="429" t="s">
        <v>98</v>
      </c>
      <c r="H2" s="429"/>
    </row>
    <row r="3" spans="1:8">
      <c r="C3" s="14" t="s">
        <v>54</v>
      </c>
      <c r="D3" s="14"/>
      <c r="E3" s="14" t="s">
        <v>55</v>
      </c>
      <c r="F3" s="14" t="s">
        <v>56</v>
      </c>
      <c r="G3" s="14" t="s">
        <v>55</v>
      </c>
      <c r="H3" s="14" t="s">
        <v>56</v>
      </c>
    </row>
    <row r="4" spans="1:8">
      <c r="A4" s="428" t="s">
        <v>57</v>
      </c>
      <c r="B4" s="14" t="s">
        <v>58</v>
      </c>
      <c r="C4" s="430">
        <v>25</v>
      </c>
      <c r="D4" s="14"/>
      <c r="E4" s="424">
        <v>1</v>
      </c>
      <c r="F4" s="424">
        <f>E4*$C4</f>
        <v>25</v>
      </c>
      <c r="G4" s="424">
        <v>1</v>
      </c>
      <c r="H4" s="424">
        <f>G4*$C4</f>
        <v>25</v>
      </c>
    </row>
    <row r="5" spans="1:8">
      <c r="A5" s="428"/>
      <c r="B5" s="14" t="s">
        <v>59</v>
      </c>
      <c r="C5" s="430"/>
      <c r="D5" s="14"/>
      <c r="E5" s="425"/>
      <c r="F5" s="425"/>
      <c r="G5" s="425"/>
      <c r="H5" s="425"/>
    </row>
    <row r="6" spans="1:8">
      <c r="A6" s="428"/>
      <c r="B6" s="14" t="s">
        <v>60</v>
      </c>
      <c r="C6" s="430"/>
      <c r="D6" s="14"/>
      <c r="E6" s="426"/>
      <c r="F6" s="426"/>
      <c r="G6" s="426"/>
      <c r="H6" s="426"/>
    </row>
    <row r="7" spans="1:8">
      <c r="A7" s="428"/>
      <c r="B7" s="14" t="s">
        <v>61</v>
      </c>
      <c r="C7" s="14">
        <v>5</v>
      </c>
      <c r="D7" s="14"/>
      <c r="E7" s="394">
        <v>1</v>
      </c>
      <c r="F7" s="394">
        <f>E7*$C7</f>
        <v>5</v>
      </c>
      <c r="G7" s="394">
        <v>1</v>
      </c>
      <c r="H7" s="394">
        <f>G7*$C7</f>
        <v>5</v>
      </c>
    </row>
    <row r="8" spans="1:8">
      <c r="A8" s="428"/>
      <c r="B8" s="14" t="s">
        <v>62</v>
      </c>
      <c r="C8" s="14">
        <v>5</v>
      </c>
      <c r="D8" s="14"/>
      <c r="E8" s="394"/>
      <c r="F8" s="394">
        <f t="shared" ref="F8:H21" si="0">E8*$C8</f>
        <v>0</v>
      </c>
      <c r="G8" s="394"/>
      <c r="H8" s="394">
        <f t="shared" si="0"/>
        <v>0</v>
      </c>
    </row>
    <row r="9" spans="1:8">
      <c r="A9" s="428" t="s">
        <v>63</v>
      </c>
      <c r="B9" s="14" t="s">
        <v>65</v>
      </c>
      <c r="C9" s="14">
        <v>10</v>
      </c>
      <c r="D9" s="14"/>
      <c r="E9" s="394">
        <v>1</v>
      </c>
      <c r="F9" s="394">
        <f t="shared" si="0"/>
        <v>10</v>
      </c>
      <c r="G9" s="394">
        <v>1</v>
      </c>
      <c r="H9" s="394">
        <f t="shared" si="0"/>
        <v>10</v>
      </c>
    </row>
    <row r="10" spans="1:8">
      <c r="A10" s="428"/>
      <c r="B10" s="14" t="s">
        <v>99</v>
      </c>
      <c r="C10" s="14">
        <v>3</v>
      </c>
      <c r="D10" s="14"/>
      <c r="E10" s="394">
        <v>1</v>
      </c>
      <c r="F10" s="394">
        <f t="shared" si="0"/>
        <v>3</v>
      </c>
      <c r="G10" s="394">
        <v>1</v>
      </c>
      <c r="H10" s="394">
        <f t="shared" si="0"/>
        <v>3</v>
      </c>
    </row>
    <row r="11" spans="1:8">
      <c r="A11" s="428"/>
      <c r="B11" s="14" t="s">
        <v>100</v>
      </c>
      <c r="C11" s="14">
        <v>3</v>
      </c>
      <c r="D11" s="14"/>
      <c r="E11" s="394">
        <v>1</v>
      </c>
      <c r="F11" s="394">
        <f t="shared" si="0"/>
        <v>3</v>
      </c>
      <c r="G11" s="394">
        <v>1</v>
      </c>
      <c r="H11" s="394">
        <f t="shared" si="0"/>
        <v>3</v>
      </c>
    </row>
    <row r="12" spans="1:8">
      <c r="A12" s="428" t="s">
        <v>74</v>
      </c>
      <c r="B12" s="14" t="s">
        <v>75</v>
      </c>
      <c r="C12" s="14">
        <v>1</v>
      </c>
      <c r="D12" s="14"/>
      <c r="E12" s="394">
        <v>2</v>
      </c>
      <c r="F12" s="394">
        <f t="shared" si="0"/>
        <v>2</v>
      </c>
      <c r="G12" s="394">
        <v>2</v>
      </c>
      <c r="H12" s="394">
        <f t="shared" si="0"/>
        <v>2</v>
      </c>
    </row>
    <row r="13" spans="1:8">
      <c r="A13" s="428"/>
      <c r="B13" s="14" t="s">
        <v>25</v>
      </c>
      <c r="C13" s="14">
        <v>5</v>
      </c>
      <c r="D13" s="14"/>
      <c r="E13" s="394"/>
      <c r="F13" s="394">
        <f t="shared" si="0"/>
        <v>0</v>
      </c>
      <c r="G13" s="394"/>
      <c r="H13" s="394">
        <f t="shared" si="0"/>
        <v>0</v>
      </c>
    </row>
    <row r="14" spans="1:8">
      <c r="A14" s="428"/>
      <c r="B14" s="14" t="s">
        <v>76</v>
      </c>
      <c r="C14" s="14">
        <v>1</v>
      </c>
      <c r="D14" s="14" t="s">
        <v>77</v>
      </c>
      <c r="E14" s="394"/>
      <c r="F14" s="394">
        <f t="shared" si="0"/>
        <v>0</v>
      </c>
      <c r="G14" s="394"/>
      <c r="H14" s="394">
        <f t="shared" si="0"/>
        <v>0</v>
      </c>
    </row>
    <row r="15" spans="1:8">
      <c r="A15" s="428"/>
      <c r="B15" s="14" t="s">
        <v>78</v>
      </c>
      <c r="C15" s="14">
        <v>20</v>
      </c>
      <c r="D15" s="14"/>
      <c r="E15" s="394"/>
      <c r="F15" s="394">
        <f t="shared" si="0"/>
        <v>0</v>
      </c>
      <c r="G15" s="394"/>
      <c r="H15" s="394">
        <f t="shared" si="0"/>
        <v>0</v>
      </c>
    </row>
    <row r="16" spans="1:8">
      <c r="A16" s="428"/>
      <c r="B16" s="14" t="s">
        <v>79</v>
      </c>
      <c r="C16" s="14">
        <v>5</v>
      </c>
      <c r="D16" s="14"/>
      <c r="E16" s="394">
        <v>1</v>
      </c>
      <c r="F16" s="394">
        <f t="shared" si="0"/>
        <v>5</v>
      </c>
      <c r="G16" s="394">
        <v>1</v>
      </c>
      <c r="H16" s="394">
        <f t="shared" si="0"/>
        <v>5</v>
      </c>
    </row>
    <row r="17" spans="1:8">
      <c r="A17" s="428"/>
      <c r="B17" s="14" t="s">
        <v>80</v>
      </c>
      <c r="C17" s="14">
        <v>3</v>
      </c>
      <c r="D17" s="14"/>
      <c r="E17" s="394"/>
      <c r="F17" s="394">
        <f t="shared" si="0"/>
        <v>0</v>
      </c>
      <c r="G17" s="394"/>
      <c r="H17" s="394">
        <f t="shared" si="0"/>
        <v>0</v>
      </c>
    </row>
    <row r="18" spans="1:8">
      <c r="A18" s="394" t="s">
        <v>81</v>
      </c>
      <c r="B18" s="14" t="s">
        <v>82</v>
      </c>
      <c r="C18" s="14">
        <v>5</v>
      </c>
      <c r="D18" s="14"/>
      <c r="E18" s="394">
        <v>1</v>
      </c>
      <c r="F18" s="394">
        <f t="shared" si="0"/>
        <v>5</v>
      </c>
      <c r="G18" s="394">
        <v>1</v>
      </c>
      <c r="H18" s="394">
        <f t="shared" si="0"/>
        <v>5</v>
      </c>
    </row>
    <row r="19" spans="1:8">
      <c r="A19" s="394" t="s">
        <v>83</v>
      </c>
      <c r="B19" s="14" t="s">
        <v>84</v>
      </c>
      <c r="C19" s="14">
        <v>0.5</v>
      </c>
      <c r="D19" s="14"/>
      <c r="E19" s="394">
        <v>1</v>
      </c>
      <c r="F19" s="394">
        <f t="shared" si="0"/>
        <v>0.5</v>
      </c>
      <c r="G19" s="394">
        <v>1</v>
      </c>
      <c r="H19" s="394">
        <f t="shared" si="0"/>
        <v>0.5</v>
      </c>
    </row>
    <row r="20" spans="1:8">
      <c r="A20" s="428" t="s">
        <v>85</v>
      </c>
      <c r="B20" s="14" t="s">
        <v>86</v>
      </c>
      <c r="C20" s="14">
        <v>12</v>
      </c>
      <c r="D20" s="14" t="s">
        <v>87</v>
      </c>
      <c r="E20" s="394"/>
      <c r="F20" s="394">
        <f t="shared" si="0"/>
        <v>0</v>
      </c>
      <c r="G20" s="394"/>
      <c r="H20" s="394">
        <f t="shared" si="0"/>
        <v>0</v>
      </c>
    </row>
    <row r="21" spans="1:8">
      <c r="A21" s="428"/>
      <c r="B21" s="14" t="s">
        <v>88</v>
      </c>
      <c r="C21" s="14">
        <v>30</v>
      </c>
      <c r="D21" s="14"/>
      <c r="E21" s="394">
        <v>5</v>
      </c>
      <c r="F21" s="394">
        <f t="shared" si="0"/>
        <v>150</v>
      </c>
      <c r="G21" s="394">
        <v>5</v>
      </c>
      <c r="H21" s="394">
        <f t="shared" si="0"/>
        <v>150</v>
      </c>
    </row>
    <row r="22" spans="1:8">
      <c r="F22" s="399">
        <f>SUM(F4:F21)</f>
        <v>208.5</v>
      </c>
      <c r="H22" s="399">
        <f>SUM(H4:H21)</f>
        <v>208.5</v>
      </c>
    </row>
  </sheetData>
  <autoFilter ref="A3:H3" xr:uid="{FFDEB8FA-56B8-4B5C-8E10-B9E3D5A290F3}"/>
  <mergeCells count="12">
    <mergeCell ref="A12:A17"/>
    <mergeCell ref="A20:A21"/>
    <mergeCell ref="H4:H6"/>
    <mergeCell ref="A9:A11"/>
    <mergeCell ref="E1:H1"/>
    <mergeCell ref="E2:F2"/>
    <mergeCell ref="G2:H2"/>
    <mergeCell ref="A4:A8"/>
    <mergeCell ref="C4:C6"/>
    <mergeCell ref="E4:E6"/>
    <mergeCell ref="F4:F6"/>
    <mergeCell ref="G4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440A-50C3-428D-B7E7-70430A202FAF}">
  <sheetPr codeName="Feuil5"/>
  <dimension ref="A1:X22"/>
  <sheetViews>
    <sheetView topLeftCell="B1" workbookViewId="0">
      <selection activeCell="F8" sqref="F8"/>
    </sheetView>
  </sheetViews>
  <sheetFormatPr defaultColWidth="11.42578125" defaultRowHeight="14.45"/>
  <cols>
    <col min="2" max="2" width="13.85546875" customWidth="1"/>
    <col min="4" max="4" width="0" hidden="1" customWidth="1"/>
  </cols>
  <sheetData>
    <row r="1" spans="1:24">
      <c r="A1" s="89"/>
      <c r="B1" t="s">
        <v>43</v>
      </c>
      <c r="E1" s="431" t="s">
        <v>101</v>
      </c>
      <c r="F1" s="431"/>
      <c r="G1" s="431"/>
      <c r="H1" s="431"/>
      <c r="I1" s="431"/>
      <c r="J1" s="431"/>
      <c r="K1" s="431"/>
      <c r="L1" s="431"/>
      <c r="M1" s="431" t="s">
        <v>102</v>
      </c>
      <c r="N1" s="431"/>
      <c r="O1" s="431" t="s">
        <v>103</v>
      </c>
      <c r="P1" s="431"/>
      <c r="Q1" s="431"/>
      <c r="R1" s="431"/>
      <c r="S1" s="431"/>
      <c r="T1" s="431"/>
      <c r="U1" s="431"/>
      <c r="V1" s="431"/>
      <c r="W1" s="431" t="s">
        <v>104</v>
      </c>
      <c r="X1" s="431"/>
    </row>
    <row r="2" spans="1:24">
      <c r="A2" s="90"/>
      <c r="B2" t="s">
        <v>45</v>
      </c>
      <c r="C2" s="398"/>
      <c r="D2" s="14"/>
      <c r="E2" s="427" t="s">
        <v>105</v>
      </c>
      <c r="F2" s="427"/>
      <c r="G2" s="427" t="s">
        <v>106</v>
      </c>
      <c r="H2" s="427"/>
      <c r="I2" s="429" t="s">
        <v>107</v>
      </c>
      <c r="J2" s="429"/>
      <c r="K2" s="429" t="s">
        <v>108</v>
      </c>
      <c r="L2" s="429"/>
      <c r="M2" s="445" t="s">
        <v>109</v>
      </c>
      <c r="N2" s="446"/>
      <c r="O2" s="445" t="s">
        <v>110</v>
      </c>
      <c r="P2" s="446"/>
      <c r="Q2" s="445" t="s">
        <v>111</v>
      </c>
      <c r="R2" s="446"/>
      <c r="S2" s="445" t="s">
        <v>112</v>
      </c>
      <c r="T2" s="446"/>
      <c r="U2" s="447" t="s">
        <v>113</v>
      </c>
      <c r="V2" s="448"/>
      <c r="W2" s="445" t="s">
        <v>114</v>
      </c>
      <c r="X2" s="446"/>
    </row>
    <row r="3" spans="1:24">
      <c r="C3" s="14" t="s">
        <v>54</v>
      </c>
      <c r="D3" s="14"/>
      <c r="E3" s="14" t="s">
        <v>55</v>
      </c>
      <c r="F3" s="14" t="s">
        <v>56</v>
      </c>
      <c r="G3" s="14" t="s">
        <v>55</v>
      </c>
      <c r="H3" s="14" t="s">
        <v>56</v>
      </c>
      <c r="I3" s="14" t="s">
        <v>55</v>
      </c>
      <c r="J3" s="14" t="s">
        <v>56</v>
      </c>
      <c r="K3" s="14" t="s">
        <v>55</v>
      </c>
      <c r="L3" s="14" t="s">
        <v>56</v>
      </c>
      <c r="M3" s="14" t="s">
        <v>55</v>
      </c>
      <c r="N3" s="14" t="s">
        <v>56</v>
      </c>
      <c r="O3" s="14" t="s">
        <v>55</v>
      </c>
      <c r="P3" s="14" t="s">
        <v>56</v>
      </c>
      <c r="Q3" s="14" t="s">
        <v>55</v>
      </c>
      <c r="R3" s="14" t="s">
        <v>56</v>
      </c>
      <c r="S3" s="14" t="s">
        <v>55</v>
      </c>
      <c r="T3" s="14" t="s">
        <v>56</v>
      </c>
      <c r="U3" s="14" t="s">
        <v>55</v>
      </c>
      <c r="V3" s="14" t="s">
        <v>56</v>
      </c>
      <c r="W3" s="14" t="s">
        <v>55</v>
      </c>
      <c r="X3" s="14" t="s">
        <v>56</v>
      </c>
    </row>
    <row r="4" spans="1:24">
      <c r="A4" s="428" t="s">
        <v>57</v>
      </c>
      <c r="B4" s="14" t="s">
        <v>58</v>
      </c>
      <c r="C4" s="430">
        <v>25</v>
      </c>
      <c r="D4" s="14"/>
      <c r="E4" s="424">
        <v>1</v>
      </c>
      <c r="F4" s="424">
        <f>E4*$C4</f>
        <v>25</v>
      </c>
      <c r="G4" s="424">
        <v>1</v>
      </c>
      <c r="H4" s="424">
        <f>G4*$C4</f>
        <v>25</v>
      </c>
      <c r="I4" s="424">
        <v>1</v>
      </c>
      <c r="J4" s="424">
        <f>I4*$C4</f>
        <v>25</v>
      </c>
      <c r="K4" s="424">
        <v>1</v>
      </c>
      <c r="L4" s="424">
        <f>K4*$C4</f>
        <v>25</v>
      </c>
      <c r="M4" s="424">
        <v>1</v>
      </c>
      <c r="N4" s="424">
        <f>M4*$C4</f>
        <v>25</v>
      </c>
      <c r="O4" s="424">
        <v>1</v>
      </c>
      <c r="P4" s="424">
        <f>O4*$C4</f>
        <v>25</v>
      </c>
      <c r="Q4" s="424">
        <v>1</v>
      </c>
      <c r="R4" s="424">
        <f>Q4*$C4</f>
        <v>25</v>
      </c>
      <c r="S4" s="424">
        <v>1</v>
      </c>
      <c r="T4" s="424">
        <f>S4*$C4</f>
        <v>25</v>
      </c>
      <c r="U4" s="424">
        <v>1</v>
      </c>
      <c r="V4" s="424">
        <f>U4*$C4</f>
        <v>25</v>
      </c>
      <c r="W4" s="424">
        <v>1</v>
      </c>
      <c r="X4" s="424">
        <f>W4*$C4</f>
        <v>25</v>
      </c>
    </row>
    <row r="5" spans="1:24">
      <c r="A5" s="428"/>
      <c r="B5" s="14" t="s">
        <v>59</v>
      </c>
      <c r="C5" s="430"/>
      <c r="D5" s="14"/>
      <c r="E5" s="425"/>
      <c r="F5" s="425"/>
      <c r="G5" s="425"/>
      <c r="H5" s="425"/>
      <c r="I5" s="425"/>
      <c r="J5" s="425"/>
      <c r="K5" s="425"/>
      <c r="L5" s="425"/>
      <c r="M5" s="425"/>
      <c r="N5" s="425"/>
      <c r="O5" s="425"/>
      <c r="P5" s="425"/>
      <c r="Q5" s="425"/>
      <c r="R5" s="425"/>
      <c r="S5" s="425"/>
      <c r="T5" s="425"/>
      <c r="U5" s="425"/>
      <c r="V5" s="425"/>
      <c r="W5" s="425"/>
      <c r="X5" s="425"/>
    </row>
    <row r="6" spans="1:24">
      <c r="A6" s="428"/>
      <c r="B6" s="14" t="s">
        <v>60</v>
      </c>
      <c r="C6" s="430"/>
      <c r="D6" s="14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</row>
    <row r="7" spans="1:24">
      <c r="A7" s="428"/>
      <c r="B7" s="14" t="s">
        <v>61</v>
      </c>
      <c r="C7" s="14">
        <v>5</v>
      </c>
      <c r="D7" s="14"/>
      <c r="E7" s="394">
        <v>1</v>
      </c>
      <c r="F7" s="394">
        <f>E7*$C7</f>
        <v>5</v>
      </c>
      <c r="G7" s="394">
        <v>1</v>
      </c>
      <c r="H7" s="394">
        <f>G7*$C7</f>
        <v>5</v>
      </c>
      <c r="I7" s="394">
        <v>1</v>
      </c>
      <c r="J7" s="394">
        <f>I7*$C7</f>
        <v>5</v>
      </c>
      <c r="K7" s="394">
        <v>1</v>
      </c>
      <c r="L7" s="394">
        <f>K7*$C7</f>
        <v>5</v>
      </c>
      <c r="M7" s="394">
        <v>1</v>
      </c>
      <c r="N7" s="394">
        <f>M7*$C7</f>
        <v>5</v>
      </c>
      <c r="O7" s="394">
        <v>1</v>
      </c>
      <c r="P7" s="394">
        <f>O7*$C7</f>
        <v>5</v>
      </c>
      <c r="Q7" s="394">
        <v>1</v>
      </c>
      <c r="R7" s="394">
        <f>Q7*$C7</f>
        <v>5</v>
      </c>
      <c r="S7" s="394">
        <v>1</v>
      </c>
      <c r="T7" s="394">
        <f>S7*$C7</f>
        <v>5</v>
      </c>
      <c r="U7" s="394">
        <v>1</v>
      </c>
      <c r="V7" s="394">
        <f>U7*$C7</f>
        <v>5</v>
      </c>
      <c r="W7" s="394">
        <v>1</v>
      </c>
      <c r="X7" s="394">
        <f>W7*$C7</f>
        <v>5</v>
      </c>
    </row>
    <row r="8" spans="1:24">
      <c r="A8" s="428"/>
      <c r="B8" s="14" t="s">
        <v>62</v>
      </c>
      <c r="C8" s="14">
        <v>5</v>
      </c>
      <c r="D8" s="14"/>
      <c r="E8" s="394"/>
      <c r="F8" s="394">
        <f t="shared" ref="F8:H21" si="0">E8*$C8</f>
        <v>0</v>
      </c>
      <c r="G8" s="394"/>
      <c r="H8" s="394">
        <f t="shared" si="0"/>
        <v>0</v>
      </c>
      <c r="I8" s="394"/>
      <c r="J8" s="394">
        <f t="shared" ref="J8:J21" si="1">I8*$C8</f>
        <v>0</v>
      </c>
      <c r="K8" s="394"/>
      <c r="L8" s="394">
        <f t="shared" ref="L8:L21" si="2">K8*$C8</f>
        <v>0</v>
      </c>
      <c r="M8" s="394"/>
      <c r="N8" s="394">
        <f t="shared" ref="N8:N21" si="3">M8*$C8</f>
        <v>0</v>
      </c>
      <c r="O8" s="394"/>
      <c r="P8" s="394">
        <f t="shared" ref="P8:P21" si="4">O8*$C8</f>
        <v>0</v>
      </c>
      <c r="Q8" s="394"/>
      <c r="R8" s="394">
        <f t="shared" ref="R8:R21" si="5">Q8*$C8</f>
        <v>0</v>
      </c>
      <c r="S8" s="394"/>
      <c r="T8" s="394">
        <f t="shared" ref="T8:V21" si="6">S8*$C8</f>
        <v>0</v>
      </c>
      <c r="U8" s="394"/>
      <c r="V8" s="394">
        <f t="shared" si="6"/>
        <v>0</v>
      </c>
      <c r="W8" s="394"/>
      <c r="X8" s="394">
        <f t="shared" ref="X8:X21" si="7">W8*$C8</f>
        <v>0</v>
      </c>
    </row>
    <row r="9" spans="1:24">
      <c r="A9" s="428" t="s">
        <v>63</v>
      </c>
      <c r="B9" s="14" t="s">
        <v>26</v>
      </c>
      <c r="C9" s="14">
        <v>2.9</v>
      </c>
      <c r="D9" s="14"/>
      <c r="E9" s="394">
        <v>1</v>
      </c>
      <c r="F9" s="394">
        <f t="shared" si="0"/>
        <v>2.9</v>
      </c>
      <c r="G9" s="394">
        <v>2</v>
      </c>
      <c r="H9" s="394">
        <f t="shared" si="0"/>
        <v>5.8</v>
      </c>
      <c r="I9" s="394">
        <v>2</v>
      </c>
      <c r="J9" s="394">
        <f t="shared" si="1"/>
        <v>5.8</v>
      </c>
      <c r="K9" s="394">
        <v>2</v>
      </c>
      <c r="L9" s="394">
        <f t="shared" si="2"/>
        <v>5.8</v>
      </c>
      <c r="M9" s="394">
        <v>2</v>
      </c>
      <c r="N9" s="394">
        <f t="shared" si="3"/>
        <v>5.8</v>
      </c>
      <c r="O9" s="394">
        <v>2</v>
      </c>
      <c r="P9" s="394">
        <f t="shared" si="4"/>
        <v>5.8</v>
      </c>
      <c r="Q9" s="394">
        <v>2</v>
      </c>
      <c r="R9" s="394">
        <f t="shared" si="5"/>
        <v>5.8</v>
      </c>
      <c r="S9" s="394">
        <v>2</v>
      </c>
      <c r="T9" s="394">
        <f t="shared" si="6"/>
        <v>5.8</v>
      </c>
      <c r="U9" s="394">
        <v>2</v>
      </c>
      <c r="V9" s="394">
        <f t="shared" si="6"/>
        <v>5.8</v>
      </c>
      <c r="W9" s="394">
        <v>2</v>
      </c>
      <c r="X9" s="394">
        <f t="shared" si="7"/>
        <v>5.8</v>
      </c>
    </row>
    <row r="10" spans="1:24">
      <c r="A10" s="428"/>
      <c r="B10" s="14" t="s">
        <v>99</v>
      </c>
      <c r="C10" s="14">
        <v>3</v>
      </c>
      <c r="D10" s="14"/>
      <c r="E10" s="394">
        <v>1</v>
      </c>
      <c r="F10" s="394">
        <f t="shared" si="0"/>
        <v>3</v>
      </c>
      <c r="G10" s="394">
        <v>1</v>
      </c>
      <c r="H10" s="394">
        <f t="shared" si="0"/>
        <v>3</v>
      </c>
      <c r="I10" s="394">
        <v>1</v>
      </c>
      <c r="J10" s="394">
        <f t="shared" si="1"/>
        <v>3</v>
      </c>
      <c r="K10" s="394">
        <v>1</v>
      </c>
      <c r="L10" s="394">
        <f t="shared" si="2"/>
        <v>3</v>
      </c>
      <c r="M10" s="394">
        <v>1</v>
      </c>
      <c r="N10" s="394">
        <f t="shared" si="3"/>
        <v>3</v>
      </c>
      <c r="O10" s="394">
        <v>1</v>
      </c>
      <c r="P10" s="394">
        <f t="shared" si="4"/>
        <v>3</v>
      </c>
      <c r="Q10" s="394">
        <v>1</v>
      </c>
      <c r="R10" s="394">
        <f t="shared" si="5"/>
        <v>3</v>
      </c>
      <c r="S10" s="394">
        <v>1</v>
      </c>
      <c r="T10" s="394">
        <f t="shared" si="6"/>
        <v>3</v>
      </c>
      <c r="U10" s="394">
        <v>1</v>
      </c>
      <c r="V10" s="394">
        <f t="shared" si="6"/>
        <v>3</v>
      </c>
      <c r="W10" s="394">
        <v>1</v>
      </c>
      <c r="X10" s="394">
        <f t="shared" si="7"/>
        <v>3</v>
      </c>
    </row>
    <row r="11" spans="1:24">
      <c r="A11" s="428"/>
      <c r="B11" s="14" t="s">
        <v>100</v>
      </c>
      <c r="C11" s="14">
        <v>3</v>
      </c>
      <c r="D11" s="14"/>
      <c r="E11" s="394">
        <v>1</v>
      </c>
      <c r="F11" s="394">
        <f t="shared" si="0"/>
        <v>3</v>
      </c>
      <c r="G11" s="394">
        <v>1</v>
      </c>
      <c r="H11" s="394">
        <f t="shared" si="0"/>
        <v>3</v>
      </c>
      <c r="I11" s="394">
        <v>1</v>
      </c>
      <c r="J11" s="394">
        <f t="shared" si="1"/>
        <v>3</v>
      </c>
      <c r="K11" s="394">
        <v>1</v>
      </c>
      <c r="L11" s="394">
        <f t="shared" si="2"/>
        <v>3</v>
      </c>
      <c r="M11" s="394">
        <v>1</v>
      </c>
      <c r="N11" s="394">
        <f t="shared" si="3"/>
        <v>3</v>
      </c>
      <c r="O11" s="394">
        <v>1</v>
      </c>
      <c r="P11" s="394">
        <f t="shared" si="4"/>
        <v>3</v>
      </c>
      <c r="Q11" s="394">
        <v>1</v>
      </c>
      <c r="R11" s="394">
        <f t="shared" si="5"/>
        <v>3</v>
      </c>
      <c r="S11" s="394">
        <v>1</v>
      </c>
      <c r="T11" s="394">
        <f t="shared" si="6"/>
        <v>3</v>
      </c>
      <c r="U11" s="394">
        <v>1</v>
      </c>
      <c r="V11" s="394">
        <f t="shared" si="6"/>
        <v>3</v>
      </c>
      <c r="W11" s="394">
        <v>1</v>
      </c>
      <c r="X11" s="394">
        <f t="shared" si="7"/>
        <v>3</v>
      </c>
    </row>
    <row r="12" spans="1:24">
      <c r="A12" s="428" t="s">
        <v>74</v>
      </c>
      <c r="B12" s="14" t="s">
        <v>75</v>
      </c>
      <c r="C12" s="14">
        <v>1</v>
      </c>
      <c r="D12" s="14"/>
      <c r="E12" s="394">
        <v>2</v>
      </c>
      <c r="F12" s="394">
        <f t="shared" si="0"/>
        <v>2</v>
      </c>
      <c r="G12" s="394">
        <v>2</v>
      </c>
      <c r="H12" s="394">
        <f t="shared" si="0"/>
        <v>2</v>
      </c>
      <c r="I12" s="394">
        <v>2</v>
      </c>
      <c r="J12" s="394">
        <f t="shared" si="1"/>
        <v>2</v>
      </c>
      <c r="K12" s="394">
        <v>2</v>
      </c>
      <c r="L12" s="394">
        <f t="shared" si="2"/>
        <v>2</v>
      </c>
      <c r="M12" s="394">
        <v>2</v>
      </c>
      <c r="N12" s="394">
        <f t="shared" si="3"/>
        <v>2</v>
      </c>
      <c r="O12" s="394">
        <v>2</v>
      </c>
      <c r="P12" s="394">
        <f t="shared" si="4"/>
        <v>2</v>
      </c>
      <c r="Q12" s="394">
        <v>2</v>
      </c>
      <c r="R12" s="394">
        <f t="shared" si="5"/>
        <v>2</v>
      </c>
      <c r="S12" s="394">
        <v>2</v>
      </c>
      <c r="T12" s="394">
        <f t="shared" si="6"/>
        <v>2</v>
      </c>
      <c r="U12" s="394">
        <v>2</v>
      </c>
      <c r="V12" s="394">
        <f t="shared" si="6"/>
        <v>2</v>
      </c>
      <c r="W12" s="394">
        <v>2</v>
      </c>
      <c r="X12" s="394">
        <f t="shared" si="7"/>
        <v>2</v>
      </c>
    </row>
    <row r="13" spans="1:24">
      <c r="A13" s="428"/>
      <c r="B13" s="14" t="s">
        <v>25</v>
      </c>
      <c r="C13" s="14">
        <v>5</v>
      </c>
      <c r="D13" s="14"/>
      <c r="E13" s="394"/>
      <c r="F13" s="394">
        <f t="shared" si="0"/>
        <v>0</v>
      </c>
      <c r="G13" s="394">
        <v>1</v>
      </c>
      <c r="H13" s="394">
        <f t="shared" si="0"/>
        <v>5</v>
      </c>
      <c r="I13" s="394">
        <v>1</v>
      </c>
      <c r="J13" s="394">
        <f t="shared" si="1"/>
        <v>5</v>
      </c>
      <c r="K13" s="394"/>
      <c r="L13" s="394">
        <f t="shared" si="2"/>
        <v>0</v>
      </c>
      <c r="M13" s="394"/>
      <c r="N13" s="394">
        <f t="shared" si="3"/>
        <v>0</v>
      </c>
      <c r="O13" s="394">
        <v>1</v>
      </c>
      <c r="P13" s="394">
        <f t="shared" si="4"/>
        <v>5</v>
      </c>
      <c r="Q13" s="394"/>
      <c r="R13" s="394">
        <f t="shared" si="5"/>
        <v>0</v>
      </c>
      <c r="S13" s="394"/>
      <c r="T13" s="394">
        <f t="shared" si="6"/>
        <v>0</v>
      </c>
      <c r="U13" s="394"/>
      <c r="V13" s="394">
        <f t="shared" si="6"/>
        <v>0</v>
      </c>
      <c r="W13" s="394"/>
      <c r="X13" s="394">
        <f t="shared" si="7"/>
        <v>0</v>
      </c>
    </row>
    <row r="14" spans="1:24">
      <c r="A14" s="428"/>
      <c r="B14" s="14" t="s">
        <v>76</v>
      </c>
      <c r="C14" s="14">
        <v>1</v>
      </c>
      <c r="D14" s="14" t="s">
        <v>77</v>
      </c>
      <c r="E14" s="394"/>
      <c r="F14" s="394">
        <f t="shared" si="0"/>
        <v>0</v>
      </c>
      <c r="G14" s="394"/>
      <c r="H14" s="394">
        <f t="shared" si="0"/>
        <v>0</v>
      </c>
      <c r="I14" s="394"/>
      <c r="J14" s="394">
        <f t="shared" si="1"/>
        <v>0</v>
      </c>
      <c r="K14" s="394"/>
      <c r="L14" s="394">
        <f t="shared" si="2"/>
        <v>0</v>
      </c>
      <c r="M14" s="394"/>
      <c r="N14" s="394">
        <f t="shared" si="3"/>
        <v>0</v>
      </c>
      <c r="O14" s="394">
        <v>1</v>
      </c>
      <c r="P14" s="394">
        <f t="shared" si="4"/>
        <v>1</v>
      </c>
      <c r="Q14" s="394"/>
      <c r="R14" s="394">
        <f t="shared" si="5"/>
        <v>0</v>
      </c>
      <c r="S14" s="394"/>
      <c r="T14" s="394">
        <f t="shared" si="6"/>
        <v>0</v>
      </c>
      <c r="U14" s="394"/>
      <c r="V14" s="394">
        <f t="shared" si="6"/>
        <v>0</v>
      </c>
      <c r="W14" s="394"/>
      <c r="X14" s="394">
        <f t="shared" si="7"/>
        <v>0</v>
      </c>
    </row>
    <row r="15" spans="1:24">
      <c r="A15" s="428"/>
      <c r="B15" s="14" t="s">
        <v>78</v>
      </c>
      <c r="C15" s="14">
        <v>20</v>
      </c>
      <c r="D15" s="14"/>
      <c r="E15" s="394"/>
      <c r="F15" s="394">
        <f t="shared" si="0"/>
        <v>0</v>
      </c>
      <c r="G15" s="394">
        <v>1</v>
      </c>
      <c r="H15" s="394">
        <f t="shared" si="0"/>
        <v>20</v>
      </c>
      <c r="I15" s="394">
        <v>1</v>
      </c>
      <c r="J15" s="394">
        <f t="shared" si="1"/>
        <v>20</v>
      </c>
      <c r="K15" s="394"/>
      <c r="L15" s="394">
        <f t="shared" si="2"/>
        <v>0</v>
      </c>
      <c r="M15" s="394"/>
      <c r="N15" s="394">
        <f t="shared" si="3"/>
        <v>0</v>
      </c>
      <c r="O15" s="394"/>
      <c r="P15" s="394">
        <f t="shared" si="4"/>
        <v>0</v>
      </c>
      <c r="Q15" s="394"/>
      <c r="R15" s="394">
        <f t="shared" si="5"/>
        <v>0</v>
      </c>
      <c r="S15" s="394"/>
      <c r="T15" s="394">
        <f t="shared" si="6"/>
        <v>0</v>
      </c>
      <c r="U15" s="394"/>
      <c r="V15" s="394">
        <f t="shared" si="6"/>
        <v>0</v>
      </c>
      <c r="W15" s="394"/>
      <c r="X15" s="394">
        <f t="shared" si="7"/>
        <v>0</v>
      </c>
    </row>
    <row r="16" spans="1:24">
      <c r="A16" s="428"/>
      <c r="B16" s="14" t="s">
        <v>79</v>
      </c>
      <c r="C16" s="14">
        <v>5</v>
      </c>
      <c r="D16" s="14"/>
      <c r="E16" s="394">
        <v>1</v>
      </c>
      <c r="F16" s="394">
        <f t="shared" si="0"/>
        <v>5</v>
      </c>
      <c r="G16" s="394">
        <v>1</v>
      </c>
      <c r="H16" s="394">
        <f t="shared" si="0"/>
        <v>5</v>
      </c>
      <c r="I16" s="394">
        <v>1</v>
      </c>
      <c r="J16" s="394">
        <f t="shared" si="1"/>
        <v>5</v>
      </c>
      <c r="K16" s="394">
        <v>1</v>
      </c>
      <c r="L16" s="394">
        <f t="shared" si="2"/>
        <v>5</v>
      </c>
      <c r="M16" s="394">
        <v>1</v>
      </c>
      <c r="N16" s="394">
        <f t="shared" si="3"/>
        <v>5</v>
      </c>
      <c r="O16" s="394">
        <v>1</v>
      </c>
      <c r="P16" s="394">
        <f t="shared" si="4"/>
        <v>5</v>
      </c>
      <c r="Q16" s="394">
        <v>1</v>
      </c>
      <c r="R16" s="394">
        <f t="shared" si="5"/>
        <v>5</v>
      </c>
      <c r="S16" s="394">
        <v>1</v>
      </c>
      <c r="T16" s="394">
        <f t="shared" si="6"/>
        <v>5</v>
      </c>
      <c r="U16" s="394">
        <v>1</v>
      </c>
      <c r="V16" s="394">
        <f t="shared" si="6"/>
        <v>5</v>
      </c>
      <c r="W16" s="394">
        <v>1</v>
      </c>
      <c r="X16" s="394">
        <f t="shared" si="7"/>
        <v>5</v>
      </c>
    </row>
    <row r="17" spans="1:24">
      <c r="A17" s="428"/>
      <c r="B17" s="14" t="s">
        <v>80</v>
      </c>
      <c r="C17" s="14">
        <v>3</v>
      </c>
      <c r="D17" s="14"/>
      <c r="E17" s="394"/>
      <c r="F17" s="394">
        <f t="shared" si="0"/>
        <v>0</v>
      </c>
      <c r="G17" s="394"/>
      <c r="H17" s="394">
        <f t="shared" si="0"/>
        <v>0</v>
      </c>
      <c r="I17" s="394"/>
      <c r="J17" s="394">
        <f t="shared" si="1"/>
        <v>0</v>
      </c>
      <c r="K17" s="394"/>
      <c r="L17" s="394">
        <f t="shared" si="2"/>
        <v>0</v>
      </c>
      <c r="M17" s="394"/>
      <c r="N17" s="394">
        <f t="shared" si="3"/>
        <v>0</v>
      </c>
      <c r="O17" s="394"/>
      <c r="P17" s="394">
        <f t="shared" si="4"/>
        <v>0</v>
      </c>
      <c r="Q17" s="394"/>
      <c r="R17" s="394">
        <f t="shared" si="5"/>
        <v>0</v>
      </c>
      <c r="S17" s="394"/>
      <c r="T17" s="394">
        <f t="shared" si="6"/>
        <v>0</v>
      </c>
      <c r="U17" s="394"/>
      <c r="V17" s="394">
        <f t="shared" si="6"/>
        <v>0</v>
      </c>
      <c r="W17" s="394"/>
      <c r="X17" s="394">
        <f t="shared" si="7"/>
        <v>0</v>
      </c>
    </row>
    <row r="18" spans="1:24">
      <c r="A18" s="394" t="s">
        <v>81</v>
      </c>
      <c r="B18" s="14" t="s">
        <v>82</v>
      </c>
      <c r="C18" s="14">
        <v>5</v>
      </c>
      <c r="D18" s="14"/>
      <c r="E18" s="394">
        <v>1</v>
      </c>
      <c r="F18" s="394">
        <f t="shared" si="0"/>
        <v>5</v>
      </c>
      <c r="G18" s="394">
        <v>1</v>
      </c>
      <c r="H18" s="394">
        <f t="shared" si="0"/>
        <v>5</v>
      </c>
      <c r="I18" s="394">
        <v>1</v>
      </c>
      <c r="J18" s="394">
        <f t="shared" si="1"/>
        <v>5</v>
      </c>
      <c r="K18" s="394">
        <v>1</v>
      </c>
      <c r="L18" s="394">
        <f t="shared" si="2"/>
        <v>5</v>
      </c>
      <c r="M18" s="394">
        <v>1</v>
      </c>
      <c r="N18" s="394">
        <f t="shared" si="3"/>
        <v>5</v>
      </c>
      <c r="O18" s="394">
        <v>1</v>
      </c>
      <c r="P18" s="394">
        <f t="shared" si="4"/>
        <v>5</v>
      </c>
      <c r="Q18" s="394">
        <v>1</v>
      </c>
      <c r="R18" s="394">
        <f t="shared" si="5"/>
        <v>5</v>
      </c>
      <c r="S18" s="394">
        <v>1</v>
      </c>
      <c r="T18" s="394">
        <f t="shared" si="6"/>
        <v>5</v>
      </c>
      <c r="U18" s="394">
        <v>1</v>
      </c>
      <c r="V18" s="394">
        <f t="shared" si="6"/>
        <v>5</v>
      </c>
      <c r="W18" s="394">
        <v>1</v>
      </c>
      <c r="X18" s="394">
        <f t="shared" si="7"/>
        <v>5</v>
      </c>
    </row>
    <row r="19" spans="1:24">
      <c r="A19" s="394" t="s">
        <v>83</v>
      </c>
      <c r="B19" s="14" t="s">
        <v>84</v>
      </c>
      <c r="C19" s="14">
        <v>0.5</v>
      </c>
      <c r="D19" s="14"/>
      <c r="E19" s="394">
        <v>1</v>
      </c>
      <c r="F19" s="394">
        <f t="shared" si="0"/>
        <v>0.5</v>
      </c>
      <c r="G19" s="394">
        <v>1</v>
      </c>
      <c r="H19" s="394">
        <f t="shared" si="0"/>
        <v>0.5</v>
      </c>
      <c r="I19" s="394">
        <v>1</v>
      </c>
      <c r="J19" s="394">
        <f t="shared" si="1"/>
        <v>0.5</v>
      </c>
      <c r="K19" s="394">
        <v>1</v>
      </c>
      <c r="L19" s="394">
        <f t="shared" si="2"/>
        <v>0.5</v>
      </c>
      <c r="M19" s="394">
        <v>1</v>
      </c>
      <c r="N19" s="394">
        <f t="shared" si="3"/>
        <v>0.5</v>
      </c>
      <c r="O19" s="394">
        <v>1</v>
      </c>
      <c r="P19" s="394">
        <f t="shared" si="4"/>
        <v>0.5</v>
      </c>
      <c r="Q19" s="394">
        <v>1</v>
      </c>
      <c r="R19" s="394">
        <f t="shared" si="5"/>
        <v>0.5</v>
      </c>
      <c r="S19" s="394">
        <v>1</v>
      </c>
      <c r="T19" s="394">
        <f t="shared" si="6"/>
        <v>0.5</v>
      </c>
      <c r="U19" s="394">
        <v>1</v>
      </c>
      <c r="V19" s="394">
        <f t="shared" si="6"/>
        <v>0.5</v>
      </c>
      <c r="W19" s="394">
        <v>1</v>
      </c>
      <c r="X19" s="394">
        <f t="shared" si="7"/>
        <v>0.5</v>
      </c>
    </row>
    <row r="20" spans="1:24">
      <c r="A20" s="428" t="s">
        <v>85</v>
      </c>
      <c r="B20" s="14" t="s">
        <v>86</v>
      </c>
      <c r="C20" s="14">
        <v>12</v>
      </c>
      <c r="D20" s="14" t="s">
        <v>87</v>
      </c>
      <c r="E20" s="394"/>
      <c r="F20" s="394">
        <f t="shared" si="0"/>
        <v>0</v>
      </c>
      <c r="G20" s="394"/>
      <c r="H20" s="394">
        <f t="shared" si="0"/>
        <v>0</v>
      </c>
      <c r="I20" s="394"/>
      <c r="J20" s="394">
        <f t="shared" si="1"/>
        <v>0</v>
      </c>
      <c r="K20" s="394"/>
      <c r="L20" s="394">
        <f t="shared" si="2"/>
        <v>0</v>
      </c>
      <c r="M20" s="394"/>
      <c r="N20" s="394">
        <f t="shared" si="3"/>
        <v>0</v>
      </c>
      <c r="O20" s="394"/>
      <c r="P20" s="394">
        <f t="shared" si="4"/>
        <v>0</v>
      </c>
      <c r="Q20" s="394"/>
      <c r="R20" s="394">
        <f t="shared" si="5"/>
        <v>0</v>
      </c>
      <c r="S20" s="394"/>
      <c r="T20" s="394">
        <f t="shared" si="6"/>
        <v>0</v>
      </c>
      <c r="U20" s="394"/>
      <c r="V20" s="394">
        <f t="shared" si="6"/>
        <v>0</v>
      </c>
      <c r="W20" s="394"/>
      <c r="X20" s="394">
        <f t="shared" si="7"/>
        <v>0</v>
      </c>
    </row>
    <row r="21" spans="1:24">
      <c r="A21" s="428"/>
      <c r="B21" s="14" t="s">
        <v>88</v>
      </c>
      <c r="C21" s="14">
        <v>30</v>
      </c>
      <c r="D21" s="14"/>
      <c r="E21" s="394">
        <v>7</v>
      </c>
      <c r="F21" s="394">
        <f t="shared" si="0"/>
        <v>210</v>
      </c>
      <c r="G21" s="394">
        <v>7</v>
      </c>
      <c r="H21" s="394">
        <f t="shared" si="0"/>
        <v>210</v>
      </c>
      <c r="I21" s="394">
        <v>7</v>
      </c>
      <c r="J21" s="394">
        <f t="shared" si="1"/>
        <v>210</v>
      </c>
      <c r="K21" s="394">
        <v>7</v>
      </c>
      <c r="L21" s="394">
        <f t="shared" si="2"/>
        <v>210</v>
      </c>
      <c r="M21" s="394">
        <v>5</v>
      </c>
      <c r="N21" s="394">
        <f t="shared" si="3"/>
        <v>150</v>
      </c>
      <c r="O21" s="394">
        <v>7</v>
      </c>
      <c r="P21" s="394">
        <f t="shared" si="4"/>
        <v>210</v>
      </c>
      <c r="Q21" s="394">
        <v>7</v>
      </c>
      <c r="R21" s="394">
        <f t="shared" si="5"/>
        <v>210</v>
      </c>
      <c r="S21" s="394">
        <v>7</v>
      </c>
      <c r="T21" s="394">
        <f t="shared" si="6"/>
        <v>210</v>
      </c>
      <c r="U21" s="394">
        <v>7</v>
      </c>
      <c r="V21" s="394">
        <f t="shared" si="6"/>
        <v>210</v>
      </c>
      <c r="W21" s="394">
        <v>5</v>
      </c>
      <c r="X21" s="394">
        <f t="shared" si="7"/>
        <v>150</v>
      </c>
    </row>
    <row r="22" spans="1:24">
      <c r="F22" s="399">
        <f>SUM(F4:F21)</f>
        <v>261.39999999999998</v>
      </c>
      <c r="H22" s="399">
        <f>SUM(H4:H21)</f>
        <v>289.3</v>
      </c>
      <c r="J22" s="399">
        <f>SUM(J4:J21)</f>
        <v>289.3</v>
      </c>
      <c r="L22" s="399">
        <f>SUM(L4:L21)</f>
        <v>264.3</v>
      </c>
      <c r="N22" s="399">
        <f>SUM(N4:N21)</f>
        <v>204.3</v>
      </c>
      <c r="P22" s="399">
        <f>SUM(P4:P21)</f>
        <v>270.3</v>
      </c>
      <c r="R22" s="399">
        <f>SUM(R4:R21)</f>
        <v>264.3</v>
      </c>
      <c r="T22" s="399">
        <f>SUM(T4:T21)</f>
        <v>264.3</v>
      </c>
      <c r="V22" s="399">
        <f>SUM(V4:V21)</f>
        <v>264.3</v>
      </c>
      <c r="X22" s="399">
        <f>SUM(X4:X21)</f>
        <v>204.3</v>
      </c>
    </row>
  </sheetData>
  <autoFilter ref="A3:X3" xr:uid="{BE88440A-50C3-428D-B7E7-70430A202FAF}"/>
  <mergeCells count="39">
    <mergeCell ref="U2:V2"/>
    <mergeCell ref="U4:U6"/>
    <mergeCell ref="V4:V6"/>
    <mergeCell ref="O1:V1"/>
    <mergeCell ref="W1:X1"/>
    <mergeCell ref="W2:X2"/>
    <mergeCell ref="W4:W6"/>
    <mergeCell ref="X4:X6"/>
    <mergeCell ref="R4:R6"/>
    <mergeCell ref="S4:S6"/>
    <mergeCell ref="T4:T6"/>
    <mergeCell ref="A9:A11"/>
    <mergeCell ref="A12:A17"/>
    <mergeCell ref="A20:A21"/>
    <mergeCell ref="N4:N6"/>
    <mergeCell ref="M4:M6"/>
    <mergeCell ref="A4:A8"/>
    <mergeCell ref="C4:C6"/>
    <mergeCell ref="E1:L1"/>
    <mergeCell ref="M1:N1"/>
    <mergeCell ref="O4:O6"/>
    <mergeCell ref="P4:P6"/>
    <mergeCell ref="Q4:Q6"/>
    <mergeCell ref="I4:I6"/>
    <mergeCell ref="J4:J6"/>
    <mergeCell ref="K4:K6"/>
    <mergeCell ref="L4:L6"/>
    <mergeCell ref="E4:E6"/>
    <mergeCell ref="F4:F6"/>
    <mergeCell ref="G4:G6"/>
    <mergeCell ref="H4:H6"/>
    <mergeCell ref="E2:F2"/>
    <mergeCell ref="G2:H2"/>
    <mergeCell ref="I2:J2"/>
    <mergeCell ref="K2:L2"/>
    <mergeCell ref="M2:N2"/>
    <mergeCell ref="O2:P2"/>
    <mergeCell ref="Q2:R2"/>
    <mergeCell ref="S2: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5963-D617-458F-9145-6CD8551F6804}">
  <sheetPr codeName="Feuil6" filterMode="1"/>
  <dimension ref="A1:NO699"/>
  <sheetViews>
    <sheetView zoomScale="85" zoomScaleNormal="85" zoomScaleSheetLayoutView="70" workbookViewId="0">
      <pane xSplit="15" ySplit="6" topLeftCell="BA7" activePane="bottomRight" state="frozenSplit"/>
      <selection pane="bottomRight" activeCell="GX65" sqref="GX65"/>
      <selection pane="bottomLeft" activeCell="A7" sqref="A7"/>
      <selection pane="topRight" activeCell="O1" sqref="O1"/>
    </sheetView>
  </sheetViews>
  <sheetFormatPr defaultColWidth="11.42578125" defaultRowHeight="21" outlineLevelCol="1"/>
  <cols>
    <col min="1" max="1" width="31.5703125" style="8" customWidth="1"/>
    <col min="2" max="2" width="30.85546875" customWidth="1"/>
    <col min="3" max="4" width="12.85546875" style="9" customWidth="1"/>
    <col min="5" max="5" width="40.140625" customWidth="1"/>
    <col min="6" max="6" width="17.85546875" hidden="1" customWidth="1"/>
    <col min="7" max="7" width="14.5703125" style="11" hidden="1" customWidth="1" outlineLevel="1"/>
    <col min="8" max="8" width="17.85546875" style="11" hidden="1" customWidth="1" outlineLevel="1"/>
    <col min="9" max="11" width="21.42578125" style="11" hidden="1" customWidth="1" outlineLevel="1"/>
    <col min="12" max="13" width="14.140625" style="11" hidden="1" customWidth="1" outlineLevel="1"/>
    <col min="14" max="14" width="28.85546875" customWidth="1" collapsed="1"/>
    <col min="15" max="15" width="21.5703125" style="12" customWidth="1"/>
    <col min="16" max="46" width="3.42578125" customWidth="1"/>
    <col min="47" max="49" width="3.42578125" style="21" customWidth="1"/>
    <col min="50" max="66" width="3.42578125" customWidth="1"/>
    <col min="67" max="67" width="3.42578125" style="21" customWidth="1"/>
    <col min="68" max="98" width="3.42578125" customWidth="1"/>
    <col min="99" max="101" width="3.42578125" style="21" customWidth="1"/>
    <col min="102" max="118" width="3.42578125" customWidth="1"/>
    <col min="119" max="119" width="3.42578125" style="21" customWidth="1"/>
    <col min="120" max="150" width="3.42578125" customWidth="1"/>
    <col min="151" max="153" width="3.42578125" style="21" customWidth="1"/>
    <col min="154" max="170" width="3.42578125" customWidth="1"/>
    <col min="171" max="171" width="3.42578125" style="21" customWidth="1"/>
    <col min="172" max="202" width="3.42578125" customWidth="1"/>
    <col min="203" max="205" width="3.42578125" style="21" customWidth="1"/>
    <col min="206" max="222" width="3.42578125" customWidth="1"/>
    <col min="223" max="223" width="3.42578125" style="21" customWidth="1"/>
    <col min="224" max="254" width="3.42578125" customWidth="1"/>
    <col min="255" max="257" width="3.42578125" style="21" customWidth="1"/>
    <col min="258" max="274" width="3.42578125" customWidth="1"/>
    <col min="275" max="275" width="3.42578125" style="21" bestFit="1" customWidth="1"/>
    <col min="276" max="327" width="3.42578125" customWidth="1"/>
    <col min="328" max="379" width="5.42578125" style="23" customWidth="1"/>
  </cols>
  <sheetData>
    <row r="1" spans="1:379" s="7" customFormat="1" ht="25.9">
      <c r="A1" s="2">
        <v>45958</v>
      </c>
      <c r="B1" s="3" t="s">
        <v>115</v>
      </c>
      <c r="C1" s="4"/>
      <c r="D1" s="4"/>
      <c r="E1" s="5" t="s">
        <v>116</v>
      </c>
      <c r="F1" s="4"/>
      <c r="G1" s="6"/>
      <c r="H1" s="6"/>
      <c r="I1" s="6"/>
      <c r="J1" s="6"/>
      <c r="K1" s="6"/>
      <c r="L1" s="6"/>
      <c r="M1" s="6"/>
      <c r="N1" s="4"/>
      <c r="O1" s="4"/>
      <c r="P1" s="453">
        <v>2026</v>
      </c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53">
        <v>2027</v>
      </c>
      <c r="BQ1" s="449"/>
      <c r="BR1" s="449"/>
      <c r="BS1" s="449"/>
      <c r="BT1" s="449"/>
      <c r="BU1" s="449"/>
      <c r="BV1" s="449"/>
      <c r="BW1" s="449"/>
      <c r="BX1" s="449"/>
      <c r="BY1" s="449"/>
      <c r="BZ1" s="449"/>
      <c r="CA1" s="449"/>
      <c r="CB1" s="449"/>
      <c r="CC1" s="449"/>
      <c r="CD1" s="449"/>
      <c r="CE1" s="449"/>
      <c r="CF1" s="449"/>
      <c r="CG1" s="449"/>
      <c r="CH1" s="449"/>
      <c r="CI1" s="449"/>
      <c r="CJ1" s="449"/>
      <c r="CK1" s="449"/>
      <c r="CL1" s="449"/>
      <c r="CM1" s="449"/>
      <c r="CN1" s="449"/>
      <c r="CO1" s="449"/>
      <c r="CP1" s="449"/>
      <c r="CQ1" s="449"/>
      <c r="CR1" s="449"/>
      <c r="CS1" s="449"/>
      <c r="CT1" s="449"/>
      <c r="CU1" s="449"/>
      <c r="CV1" s="449"/>
      <c r="CW1" s="449"/>
      <c r="CX1" s="449"/>
      <c r="CY1" s="449"/>
      <c r="CZ1" s="449"/>
      <c r="DA1" s="449"/>
      <c r="DB1" s="449"/>
      <c r="DC1" s="449"/>
      <c r="DD1" s="449"/>
      <c r="DE1" s="449"/>
      <c r="DF1" s="449"/>
      <c r="DG1" s="449"/>
      <c r="DH1" s="449"/>
      <c r="DI1" s="449"/>
      <c r="DJ1" s="449"/>
      <c r="DK1" s="449"/>
      <c r="DL1" s="449"/>
      <c r="DM1" s="449"/>
      <c r="DN1" s="449"/>
      <c r="DO1" s="449"/>
      <c r="DP1" s="453">
        <v>2028</v>
      </c>
      <c r="DQ1" s="449"/>
      <c r="DR1" s="449"/>
      <c r="DS1" s="449"/>
      <c r="DT1" s="449"/>
      <c r="DU1" s="449"/>
      <c r="DV1" s="449"/>
      <c r="DW1" s="449"/>
      <c r="DX1" s="449"/>
      <c r="DY1" s="449"/>
      <c r="DZ1" s="449"/>
      <c r="EA1" s="449"/>
      <c r="EB1" s="449"/>
      <c r="EC1" s="449"/>
      <c r="ED1" s="449"/>
      <c r="EE1" s="449"/>
      <c r="EF1" s="449"/>
      <c r="EG1" s="449"/>
      <c r="EH1" s="449"/>
      <c r="EI1" s="449"/>
      <c r="EJ1" s="449"/>
      <c r="EK1" s="449"/>
      <c r="EL1" s="449"/>
      <c r="EM1" s="449"/>
      <c r="EN1" s="449"/>
      <c r="EO1" s="449"/>
      <c r="EP1" s="449"/>
      <c r="EQ1" s="449"/>
      <c r="ER1" s="449"/>
      <c r="ES1" s="449"/>
      <c r="ET1" s="449"/>
      <c r="EU1" s="449"/>
      <c r="EV1" s="449"/>
      <c r="EW1" s="449"/>
      <c r="EX1" s="449"/>
      <c r="EY1" s="449"/>
      <c r="EZ1" s="449"/>
      <c r="FA1" s="449"/>
      <c r="FB1" s="449"/>
      <c r="FC1" s="449"/>
      <c r="FD1" s="449"/>
      <c r="FE1" s="449"/>
      <c r="FF1" s="449"/>
      <c r="FG1" s="449"/>
      <c r="FH1" s="449"/>
      <c r="FI1" s="449"/>
      <c r="FJ1" s="449"/>
      <c r="FK1" s="449"/>
      <c r="FL1" s="449"/>
      <c r="FM1" s="449"/>
      <c r="FN1" s="449"/>
      <c r="FO1" s="449"/>
      <c r="FP1" s="453">
        <v>2029</v>
      </c>
      <c r="FQ1" s="449"/>
      <c r="FR1" s="449"/>
      <c r="FS1" s="449"/>
      <c r="FT1" s="449"/>
      <c r="FU1" s="449"/>
      <c r="FV1" s="449"/>
      <c r="FW1" s="449"/>
      <c r="FX1" s="449"/>
      <c r="FY1" s="449"/>
      <c r="FZ1" s="449"/>
      <c r="GA1" s="449"/>
      <c r="GB1" s="449"/>
      <c r="GC1" s="449"/>
      <c r="GD1" s="449"/>
      <c r="GE1" s="449"/>
      <c r="GF1" s="449"/>
      <c r="GG1" s="449"/>
      <c r="GH1" s="449"/>
      <c r="GI1" s="449"/>
      <c r="GJ1" s="449"/>
      <c r="GK1" s="449"/>
      <c r="GL1" s="449"/>
      <c r="GM1" s="449"/>
      <c r="GN1" s="449"/>
      <c r="GO1" s="449"/>
      <c r="GP1" s="449"/>
      <c r="GQ1" s="449"/>
      <c r="GR1" s="449"/>
      <c r="GS1" s="449"/>
      <c r="GT1" s="449"/>
      <c r="GU1" s="449"/>
      <c r="GV1" s="449"/>
      <c r="GW1" s="449"/>
      <c r="GX1" s="449"/>
      <c r="GY1" s="449"/>
      <c r="GZ1" s="449"/>
      <c r="HA1" s="449"/>
      <c r="HB1" s="449"/>
      <c r="HC1" s="449"/>
      <c r="HD1" s="449"/>
      <c r="HE1" s="449"/>
      <c r="HF1" s="449"/>
      <c r="HG1" s="449"/>
      <c r="HH1" s="449"/>
      <c r="HI1" s="449"/>
      <c r="HJ1" s="449"/>
      <c r="HK1" s="449"/>
      <c r="HL1" s="449"/>
      <c r="HM1" s="449"/>
      <c r="HN1" s="449"/>
      <c r="HO1" s="449"/>
      <c r="HP1" s="453">
        <v>2030</v>
      </c>
      <c r="HQ1" s="449"/>
      <c r="HR1" s="449"/>
      <c r="HS1" s="449"/>
      <c r="HT1" s="449"/>
      <c r="HU1" s="449"/>
      <c r="HV1" s="449"/>
      <c r="HW1" s="449"/>
      <c r="HX1" s="449"/>
      <c r="HY1" s="449"/>
      <c r="HZ1" s="449"/>
      <c r="IA1" s="449"/>
      <c r="IB1" s="449"/>
      <c r="IC1" s="449"/>
      <c r="ID1" s="449"/>
      <c r="IE1" s="449"/>
      <c r="IF1" s="449"/>
      <c r="IG1" s="449"/>
      <c r="IH1" s="449"/>
      <c r="II1" s="449"/>
      <c r="IJ1" s="449"/>
      <c r="IK1" s="449"/>
      <c r="IL1" s="449"/>
      <c r="IM1" s="449"/>
      <c r="IN1" s="449"/>
      <c r="IO1" s="449"/>
      <c r="IP1" s="449"/>
      <c r="IQ1" s="449"/>
      <c r="IR1" s="449"/>
      <c r="IS1" s="449"/>
      <c r="IT1" s="449"/>
      <c r="IU1" s="449"/>
      <c r="IV1" s="449"/>
      <c r="IW1" s="449"/>
      <c r="IX1" s="449"/>
      <c r="IY1" s="449"/>
      <c r="IZ1" s="449"/>
      <c r="JA1" s="449"/>
      <c r="JB1" s="449"/>
      <c r="JC1" s="449"/>
      <c r="JD1" s="449"/>
      <c r="JE1" s="449"/>
      <c r="JF1" s="449"/>
      <c r="JG1" s="449"/>
      <c r="JH1" s="449"/>
      <c r="JI1" s="449"/>
      <c r="JJ1" s="449"/>
      <c r="JK1" s="449"/>
      <c r="JL1" s="449"/>
      <c r="JM1" s="449"/>
      <c r="JN1" s="449"/>
      <c r="JO1" s="449"/>
      <c r="JP1" s="453">
        <v>2031</v>
      </c>
      <c r="JQ1" s="449"/>
      <c r="JR1" s="449"/>
      <c r="JS1" s="449"/>
      <c r="JT1" s="449"/>
      <c r="JU1" s="449"/>
      <c r="JV1" s="449"/>
      <c r="JW1" s="449"/>
      <c r="JX1" s="449"/>
      <c r="JY1" s="449"/>
      <c r="JZ1" s="449"/>
      <c r="KA1" s="449"/>
      <c r="KB1" s="449"/>
      <c r="KC1" s="449"/>
      <c r="KD1" s="449"/>
      <c r="KE1" s="449"/>
      <c r="KF1" s="449"/>
      <c r="KG1" s="449"/>
      <c r="KH1" s="449"/>
      <c r="KI1" s="449"/>
      <c r="KJ1" s="449"/>
      <c r="KK1" s="449"/>
      <c r="KL1" s="449"/>
      <c r="KM1" s="449"/>
      <c r="KN1" s="449"/>
      <c r="KO1" s="449"/>
      <c r="KP1" s="449"/>
      <c r="KQ1" s="449"/>
      <c r="KR1" s="449"/>
      <c r="KS1" s="449"/>
      <c r="KT1" s="449"/>
      <c r="KU1" s="449"/>
      <c r="KV1" s="449"/>
      <c r="KW1" s="449"/>
      <c r="KX1" s="449"/>
      <c r="KY1" s="449"/>
      <c r="KZ1" s="449"/>
      <c r="LA1" s="449"/>
      <c r="LB1" s="449"/>
      <c r="LC1" s="449"/>
      <c r="LD1" s="449"/>
      <c r="LE1" s="449"/>
      <c r="LF1" s="449"/>
      <c r="LG1" s="449"/>
      <c r="LH1" s="449"/>
      <c r="LI1" s="449"/>
      <c r="LJ1" s="449"/>
      <c r="LK1" s="449"/>
      <c r="LL1" s="449"/>
      <c r="LM1" s="449"/>
      <c r="LN1" s="449"/>
      <c r="LO1" s="450"/>
      <c r="LP1" s="449">
        <v>2032</v>
      </c>
      <c r="LQ1" s="449"/>
      <c r="LR1" s="449"/>
      <c r="LS1" s="449"/>
      <c r="LT1" s="449"/>
      <c r="LU1" s="449"/>
      <c r="LV1" s="449"/>
      <c r="LW1" s="449"/>
      <c r="LX1" s="449"/>
      <c r="LY1" s="449"/>
      <c r="LZ1" s="449"/>
      <c r="MA1" s="449"/>
      <c r="MB1" s="449"/>
      <c r="MC1" s="449"/>
      <c r="MD1" s="449"/>
      <c r="ME1" s="449"/>
      <c r="MF1" s="449"/>
      <c r="MG1" s="449"/>
      <c r="MH1" s="449"/>
      <c r="MI1" s="449"/>
      <c r="MJ1" s="449"/>
      <c r="MK1" s="449"/>
      <c r="ML1" s="449"/>
      <c r="MM1" s="449"/>
      <c r="MN1" s="449"/>
      <c r="MO1" s="449"/>
      <c r="MP1" s="449"/>
      <c r="MQ1" s="449"/>
      <c r="MR1" s="449"/>
      <c r="MS1" s="449"/>
      <c r="MT1" s="449"/>
      <c r="MU1" s="449"/>
      <c r="MV1" s="449"/>
      <c r="MW1" s="449"/>
      <c r="MX1" s="449"/>
      <c r="MY1" s="449"/>
      <c r="MZ1" s="449"/>
      <c r="NA1" s="449"/>
      <c r="NB1" s="449"/>
      <c r="NC1" s="449"/>
      <c r="ND1" s="449"/>
      <c r="NE1" s="449"/>
      <c r="NF1" s="449"/>
      <c r="NG1" s="449"/>
      <c r="NH1" s="449"/>
      <c r="NI1" s="449"/>
      <c r="NJ1" s="449"/>
      <c r="NK1" s="449"/>
      <c r="NL1" s="449"/>
      <c r="NM1" s="449"/>
      <c r="NN1" s="449"/>
      <c r="NO1" s="450"/>
    </row>
    <row r="2" spans="1:379" ht="18">
      <c r="E2" s="9"/>
      <c r="F2" s="9"/>
      <c r="G2" s="10"/>
      <c r="H2" s="10"/>
      <c r="I2" s="10"/>
      <c r="J2" s="10"/>
      <c r="K2" s="10"/>
      <c r="L2" s="10"/>
      <c r="M2" s="10"/>
      <c r="N2" s="9"/>
      <c r="O2" s="9"/>
      <c r="P2" s="451" t="s">
        <v>117</v>
      </c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 t="s">
        <v>118</v>
      </c>
      <c r="AD2" s="431"/>
      <c r="AE2" s="431"/>
      <c r="AF2" s="431"/>
      <c r="AG2" s="431"/>
      <c r="AH2" s="431"/>
      <c r="AI2" s="431"/>
      <c r="AJ2" s="431"/>
      <c r="AK2" s="431"/>
      <c r="AL2" s="431"/>
      <c r="AM2" s="431"/>
      <c r="AN2" s="431"/>
      <c r="AO2" s="431"/>
      <c r="AP2" s="431" t="s">
        <v>119</v>
      </c>
      <c r="AQ2" s="431"/>
      <c r="AR2" s="431"/>
      <c r="AS2" s="431"/>
      <c r="AT2" s="431"/>
      <c r="AU2" s="431"/>
      <c r="AV2" s="431"/>
      <c r="AW2" s="431"/>
      <c r="AX2" s="431"/>
      <c r="AY2" s="431"/>
      <c r="AZ2" s="431"/>
      <c r="BA2" s="431"/>
      <c r="BB2" s="431"/>
      <c r="BC2" s="431" t="s">
        <v>120</v>
      </c>
      <c r="BD2" s="431"/>
      <c r="BE2" s="431"/>
      <c r="BF2" s="431"/>
      <c r="BG2" s="431"/>
      <c r="BH2" s="431"/>
      <c r="BI2" s="431"/>
      <c r="BJ2" s="431"/>
      <c r="BK2" s="431"/>
      <c r="BL2" s="431"/>
      <c r="BM2" s="431"/>
      <c r="BN2" s="431"/>
      <c r="BO2" s="452"/>
      <c r="BP2" s="451" t="s">
        <v>117</v>
      </c>
      <c r="BQ2" s="431"/>
      <c r="BR2" s="431"/>
      <c r="BS2" s="431"/>
      <c r="BT2" s="431"/>
      <c r="BU2" s="431"/>
      <c r="BV2" s="431"/>
      <c r="BW2" s="431"/>
      <c r="BX2" s="431"/>
      <c r="BY2" s="431"/>
      <c r="BZ2" s="431"/>
      <c r="CA2" s="431"/>
      <c r="CB2" s="431"/>
      <c r="CC2" s="431" t="s">
        <v>118</v>
      </c>
      <c r="CD2" s="431"/>
      <c r="CE2" s="431"/>
      <c r="CF2" s="431"/>
      <c r="CG2" s="431"/>
      <c r="CH2" s="431"/>
      <c r="CI2" s="431"/>
      <c r="CJ2" s="431"/>
      <c r="CK2" s="431"/>
      <c r="CL2" s="431"/>
      <c r="CM2" s="431"/>
      <c r="CN2" s="431"/>
      <c r="CO2" s="431"/>
      <c r="CP2" s="431" t="s">
        <v>119</v>
      </c>
      <c r="CQ2" s="431"/>
      <c r="CR2" s="431"/>
      <c r="CS2" s="431"/>
      <c r="CT2" s="431"/>
      <c r="CU2" s="431"/>
      <c r="CV2" s="431"/>
      <c r="CW2" s="431"/>
      <c r="CX2" s="431"/>
      <c r="CY2" s="431"/>
      <c r="CZ2" s="431"/>
      <c r="DA2" s="431"/>
      <c r="DB2" s="431"/>
      <c r="DC2" s="431" t="s">
        <v>120</v>
      </c>
      <c r="DD2" s="431"/>
      <c r="DE2" s="431"/>
      <c r="DF2" s="431"/>
      <c r="DG2" s="431"/>
      <c r="DH2" s="431"/>
      <c r="DI2" s="431"/>
      <c r="DJ2" s="431"/>
      <c r="DK2" s="431"/>
      <c r="DL2" s="431"/>
      <c r="DM2" s="431"/>
      <c r="DN2" s="431"/>
      <c r="DO2" s="452"/>
      <c r="DP2" s="451" t="s">
        <v>117</v>
      </c>
      <c r="DQ2" s="431"/>
      <c r="DR2" s="431"/>
      <c r="DS2" s="431"/>
      <c r="DT2" s="431"/>
      <c r="DU2" s="431"/>
      <c r="DV2" s="431"/>
      <c r="DW2" s="431"/>
      <c r="DX2" s="431"/>
      <c r="DY2" s="431"/>
      <c r="DZ2" s="431"/>
      <c r="EA2" s="431"/>
      <c r="EB2" s="431"/>
      <c r="EC2" s="431" t="s">
        <v>118</v>
      </c>
      <c r="ED2" s="431"/>
      <c r="EE2" s="431"/>
      <c r="EF2" s="431"/>
      <c r="EG2" s="431"/>
      <c r="EH2" s="431"/>
      <c r="EI2" s="431"/>
      <c r="EJ2" s="431"/>
      <c r="EK2" s="431"/>
      <c r="EL2" s="431"/>
      <c r="EM2" s="431"/>
      <c r="EN2" s="431"/>
      <c r="EO2" s="431"/>
      <c r="EP2" s="431" t="s">
        <v>119</v>
      </c>
      <c r="EQ2" s="431"/>
      <c r="ER2" s="431"/>
      <c r="ES2" s="431"/>
      <c r="ET2" s="431"/>
      <c r="EU2" s="431"/>
      <c r="EV2" s="431"/>
      <c r="EW2" s="431"/>
      <c r="EX2" s="431"/>
      <c r="EY2" s="431"/>
      <c r="EZ2" s="431"/>
      <c r="FA2" s="431"/>
      <c r="FB2" s="431"/>
      <c r="FC2" s="431" t="s">
        <v>120</v>
      </c>
      <c r="FD2" s="431"/>
      <c r="FE2" s="431"/>
      <c r="FF2" s="431"/>
      <c r="FG2" s="431"/>
      <c r="FH2" s="431"/>
      <c r="FI2" s="431"/>
      <c r="FJ2" s="431"/>
      <c r="FK2" s="431"/>
      <c r="FL2" s="431"/>
      <c r="FM2" s="431"/>
      <c r="FN2" s="431"/>
      <c r="FO2" s="452"/>
      <c r="FP2" s="451" t="s">
        <v>117</v>
      </c>
      <c r="FQ2" s="431"/>
      <c r="FR2" s="431"/>
      <c r="FS2" s="431"/>
      <c r="FT2" s="431"/>
      <c r="FU2" s="431"/>
      <c r="FV2" s="431"/>
      <c r="FW2" s="431"/>
      <c r="FX2" s="431"/>
      <c r="FY2" s="431"/>
      <c r="FZ2" s="431"/>
      <c r="GA2" s="431"/>
      <c r="GB2" s="431"/>
      <c r="GC2" s="431" t="s">
        <v>118</v>
      </c>
      <c r="GD2" s="431"/>
      <c r="GE2" s="431"/>
      <c r="GF2" s="431"/>
      <c r="GG2" s="431"/>
      <c r="GH2" s="431"/>
      <c r="GI2" s="431"/>
      <c r="GJ2" s="431"/>
      <c r="GK2" s="431"/>
      <c r="GL2" s="431"/>
      <c r="GM2" s="431"/>
      <c r="GN2" s="431"/>
      <c r="GO2" s="431"/>
      <c r="GP2" s="431" t="s">
        <v>119</v>
      </c>
      <c r="GQ2" s="431"/>
      <c r="GR2" s="431"/>
      <c r="GS2" s="431"/>
      <c r="GT2" s="431"/>
      <c r="GU2" s="431"/>
      <c r="GV2" s="431"/>
      <c r="GW2" s="431"/>
      <c r="GX2" s="431"/>
      <c r="GY2" s="431"/>
      <c r="GZ2" s="431"/>
      <c r="HA2" s="431"/>
      <c r="HB2" s="431"/>
      <c r="HC2" s="431" t="s">
        <v>120</v>
      </c>
      <c r="HD2" s="431"/>
      <c r="HE2" s="431"/>
      <c r="HF2" s="431"/>
      <c r="HG2" s="431"/>
      <c r="HH2" s="431"/>
      <c r="HI2" s="431"/>
      <c r="HJ2" s="431"/>
      <c r="HK2" s="431"/>
      <c r="HL2" s="431"/>
      <c r="HM2" s="431"/>
      <c r="HN2" s="431"/>
      <c r="HO2" s="452"/>
      <c r="HP2" s="451" t="s">
        <v>117</v>
      </c>
      <c r="HQ2" s="431"/>
      <c r="HR2" s="431"/>
      <c r="HS2" s="431"/>
      <c r="HT2" s="431"/>
      <c r="HU2" s="431"/>
      <c r="HV2" s="431"/>
      <c r="HW2" s="431"/>
      <c r="HX2" s="431"/>
      <c r="HY2" s="431"/>
      <c r="HZ2" s="431"/>
      <c r="IA2" s="431"/>
      <c r="IB2" s="431"/>
      <c r="IC2" s="431" t="s">
        <v>118</v>
      </c>
      <c r="ID2" s="431"/>
      <c r="IE2" s="431"/>
      <c r="IF2" s="431"/>
      <c r="IG2" s="431"/>
      <c r="IH2" s="431"/>
      <c r="II2" s="431"/>
      <c r="IJ2" s="431"/>
      <c r="IK2" s="431"/>
      <c r="IL2" s="431"/>
      <c r="IM2" s="431"/>
      <c r="IN2" s="431"/>
      <c r="IO2" s="431"/>
      <c r="IP2" s="431" t="s">
        <v>119</v>
      </c>
      <c r="IQ2" s="431"/>
      <c r="IR2" s="431"/>
      <c r="IS2" s="431"/>
      <c r="IT2" s="431"/>
      <c r="IU2" s="431"/>
      <c r="IV2" s="431"/>
      <c r="IW2" s="431"/>
      <c r="IX2" s="431"/>
      <c r="IY2" s="431"/>
      <c r="IZ2" s="431"/>
      <c r="JA2" s="431"/>
      <c r="JB2" s="431"/>
      <c r="JC2" s="431" t="s">
        <v>120</v>
      </c>
      <c r="JD2" s="431"/>
      <c r="JE2" s="431"/>
      <c r="JF2" s="431"/>
      <c r="JG2" s="431"/>
      <c r="JH2" s="431"/>
      <c r="JI2" s="431"/>
      <c r="JJ2" s="431"/>
      <c r="JK2" s="431"/>
      <c r="JL2" s="431"/>
      <c r="JM2" s="431"/>
      <c r="JN2" s="431"/>
      <c r="JO2" s="452"/>
      <c r="JP2" s="451" t="s">
        <v>117</v>
      </c>
      <c r="JQ2" s="431"/>
      <c r="JR2" s="431"/>
      <c r="JS2" s="431"/>
      <c r="JT2" s="431"/>
      <c r="JU2" s="431"/>
      <c r="JV2" s="431"/>
      <c r="JW2" s="431"/>
      <c r="JX2" s="431"/>
      <c r="JY2" s="431"/>
      <c r="JZ2" s="431"/>
      <c r="KA2" s="431"/>
      <c r="KB2" s="431"/>
      <c r="KC2" s="431" t="s">
        <v>118</v>
      </c>
      <c r="KD2" s="431"/>
      <c r="KE2" s="431"/>
      <c r="KF2" s="431"/>
      <c r="KG2" s="431"/>
      <c r="KH2" s="431"/>
      <c r="KI2" s="431"/>
      <c r="KJ2" s="431"/>
      <c r="KK2" s="431"/>
      <c r="KL2" s="431"/>
      <c r="KM2" s="431"/>
      <c r="KN2" s="431"/>
      <c r="KO2" s="431"/>
      <c r="KP2" s="431" t="s">
        <v>119</v>
      </c>
      <c r="KQ2" s="431"/>
      <c r="KR2" s="431"/>
      <c r="KS2" s="431"/>
      <c r="KT2" s="431"/>
      <c r="KU2" s="431"/>
      <c r="KV2" s="431"/>
      <c r="KW2" s="431"/>
      <c r="KX2" s="431"/>
      <c r="KY2" s="431"/>
      <c r="KZ2" s="431"/>
      <c r="LA2" s="431"/>
      <c r="LB2" s="431"/>
      <c r="LC2" s="431" t="s">
        <v>120</v>
      </c>
      <c r="LD2" s="431"/>
      <c r="LE2" s="431"/>
      <c r="LF2" s="431"/>
      <c r="LG2" s="431"/>
      <c r="LH2" s="431"/>
      <c r="LI2" s="431"/>
      <c r="LJ2" s="431"/>
      <c r="LK2" s="431"/>
      <c r="LL2" s="431"/>
      <c r="LM2" s="431"/>
      <c r="LN2" s="431"/>
      <c r="LO2" s="454"/>
      <c r="LP2" s="455" t="s">
        <v>117</v>
      </c>
      <c r="LQ2" s="431"/>
      <c r="LR2" s="431"/>
      <c r="LS2" s="431"/>
      <c r="LT2" s="431"/>
      <c r="LU2" s="431"/>
      <c r="LV2" s="431"/>
      <c r="LW2" s="431"/>
      <c r="LX2" s="431"/>
      <c r="LY2" s="431"/>
      <c r="LZ2" s="431"/>
      <c r="MA2" s="431"/>
      <c r="MB2" s="431"/>
      <c r="MC2" s="431" t="s">
        <v>118</v>
      </c>
      <c r="MD2" s="431"/>
      <c r="ME2" s="431"/>
      <c r="MF2" s="431"/>
      <c r="MG2" s="431"/>
      <c r="MH2" s="431"/>
      <c r="MI2" s="431"/>
      <c r="MJ2" s="431"/>
      <c r="MK2" s="431"/>
      <c r="ML2" s="431"/>
      <c r="MM2" s="431"/>
      <c r="MN2" s="431"/>
      <c r="MO2" s="431"/>
      <c r="MP2" s="431" t="s">
        <v>119</v>
      </c>
      <c r="MQ2" s="431"/>
      <c r="MR2" s="431"/>
      <c r="MS2" s="431"/>
      <c r="MT2" s="431"/>
      <c r="MU2" s="431"/>
      <c r="MV2" s="431"/>
      <c r="MW2" s="431"/>
      <c r="MX2" s="431"/>
      <c r="MY2" s="431"/>
      <c r="MZ2" s="431"/>
      <c r="NA2" s="431"/>
      <c r="NB2" s="431"/>
      <c r="NC2" s="431" t="s">
        <v>120</v>
      </c>
      <c r="ND2" s="431"/>
      <c r="NE2" s="431"/>
      <c r="NF2" s="431"/>
      <c r="NG2" s="431"/>
      <c r="NH2" s="431"/>
      <c r="NI2" s="431"/>
      <c r="NJ2" s="431"/>
      <c r="NK2" s="431"/>
      <c r="NL2" s="431"/>
      <c r="NM2" s="431"/>
      <c r="NN2" s="431"/>
      <c r="NO2" s="454"/>
    </row>
    <row r="3" spans="1:379" ht="14.45" customHeight="1" thickBot="1">
      <c r="M3" s="11">
        <f>SUM(M5:M85)</f>
        <v>-6193</v>
      </c>
      <c r="P3" s="13">
        <v>1</v>
      </c>
      <c r="Q3" s="14">
        <v>2</v>
      </c>
      <c r="R3" s="14">
        <v>3</v>
      </c>
      <c r="S3" s="14">
        <v>4</v>
      </c>
      <c r="T3" s="14">
        <v>5</v>
      </c>
      <c r="U3" s="14">
        <v>6</v>
      </c>
      <c r="V3" s="14">
        <v>7</v>
      </c>
      <c r="W3" s="14">
        <v>8</v>
      </c>
      <c r="X3" s="14">
        <v>9</v>
      </c>
      <c r="Y3" s="14">
        <v>10</v>
      </c>
      <c r="Z3" s="14">
        <v>11</v>
      </c>
      <c r="AA3" s="14">
        <v>12</v>
      </c>
      <c r="AB3" s="14">
        <v>13</v>
      </c>
      <c r="AC3" s="14">
        <v>14</v>
      </c>
      <c r="AD3" s="14">
        <v>15</v>
      </c>
      <c r="AE3" s="14">
        <v>16</v>
      </c>
      <c r="AF3" s="14">
        <v>17</v>
      </c>
      <c r="AG3" s="14">
        <v>18</v>
      </c>
      <c r="AH3" s="14">
        <v>19</v>
      </c>
      <c r="AI3" s="14">
        <v>20</v>
      </c>
      <c r="AJ3" s="14">
        <v>21</v>
      </c>
      <c r="AK3" s="14">
        <v>22</v>
      </c>
      <c r="AL3" s="14">
        <v>23</v>
      </c>
      <c r="AM3" s="14">
        <v>24</v>
      </c>
      <c r="AN3" s="14">
        <v>25</v>
      </c>
      <c r="AO3" s="14">
        <v>26</v>
      </c>
      <c r="AP3" s="14">
        <v>27</v>
      </c>
      <c r="AQ3" s="14">
        <v>28</v>
      </c>
      <c r="AR3" s="14">
        <v>29</v>
      </c>
      <c r="AS3" s="14">
        <v>30</v>
      </c>
      <c r="AT3" s="14">
        <v>31</v>
      </c>
      <c r="AU3" s="15">
        <v>32</v>
      </c>
      <c r="AV3" s="15">
        <v>33</v>
      </c>
      <c r="AW3" s="15">
        <v>34</v>
      </c>
      <c r="AX3" s="14">
        <v>35</v>
      </c>
      <c r="AY3" s="14">
        <v>36</v>
      </c>
      <c r="AZ3" s="14">
        <v>37</v>
      </c>
      <c r="BA3" s="14">
        <v>38</v>
      </c>
      <c r="BB3" s="14">
        <v>39</v>
      </c>
      <c r="BC3" s="14">
        <v>40</v>
      </c>
      <c r="BD3" s="14">
        <v>41</v>
      </c>
      <c r="BE3" s="14">
        <v>42</v>
      </c>
      <c r="BF3" s="14">
        <v>43</v>
      </c>
      <c r="BG3" s="14">
        <v>44</v>
      </c>
      <c r="BH3" s="14">
        <v>45</v>
      </c>
      <c r="BI3" s="14">
        <v>46</v>
      </c>
      <c r="BJ3" s="14">
        <v>47</v>
      </c>
      <c r="BK3" s="14">
        <v>48</v>
      </c>
      <c r="BL3" s="14">
        <v>49</v>
      </c>
      <c r="BM3" s="14">
        <v>50</v>
      </c>
      <c r="BN3" s="14">
        <v>51</v>
      </c>
      <c r="BO3" s="16">
        <v>52</v>
      </c>
      <c r="BP3" s="13">
        <v>1</v>
      </c>
      <c r="BQ3" s="14">
        <v>2</v>
      </c>
      <c r="BR3" s="14">
        <v>3</v>
      </c>
      <c r="BS3" s="14">
        <v>4</v>
      </c>
      <c r="BT3" s="14">
        <v>5</v>
      </c>
      <c r="BU3" s="14">
        <v>6</v>
      </c>
      <c r="BV3" s="14">
        <v>7</v>
      </c>
      <c r="BW3" s="14">
        <v>8</v>
      </c>
      <c r="BX3" s="14">
        <v>9</v>
      </c>
      <c r="BY3" s="14">
        <v>10</v>
      </c>
      <c r="BZ3" s="14">
        <v>11</v>
      </c>
      <c r="CA3" s="14">
        <v>12</v>
      </c>
      <c r="CB3" s="14">
        <v>13</v>
      </c>
      <c r="CC3" s="14">
        <v>14</v>
      </c>
      <c r="CD3" s="14">
        <v>15</v>
      </c>
      <c r="CE3" s="14">
        <v>16</v>
      </c>
      <c r="CF3" s="14">
        <v>17</v>
      </c>
      <c r="CG3" s="14">
        <v>18</v>
      </c>
      <c r="CH3" s="14">
        <v>19</v>
      </c>
      <c r="CI3" s="14">
        <v>20</v>
      </c>
      <c r="CJ3" s="14">
        <v>21</v>
      </c>
      <c r="CK3" s="14">
        <v>22</v>
      </c>
      <c r="CL3" s="14">
        <v>23</v>
      </c>
      <c r="CM3" s="14">
        <v>24</v>
      </c>
      <c r="CN3" s="14">
        <v>25</v>
      </c>
      <c r="CO3" s="14">
        <v>26</v>
      </c>
      <c r="CP3" s="14">
        <v>27</v>
      </c>
      <c r="CQ3" s="14">
        <v>28</v>
      </c>
      <c r="CR3" s="14">
        <v>29</v>
      </c>
      <c r="CS3" s="14">
        <v>30</v>
      </c>
      <c r="CT3" s="14">
        <v>31</v>
      </c>
      <c r="CU3" s="15">
        <v>32</v>
      </c>
      <c r="CV3" s="15">
        <v>33</v>
      </c>
      <c r="CW3" s="15">
        <v>34</v>
      </c>
      <c r="CX3" s="14">
        <v>35</v>
      </c>
      <c r="CY3" s="14">
        <v>36</v>
      </c>
      <c r="CZ3" s="14">
        <v>37</v>
      </c>
      <c r="DA3" s="14">
        <v>38</v>
      </c>
      <c r="DB3" s="14">
        <v>39</v>
      </c>
      <c r="DC3" s="14">
        <v>40</v>
      </c>
      <c r="DD3" s="14">
        <v>41</v>
      </c>
      <c r="DE3" s="14">
        <v>42</v>
      </c>
      <c r="DF3" s="14">
        <v>43</v>
      </c>
      <c r="DG3" s="14">
        <v>44</v>
      </c>
      <c r="DH3" s="14">
        <v>45</v>
      </c>
      <c r="DI3" s="14">
        <v>46</v>
      </c>
      <c r="DJ3" s="14">
        <v>47</v>
      </c>
      <c r="DK3" s="14">
        <v>48</v>
      </c>
      <c r="DL3" s="14">
        <v>49</v>
      </c>
      <c r="DM3" s="14">
        <v>50</v>
      </c>
      <c r="DN3" s="14">
        <v>51</v>
      </c>
      <c r="DO3" s="16">
        <v>52</v>
      </c>
      <c r="DP3" s="13">
        <v>1</v>
      </c>
      <c r="DQ3" s="14">
        <v>2</v>
      </c>
      <c r="DR3" s="14">
        <v>3</v>
      </c>
      <c r="DS3" s="14">
        <v>4</v>
      </c>
      <c r="DT3" s="14">
        <v>5</v>
      </c>
      <c r="DU3" s="14">
        <v>6</v>
      </c>
      <c r="DV3" s="14">
        <v>7</v>
      </c>
      <c r="DW3" s="14">
        <v>8</v>
      </c>
      <c r="DX3" s="14">
        <v>9</v>
      </c>
      <c r="DY3" s="14">
        <v>10</v>
      </c>
      <c r="DZ3" s="14">
        <v>11</v>
      </c>
      <c r="EA3" s="14">
        <v>12</v>
      </c>
      <c r="EB3" s="14">
        <v>13</v>
      </c>
      <c r="EC3" s="14">
        <v>14</v>
      </c>
      <c r="ED3" s="14">
        <v>15</v>
      </c>
      <c r="EE3" s="14">
        <v>16</v>
      </c>
      <c r="EF3" s="14">
        <v>17</v>
      </c>
      <c r="EG3" s="14">
        <v>18</v>
      </c>
      <c r="EH3" s="14">
        <v>19</v>
      </c>
      <c r="EI3" s="14">
        <v>20</v>
      </c>
      <c r="EJ3" s="14">
        <v>21</v>
      </c>
      <c r="EK3" s="14">
        <v>22</v>
      </c>
      <c r="EL3" s="14">
        <v>23</v>
      </c>
      <c r="EM3" s="14">
        <v>24</v>
      </c>
      <c r="EN3" s="14">
        <v>25</v>
      </c>
      <c r="EO3" s="14">
        <v>26</v>
      </c>
      <c r="EP3" s="14">
        <v>27</v>
      </c>
      <c r="EQ3" s="14">
        <v>28</v>
      </c>
      <c r="ER3" s="14">
        <v>29</v>
      </c>
      <c r="ES3" s="14">
        <v>30</v>
      </c>
      <c r="ET3" s="14">
        <v>31</v>
      </c>
      <c r="EU3" s="15">
        <v>32</v>
      </c>
      <c r="EV3" s="15">
        <v>33</v>
      </c>
      <c r="EW3" s="15">
        <v>34</v>
      </c>
      <c r="EX3" s="14">
        <v>35</v>
      </c>
      <c r="EY3" s="14">
        <v>36</v>
      </c>
      <c r="EZ3" s="14">
        <v>37</v>
      </c>
      <c r="FA3" s="14">
        <v>38</v>
      </c>
      <c r="FB3" s="14">
        <v>39</v>
      </c>
      <c r="FC3" s="14">
        <v>40</v>
      </c>
      <c r="FD3" s="14">
        <v>41</v>
      </c>
      <c r="FE3" s="14">
        <v>42</v>
      </c>
      <c r="FF3" s="14">
        <v>43</v>
      </c>
      <c r="FG3" s="14">
        <v>44</v>
      </c>
      <c r="FH3" s="14">
        <v>45</v>
      </c>
      <c r="FI3" s="14">
        <v>46</v>
      </c>
      <c r="FJ3" s="14">
        <v>47</v>
      </c>
      <c r="FK3" s="14">
        <v>48</v>
      </c>
      <c r="FL3" s="14">
        <v>49</v>
      </c>
      <c r="FM3" s="14">
        <v>50</v>
      </c>
      <c r="FN3" s="14">
        <v>51</v>
      </c>
      <c r="FO3" s="16">
        <v>52</v>
      </c>
      <c r="FP3" s="13">
        <v>1</v>
      </c>
      <c r="FQ3" s="14">
        <v>2</v>
      </c>
      <c r="FR3" s="14">
        <v>3</v>
      </c>
      <c r="FS3" s="14">
        <v>4</v>
      </c>
      <c r="FT3" s="14">
        <v>5</v>
      </c>
      <c r="FU3" s="14">
        <v>6</v>
      </c>
      <c r="FV3" s="14">
        <v>7</v>
      </c>
      <c r="FW3" s="14">
        <v>8</v>
      </c>
      <c r="FX3" s="14">
        <v>9</v>
      </c>
      <c r="FY3" s="14">
        <v>10</v>
      </c>
      <c r="FZ3" s="14">
        <v>11</v>
      </c>
      <c r="GA3" s="14">
        <v>12</v>
      </c>
      <c r="GB3" s="14">
        <v>13</v>
      </c>
      <c r="GC3" s="14">
        <v>14</v>
      </c>
      <c r="GD3" s="14">
        <v>15</v>
      </c>
      <c r="GE3" s="14">
        <v>16</v>
      </c>
      <c r="GF3" s="14">
        <v>17</v>
      </c>
      <c r="GG3" s="14">
        <v>18</v>
      </c>
      <c r="GH3" s="14">
        <v>19</v>
      </c>
      <c r="GI3" s="14">
        <v>20</v>
      </c>
      <c r="GJ3" s="14">
        <v>21</v>
      </c>
      <c r="GK3" s="14">
        <v>22</v>
      </c>
      <c r="GL3" s="14">
        <v>23</v>
      </c>
      <c r="GM3" s="14">
        <v>24</v>
      </c>
      <c r="GN3" s="14">
        <v>25</v>
      </c>
      <c r="GO3" s="14">
        <v>26</v>
      </c>
      <c r="GP3" s="14">
        <v>27</v>
      </c>
      <c r="GQ3" s="14">
        <v>28</v>
      </c>
      <c r="GR3" s="14">
        <v>29</v>
      </c>
      <c r="GS3" s="14">
        <v>30</v>
      </c>
      <c r="GT3" s="14">
        <v>31</v>
      </c>
      <c r="GU3" s="15">
        <v>32</v>
      </c>
      <c r="GV3" s="15">
        <v>33</v>
      </c>
      <c r="GW3" s="15">
        <v>34</v>
      </c>
      <c r="GX3" s="14">
        <v>35</v>
      </c>
      <c r="GY3" s="14">
        <v>36</v>
      </c>
      <c r="GZ3" s="14">
        <v>37</v>
      </c>
      <c r="HA3" s="14">
        <v>38</v>
      </c>
      <c r="HB3" s="14">
        <v>39</v>
      </c>
      <c r="HC3" s="14">
        <v>40</v>
      </c>
      <c r="HD3" s="14">
        <v>41</v>
      </c>
      <c r="HE3" s="14">
        <v>42</v>
      </c>
      <c r="HF3" s="14">
        <v>43</v>
      </c>
      <c r="HG3" s="14">
        <v>44</v>
      </c>
      <c r="HH3" s="14">
        <v>45</v>
      </c>
      <c r="HI3" s="14">
        <v>46</v>
      </c>
      <c r="HJ3" s="14">
        <v>47</v>
      </c>
      <c r="HK3" s="14">
        <v>48</v>
      </c>
      <c r="HL3" s="14">
        <v>49</v>
      </c>
      <c r="HM3" s="14">
        <v>50</v>
      </c>
      <c r="HN3" s="14">
        <v>51</v>
      </c>
      <c r="HO3" s="16">
        <v>52</v>
      </c>
      <c r="HP3" s="13">
        <v>1</v>
      </c>
      <c r="HQ3" s="14">
        <v>2</v>
      </c>
      <c r="HR3" s="14">
        <v>3</v>
      </c>
      <c r="HS3" s="14">
        <v>4</v>
      </c>
      <c r="HT3" s="14">
        <v>5</v>
      </c>
      <c r="HU3" s="14">
        <v>6</v>
      </c>
      <c r="HV3" s="14">
        <v>7</v>
      </c>
      <c r="HW3" s="14">
        <v>8</v>
      </c>
      <c r="HX3" s="14">
        <v>9</v>
      </c>
      <c r="HY3" s="14">
        <v>10</v>
      </c>
      <c r="HZ3" s="14">
        <v>11</v>
      </c>
      <c r="IA3" s="14">
        <v>12</v>
      </c>
      <c r="IB3" s="14">
        <v>13</v>
      </c>
      <c r="IC3" s="14">
        <v>14</v>
      </c>
      <c r="ID3" s="14">
        <v>15</v>
      </c>
      <c r="IE3" s="14">
        <v>16</v>
      </c>
      <c r="IF3" s="14">
        <v>17</v>
      </c>
      <c r="IG3" s="14">
        <v>18</v>
      </c>
      <c r="IH3" s="14">
        <v>19</v>
      </c>
      <c r="II3" s="14">
        <v>20</v>
      </c>
      <c r="IJ3" s="14">
        <v>21</v>
      </c>
      <c r="IK3" s="14">
        <v>22</v>
      </c>
      <c r="IL3" s="14">
        <v>23</v>
      </c>
      <c r="IM3" s="14">
        <v>24</v>
      </c>
      <c r="IN3" s="14">
        <v>25</v>
      </c>
      <c r="IO3" s="14">
        <v>26</v>
      </c>
      <c r="IP3" s="14">
        <v>27</v>
      </c>
      <c r="IQ3" s="14">
        <v>28</v>
      </c>
      <c r="IR3" s="14">
        <v>29</v>
      </c>
      <c r="IS3" s="14">
        <v>30</v>
      </c>
      <c r="IT3" s="14">
        <v>31</v>
      </c>
      <c r="IU3" s="15">
        <v>32</v>
      </c>
      <c r="IV3" s="15">
        <v>33</v>
      </c>
      <c r="IW3" s="15">
        <v>34</v>
      </c>
      <c r="IX3" s="14">
        <v>35</v>
      </c>
      <c r="IY3" s="14">
        <v>36</v>
      </c>
      <c r="IZ3" s="14">
        <v>37</v>
      </c>
      <c r="JA3" s="14">
        <v>38</v>
      </c>
      <c r="JB3" s="14">
        <v>39</v>
      </c>
      <c r="JC3" s="14">
        <v>40</v>
      </c>
      <c r="JD3" s="14">
        <v>41</v>
      </c>
      <c r="JE3" s="14">
        <v>42</v>
      </c>
      <c r="JF3" s="14">
        <v>43</v>
      </c>
      <c r="JG3" s="14">
        <v>44</v>
      </c>
      <c r="JH3" s="14">
        <v>45</v>
      </c>
      <c r="JI3" s="14">
        <v>46</v>
      </c>
      <c r="JJ3" s="14">
        <v>47</v>
      </c>
      <c r="JK3" s="14">
        <v>48</v>
      </c>
      <c r="JL3" s="14">
        <v>49</v>
      </c>
      <c r="JM3" s="14">
        <v>50</v>
      </c>
      <c r="JN3" s="14">
        <v>51</v>
      </c>
      <c r="JO3" s="16">
        <v>52</v>
      </c>
      <c r="JP3" s="13">
        <v>1</v>
      </c>
      <c r="JQ3" s="14">
        <v>2</v>
      </c>
      <c r="JR3" s="14">
        <v>3</v>
      </c>
      <c r="JS3" s="14">
        <v>4</v>
      </c>
      <c r="JT3" s="14">
        <v>5</v>
      </c>
      <c r="JU3" s="14">
        <v>6</v>
      </c>
      <c r="JV3" s="14">
        <v>7</v>
      </c>
      <c r="JW3" s="14">
        <v>8</v>
      </c>
      <c r="JX3" s="14">
        <v>9</v>
      </c>
      <c r="JY3" s="14">
        <v>10</v>
      </c>
      <c r="JZ3" s="14">
        <v>11</v>
      </c>
      <c r="KA3" s="14">
        <v>12</v>
      </c>
      <c r="KB3" s="14">
        <v>13</v>
      </c>
      <c r="KC3" s="14">
        <v>14</v>
      </c>
      <c r="KD3" s="14">
        <v>15</v>
      </c>
      <c r="KE3" s="14">
        <v>16</v>
      </c>
      <c r="KF3" s="14">
        <v>17</v>
      </c>
      <c r="KG3" s="14">
        <v>18</v>
      </c>
      <c r="KH3" s="14">
        <v>19</v>
      </c>
      <c r="KI3" s="14">
        <v>20</v>
      </c>
      <c r="KJ3" s="14">
        <v>21</v>
      </c>
      <c r="KK3" s="14">
        <v>22</v>
      </c>
      <c r="KL3" s="14">
        <v>23</v>
      </c>
      <c r="KM3" s="14">
        <v>24</v>
      </c>
      <c r="KN3" s="14">
        <v>25</v>
      </c>
      <c r="KO3" s="14">
        <v>26</v>
      </c>
      <c r="KP3" s="14">
        <v>27</v>
      </c>
      <c r="KQ3" s="14">
        <v>28</v>
      </c>
      <c r="KR3" s="14">
        <v>29</v>
      </c>
      <c r="KS3" s="14">
        <v>30</v>
      </c>
      <c r="KT3" s="14">
        <v>31</v>
      </c>
      <c r="KU3" s="15">
        <v>32</v>
      </c>
      <c r="KV3" s="15">
        <v>33</v>
      </c>
      <c r="KW3" s="15">
        <v>34</v>
      </c>
      <c r="KX3" s="14">
        <v>35</v>
      </c>
      <c r="KY3" s="14">
        <v>36</v>
      </c>
      <c r="KZ3" s="14">
        <v>37</v>
      </c>
      <c r="LA3" s="14">
        <v>38</v>
      </c>
      <c r="LB3" s="14">
        <v>39</v>
      </c>
      <c r="LC3" s="14">
        <v>40</v>
      </c>
      <c r="LD3" s="14">
        <v>41</v>
      </c>
      <c r="LE3" s="14">
        <v>42</v>
      </c>
      <c r="LF3" s="14">
        <v>43</v>
      </c>
      <c r="LG3" s="14">
        <v>44</v>
      </c>
      <c r="LH3" s="14">
        <v>45</v>
      </c>
      <c r="LI3" s="14">
        <v>46</v>
      </c>
      <c r="LJ3" s="14">
        <v>47</v>
      </c>
      <c r="LK3" s="14">
        <v>48</v>
      </c>
      <c r="LL3" s="14">
        <v>49</v>
      </c>
      <c r="LM3" s="14">
        <v>50</v>
      </c>
      <c r="LN3" s="14">
        <v>51</v>
      </c>
      <c r="LO3" s="17">
        <v>52</v>
      </c>
      <c r="LP3" s="18">
        <v>1</v>
      </c>
      <c r="LQ3" s="14">
        <v>2</v>
      </c>
      <c r="LR3" s="14">
        <v>3</v>
      </c>
      <c r="LS3" s="14">
        <v>4</v>
      </c>
      <c r="LT3" s="14">
        <v>5</v>
      </c>
      <c r="LU3" s="14">
        <v>6</v>
      </c>
      <c r="LV3" s="14">
        <v>7</v>
      </c>
      <c r="LW3" s="14">
        <v>8</v>
      </c>
      <c r="LX3" s="14">
        <v>9</v>
      </c>
      <c r="LY3" s="14">
        <v>10</v>
      </c>
      <c r="LZ3" s="14">
        <v>11</v>
      </c>
      <c r="MA3" s="14">
        <v>12</v>
      </c>
      <c r="MB3" s="14">
        <v>13</v>
      </c>
      <c r="MC3" s="14">
        <v>14</v>
      </c>
      <c r="MD3" s="14">
        <v>15</v>
      </c>
      <c r="ME3" s="14">
        <v>16</v>
      </c>
      <c r="MF3" s="14">
        <v>17</v>
      </c>
      <c r="MG3" s="14">
        <v>18</v>
      </c>
      <c r="MH3" s="14">
        <v>19</v>
      </c>
      <c r="MI3" s="14">
        <v>20</v>
      </c>
      <c r="MJ3" s="14">
        <v>21</v>
      </c>
      <c r="MK3" s="14">
        <v>22</v>
      </c>
      <c r="ML3" s="14">
        <v>23</v>
      </c>
      <c r="MM3" s="14">
        <v>24</v>
      </c>
      <c r="MN3" s="14">
        <v>25</v>
      </c>
      <c r="MO3" s="14">
        <v>26</v>
      </c>
      <c r="MP3" s="14">
        <v>27</v>
      </c>
      <c r="MQ3" s="14">
        <v>28</v>
      </c>
      <c r="MR3" s="14">
        <v>29</v>
      </c>
      <c r="MS3" s="14">
        <v>30</v>
      </c>
      <c r="MT3" s="14">
        <v>31</v>
      </c>
      <c r="MU3" s="15">
        <v>32</v>
      </c>
      <c r="MV3" s="15">
        <v>33</v>
      </c>
      <c r="MW3" s="15">
        <v>34</v>
      </c>
      <c r="MX3" s="14">
        <v>35</v>
      </c>
      <c r="MY3" s="14">
        <v>36</v>
      </c>
      <c r="MZ3" s="14">
        <v>37</v>
      </c>
      <c r="NA3" s="14">
        <v>38</v>
      </c>
      <c r="NB3" s="14">
        <v>39</v>
      </c>
      <c r="NC3" s="14">
        <v>40</v>
      </c>
      <c r="ND3" s="14">
        <v>41</v>
      </c>
      <c r="NE3" s="14">
        <v>42</v>
      </c>
      <c r="NF3" s="14">
        <v>43</v>
      </c>
      <c r="NG3" s="14">
        <v>44</v>
      </c>
      <c r="NH3" s="14">
        <v>45</v>
      </c>
      <c r="NI3" s="14">
        <v>46</v>
      </c>
      <c r="NJ3" s="14">
        <v>47</v>
      </c>
      <c r="NK3" s="14">
        <v>48</v>
      </c>
      <c r="NL3" s="14">
        <v>49</v>
      </c>
      <c r="NM3" s="14">
        <v>50</v>
      </c>
      <c r="NN3" s="14">
        <v>51</v>
      </c>
      <c r="NO3" s="16">
        <v>52</v>
      </c>
    </row>
    <row r="4" spans="1:379" ht="35.1" hidden="1" customHeight="1" thickBot="1">
      <c r="L4" s="19"/>
      <c r="M4" s="19"/>
      <c r="P4" s="20"/>
      <c r="BP4" s="20"/>
      <c r="DP4" s="20"/>
      <c r="FP4" s="20"/>
      <c r="HP4" s="20"/>
      <c r="JP4" s="20"/>
      <c r="KU4" s="21"/>
      <c r="KV4" s="21"/>
      <c r="KW4" s="21"/>
      <c r="LO4" s="22"/>
      <c r="MU4" s="21"/>
      <c r="MV4" s="21"/>
      <c r="MW4" s="21"/>
      <c r="NO4" s="21"/>
    </row>
    <row r="5" spans="1:379" ht="66.599999999999994" customHeight="1" thickBot="1">
      <c r="A5" s="24" t="s">
        <v>121</v>
      </c>
      <c r="B5" s="25" t="s">
        <v>122</v>
      </c>
      <c r="C5" s="26" t="s">
        <v>123</v>
      </c>
      <c r="D5" s="26" t="s">
        <v>124</v>
      </c>
      <c r="E5" s="27" t="s">
        <v>125</v>
      </c>
      <c r="F5" s="27" t="s">
        <v>126</v>
      </c>
      <c r="G5" s="27" t="s">
        <v>127</v>
      </c>
      <c r="H5" s="28" t="s">
        <v>128</v>
      </c>
      <c r="I5" s="28" t="s">
        <v>129</v>
      </c>
      <c r="J5" s="28" t="s">
        <v>130</v>
      </c>
      <c r="K5" s="28" t="s">
        <v>131</v>
      </c>
      <c r="L5" s="29" t="s">
        <v>132</v>
      </c>
      <c r="M5" s="28" t="s">
        <v>133</v>
      </c>
      <c r="N5" s="30" t="s">
        <v>134</v>
      </c>
      <c r="O5" s="31" t="s">
        <v>135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4"/>
      <c r="AV5" s="34"/>
      <c r="AW5" s="34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4"/>
      <c r="BP5" s="32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4"/>
      <c r="CV5" s="34"/>
      <c r="CW5" s="34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4"/>
      <c r="DP5" s="32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4"/>
      <c r="EV5" s="34"/>
      <c r="EW5" s="34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4"/>
      <c r="FP5" s="32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4"/>
      <c r="GV5" s="34"/>
      <c r="GW5" s="34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4"/>
      <c r="HP5" s="32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4"/>
      <c r="IV5" s="34"/>
      <c r="IW5" s="34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4"/>
      <c r="JP5" s="32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4"/>
      <c r="KV5" s="34"/>
      <c r="KW5" s="34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5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4"/>
      <c r="MV5" s="34"/>
      <c r="MW5" s="34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4"/>
    </row>
    <row r="6" spans="1:379" s="49" customFormat="1" ht="15" thickBot="1">
      <c r="A6" s="36" t="s">
        <v>136</v>
      </c>
      <c r="B6" s="37"/>
      <c r="C6" s="38"/>
      <c r="D6" s="38"/>
      <c r="E6" s="39"/>
      <c r="F6" s="39"/>
      <c r="G6" s="39"/>
      <c r="H6" s="40"/>
      <c r="I6" s="40"/>
      <c r="J6" s="40"/>
      <c r="K6" s="40"/>
      <c r="L6" s="41"/>
      <c r="M6" s="40"/>
      <c r="N6" s="42"/>
      <c r="O6" s="43"/>
      <c r="P6" s="44"/>
      <c r="Q6" s="45"/>
      <c r="R6" s="45"/>
      <c r="S6" s="45"/>
      <c r="T6" s="45"/>
      <c r="U6" s="45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5"/>
      <c r="AV6" s="45"/>
      <c r="AW6" s="45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5"/>
      <c r="BP6" s="47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5"/>
      <c r="CV6" s="45"/>
      <c r="CW6" s="45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5"/>
      <c r="DP6" s="47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5"/>
      <c r="FN6" s="46"/>
      <c r="FO6" s="45"/>
      <c r="FP6" s="47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4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4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8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</row>
    <row r="7" spans="1:379" ht="15" thickBot="1">
      <c r="A7" s="24" t="s">
        <v>137</v>
      </c>
      <c r="B7" s="50"/>
      <c r="C7" s="51" t="s">
        <v>138</v>
      </c>
      <c r="D7" s="51"/>
      <c r="E7" s="52" t="s">
        <v>138</v>
      </c>
      <c r="F7" s="53"/>
      <c r="G7" s="54"/>
      <c r="H7" s="54"/>
      <c r="I7" s="54"/>
      <c r="J7" s="54"/>
      <c r="K7" s="54"/>
      <c r="L7" s="55"/>
      <c r="M7" s="52"/>
      <c r="N7" s="56"/>
      <c r="O7" s="57" t="s">
        <v>138</v>
      </c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4"/>
      <c r="AV7" s="34"/>
      <c r="AW7" s="34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4"/>
      <c r="BP7" s="32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 t="s">
        <v>139</v>
      </c>
      <c r="CP7" s="33"/>
      <c r="CQ7" s="33"/>
      <c r="CR7" s="33"/>
      <c r="CS7" s="33"/>
      <c r="CT7" s="33"/>
      <c r="CU7" s="34"/>
      <c r="CV7" s="34"/>
      <c r="CW7" s="34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4"/>
      <c r="DP7" s="32"/>
      <c r="DQ7" s="33"/>
      <c r="DR7" s="33"/>
      <c r="DS7" s="33"/>
      <c r="DT7" s="33"/>
      <c r="DU7" s="33" t="s">
        <v>140</v>
      </c>
      <c r="DV7" s="33"/>
      <c r="DW7" s="33"/>
      <c r="DX7" s="33"/>
      <c r="DY7" s="33"/>
      <c r="DZ7" s="33"/>
      <c r="EA7" s="33"/>
      <c r="EB7" s="33"/>
      <c r="EC7" s="33"/>
      <c r="ED7" s="33"/>
      <c r="EE7" s="33" t="s">
        <v>141</v>
      </c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4"/>
      <c r="EV7" s="34"/>
      <c r="EW7" s="34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4"/>
      <c r="FP7" s="32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 t="s">
        <v>142</v>
      </c>
      <c r="GM7" s="33"/>
      <c r="GN7" s="33"/>
      <c r="GO7" s="33"/>
      <c r="GP7" s="33"/>
      <c r="GQ7" s="33"/>
      <c r="GR7" s="33"/>
      <c r="GS7" s="33"/>
      <c r="GT7" s="33"/>
      <c r="GU7" s="34"/>
      <c r="GV7" s="34"/>
      <c r="GW7" s="34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4"/>
      <c r="HP7" s="32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4"/>
      <c r="IV7" s="34"/>
      <c r="IW7" s="34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4"/>
      <c r="JP7" s="32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4"/>
      <c r="KV7" s="34"/>
      <c r="KW7" s="34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5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4"/>
      <c r="MV7" s="34"/>
      <c r="MW7" s="34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4"/>
    </row>
    <row r="8" spans="1:379" ht="14.45">
      <c r="A8" s="58" t="s">
        <v>143</v>
      </c>
      <c r="B8" s="59"/>
      <c r="C8" s="60" t="s">
        <v>144</v>
      </c>
      <c r="D8" s="60" t="s">
        <v>145</v>
      </c>
      <c r="E8" s="61" t="s">
        <v>146</v>
      </c>
      <c r="F8" s="62" t="s">
        <v>147</v>
      </c>
      <c r="G8" s="63">
        <v>950</v>
      </c>
      <c r="H8" s="64">
        <v>100</v>
      </c>
      <c r="I8" s="64"/>
      <c r="J8" s="65">
        <v>1535</v>
      </c>
      <c r="K8" s="64">
        <v>0</v>
      </c>
      <c r="L8" s="66">
        <f>SUM(G8:K8)</f>
        <v>2585</v>
      </c>
      <c r="M8" s="67"/>
      <c r="N8" s="68"/>
      <c r="O8" s="69" t="s">
        <v>148</v>
      </c>
      <c r="P8" s="70"/>
      <c r="Q8" s="71"/>
      <c r="R8" s="71"/>
      <c r="S8" s="71"/>
      <c r="T8" s="71"/>
      <c r="U8" s="71"/>
      <c r="V8" s="72">
        <v>1</v>
      </c>
      <c r="W8" s="72">
        <f>V8+1</f>
        <v>2</v>
      </c>
      <c r="X8" s="72">
        <f t="shared" ref="X8:AT8" si="0">W8+1</f>
        <v>3</v>
      </c>
      <c r="Y8" s="72">
        <f t="shared" si="0"/>
        <v>4</v>
      </c>
      <c r="Z8" s="72">
        <f t="shared" si="0"/>
        <v>5</v>
      </c>
      <c r="AA8" s="72">
        <f t="shared" si="0"/>
        <v>6</v>
      </c>
      <c r="AB8" s="72">
        <f t="shared" si="0"/>
        <v>7</v>
      </c>
      <c r="AC8" s="72">
        <f t="shared" si="0"/>
        <v>8</v>
      </c>
      <c r="AD8" s="72">
        <f t="shared" si="0"/>
        <v>9</v>
      </c>
      <c r="AE8" s="72">
        <f t="shared" si="0"/>
        <v>10</v>
      </c>
      <c r="AF8" s="72">
        <f t="shared" si="0"/>
        <v>11</v>
      </c>
      <c r="AG8" s="72">
        <f t="shared" si="0"/>
        <v>12</v>
      </c>
      <c r="AH8" s="72">
        <f t="shared" si="0"/>
        <v>13</v>
      </c>
      <c r="AI8" s="72">
        <f t="shared" si="0"/>
        <v>14</v>
      </c>
      <c r="AJ8" s="72">
        <f t="shared" si="0"/>
        <v>15</v>
      </c>
      <c r="AK8" s="72">
        <f t="shared" si="0"/>
        <v>16</v>
      </c>
      <c r="AL8" s="72">
        <f t="shared" si="0"/>
        <v>17</v>
      </c>
      <c r="AM8" s="72">
        <f t="shared" si="0"/>
        <v>18</v>
      </c>
      <c r="AN8" s="72">
        <f t="shared" si="0"/>
        <v>19</v>
      </c>
      <c r="AO8" s="72">
        <f t="shared" si="0"/>
        <v>20</v>
      </c>
      <c r="AP8" s="72">
        <f t="shared" si="0"/>
        <v>21</v>
      </c>
      <c r="AQ8" s="72">
        <f t="shared" si="0"/>
        <v>22</v>
      </c>
      <c r="AR8" s="72">
        <f t="shared" si="0"/>
        <v>23</v>
      </c>
      <c r="AS8" s="72">
        <f t="shared" si="0"/>
        <v>24</v>
      </c>
      <c r="AT8" s="72">
        <f t="shared" si="0"/>
        <v>25</v>
      </c>
      <c r="AX8" s="395">
        <f>AT8+1</f>
        <v>26</v>
      </c>
      <c r="AY8" s="72">
        <f t="shared" ref="AY8:BJ8" si="1">AX8+1</f>
        <v>27</v>
      </c>
      <c r="AZ8" s="72">
        <f t="shared" si="1"/>
        <v>28</v>
      </c>
      <c r="BA8" s="72">
        <f t="shared" si="1"/>
        <v>29</v>
      </c>
      <c r="BB8" s="72">
        <f t="shared" si="1"/>
        <v>30</v>
      </c>
      <c r="BC8" s="72">
        <f t="shared" si="1"/>
        <v>31</v>
      </c>
      <c r="BD8" s="72">
        <f t="shared" si="1"/>
        <v>32</v>
      </c>
      <c r="BE8" s="72">
        <f t="shared" si="1"/>
        <v>33</v>
      </c>
      <c r="BF8" s="72">
        <f>BE8+1</f>
        <v>34</v>
      </c>
      <c r="BG8" s="72">
        <f t="shared" si="1"/>
        <v>35</v>
      </c>
      <c r="BH8" s="72">
        <f t="shared" si="1"/>
        <v>36</v>
      </c>
      <c r="BI8" s="72">
        <f t="shared" si="1"/>
        <v>37</v>
      </c>
      <c r="BJ8" s="72">
        <f t="shared" si="1"/>
        <v>38</v>
      </c>
      <c r="BK8" s="73"/>
      <c r="BL8" s="73"/>
      <c r="BM8" s="73"/>
      <c r="BN8" s="73"/>
      <c r="BP8" s="74"/>
      <c r="BQ8" s="73"/>
      <c r="BR8" s="73"/>
      <c r="BS8" s="73"/>
      <c r="BT8" s="73"/>
      <c r="BU8" s="73"/>
      <c r="BV8" s="73"/>
      <c r="BW8" s="73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P8" s="76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N8" s="77"/>
      <c r="FP8" s="78"/>
      <c r="FQ8" s="77"/>
      <c r="FR8" s="77"/>
      <c r="FS8" s="77"/>
      <c r="FT8" s="77"/>
      <c r="FU8" s="77"/>
      <c r="FV8" s="77"/>
      <c r="FW8" s="77"/>
      <c r="FX8" s="77"/>
      <c r="FY8" s="77"/>
      <c r="FZ8" s="77"/>
      <c r="GA8" s="77"/>
      <c r="GB8" s="77"/>
      <c r="GC8" s="77"/>
      <c r="GD8" s="77"/>
      <c r="GE8" s="77"/>
      <c r="GF8" s="77"/>
      <c r="GG8" s="77"/>
      <c r="GH8" s="77"/>
      <c r="GI8" s="77"/>
      <c r="GJ8" s="77"/>
      <c r="GK8" s="77"/>
      <c r="GL8" s="77"/>
      <c r="GM8" s="77"/>
      <c r="GN8" s="77"/>
      <c r="GO8" s="77"/>
      <c r="GP8" s="77"/>
      <c r="GQ8" s="77"/>
      <c r="GR8" s="77"/>
      <c r="GS8" s="77"/>
      <c r="GT8" s="77"/>
      <c r="GU8" s="77"/>
      <c r="GV8" s="77"/>
      <c r="GW8" s="77"/>
      <c r="GX8" s="77"/>
      <c r="GY8" s="77"/>
      <c r="GZ8" s="77"/>
      <c r="HA8" s="77"/>
      <c r="HB8" s="77"/>
      <c r="HP8" s="20"/>
      <c r="JP8" s="20"/>
      <c r="KU8" s="21"/>
      <c r="KV8" s="21"/>
      <c r="KW8" s="21"/>
      <c r="LO8" s="22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 s="21"/>
      <c r="MV8" s="21"/>
      <c r="MW8" s="21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 s="21"/>
    </row>
    <row r="9" spans="1:379" ht="14.45" hidden="1">
      <c r="A9" s="58" t="s">
        <v>143</v>
      </c>
      <c r="B9" s="59"/>
      <c r="C9" s="60" t="s">
        <v>149</v>
      </c>
      <c r="D9" s="60" t="s">
        <v>138</v>
      </c>
      <c r="E9" s="58" t="s">
        <v>146</v>
      </c>
      <c r="F9" s="62" t="s">
        <v>147</v>
      </c>
      <c r="G9" s="64"/>
      <c r="H9" s="64"/>
      <c r="I9" s="64"/>
      <c r="J9" s="64"/>
      <c r="K9" s="64"/>
      <c r="L9" s="66">
        <f>SUM(G9:K9)</f>
        <v>0</v>
      </c>
      <c r="M9" s="67"/>
      <c r="N9" s="68"/>
      <c r="O9" s="79" t="s">
        <v>148</v>
      </c>
      <c r="P9" s="80"/>
      <c r="Q9" s="81"/>
      <c r="R9" s="81"/>
      <c r="S9" s="81"/>
      <c r="T9" s="81"/>
      <c r="U9" s="81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3"/>
      <c r="AN9" s="83"/>
      <c r="AO9" s="83"/>
      <c r="AP9" s="83"/>
      <c r="AQ9" s="83"/>
      <c r="AR9" s="83"/>
      <c r="AS9" s="83"/>
      <c r="AT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P9" s="20"/>
      <c r="DP9" s="20"/>
      <c r="FN9" s="23"/>
      <c r="FP9" s="84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P9" s="20"/>
      <c r="JP9" s="20"/>
      <c r="KU9" s="21"/>
      <c r="KV9" s="21"/>
      <c r="KW9" s="21"/>
      <c r="LO9" s="22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 s="21"/>
      <c r="MV9" s="21"/>
      <c r="MW9" s="21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 s="21"/>
    </row>
    <row r="10" spans="1:379" ht="14.45">
      <c r="A10" s="58" t="s">
        <v>143</v>
      </c>
      <c r="B10" s="85"/>
      <c r="C10" s="60" t="s">
        <v>150</v>
      </c>
      <c r="D10" s="60" t="s">
        <v>145</v>
      </c>
      <c r="E10" s="58" t="s">
        <v>151</v>
      </c>
      <c r="F10" s="67" t="s">
        <v>147</v>
      </c>
      <c r="G10" s="86">
        <v>950</v>
      </c>
      <c r="H10" s="64">
        <v>100</v>
      </c>
      <c r="I10" s="64"/>
      <c r="J10" s="65">
        <v>1095</v>
      </c>
      <c r="K10" s="64">
        <v>0</v>
      </c>
      <c r="L10" s="66">
        <f t="shared" ref="L10:L25" si="2">SUM(G10:K10)</f>
        <v>2145</v>
      </c>
      <c r="M10" s="67"/>
      <c r="N10" t="s">
        <v>152</v>
      </c>
      <c r="O10" s="79" t="s">
        <v>153</v>
      </c>
      <c r="P10" s="70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H10" s="87">
        <v>1</v>
      </c>
      <c r="AI10" s="87">
        <f>AH10+1</f>
        <v>2</v>
      </c>
      <c r="AJ10" s="87">
        <f t="shared" ref="AJ10:AT12" si="3">AI10+1</f>
        <v>3</v>
      </c>
      <c r="AK10" s="87">
        <f t="shared" si="3"/>
        <v>4</v>
      </c>
      <c r="AL10" s="87">
        <f t="shared" si="3"/>
        <v>5</v>
      </c>
      <c r="AM10" s="87">
        <f t="shared" si="3"/>
        <v>6</v>
      </c>
      <c r="AN10" s="87">
        <f t="shared" si="3"/>
        <v>7</v>
      </c>
      <c r="AO10" s="87">
        <f t="shared" si="3"/>
        <v>8</v>
      </c>
      <c r="AP10" s="87">
        <f t="shared" si="3"/>
        <v>9</v>
      </c>
      <c r="AQ10" s="87">
        <f t="shared" si="3"/>
        <v>10</v>
      </c>
      <c r="AR10" s="87">
        <f t="shared" si="3"/>
        <v>11</v>
      </c>
      <c r="AS10" s="87">
        <f t="shared" si="3"/>
        <v>12</v>
      </c>
      <c r="AT10" s="87">
        <f t="shared" si="3"/>
        <v>13</v>
      </c>
      <c r="AX10" s="87">
        <f>AT10+1</f>
        <v>14</v>
      </c>
      <c r="AY10" s="87">
        <f>AX10+1</f>
        <v>15</v>
      </c>
      <c r="AZ10" s="87">
        <f t="shared" ref="AZ10:BN10" si="4">AY10+1</f>
        <v>16</v>
      </c>
      <c r="BA10" s="87">
        <f t="shared" si="4"/>
        <v>17</v>
      </c>
      <c r="BB10" s="87">
        <f t="shared" si="4"/>
        <v>18</v>
      </c>
      <c r="BC10" s="87">
        <f t="shared" si="4"/>
        <v>19</v>
      </c>
      <c r="BD10" s="87">
        <f t="shared" si="4"/>
        <v>20</v>
      </c>
      <c r="BE10" s="87">
        <f t="shared" si="4"/>
        <v>21</v>
      </c>
      <c r="BF10" s="87">
        <f t="shared" si="4"/>
        <v>22</v>
      </c>
      <c r="BG10" s="87">
        <f t="shared" si="4"/>
        <v>23</v>
      </c>
      <c r="BH10" s="87">
        <f t="shared" si="4"/>
        <v>24</v>
      </c>
      <c r="BI10" s="87">
        <f t="shared" si="4"/>
        <v>25</v>
      </c>
      <c r="BJ10" s="396">
        <f t="shared" si="4"/>
        <v>26</v>
      </c>
      <c r="BK10" s="87">
        <f t="shared" si="4"/>
        <v>27</v>
      </c>
      <c r="BL10" s="87">
        <f t="shared" si="4"/>
        <v>28</v>
      </c>
      <c r="BM10" s="87">
        <f t="shared" si="4"/>
        <v>29</v>
      </c>
      <c r="BN10" s="87">
        <f t="shared" si="4"/>
        <v>30</v>
      </c>
      <c r="BP10" s="88">
        <f>BN10+1</f>
        <v>31</v>
      </c>
      <c r="BQ10" s="87">
        <f>BP10+1</f>
        <v>32</v>
      </c>
      <c r="BR10" s="87">
        <f t="shared" ref="BR10:BW14" si="5">BQ10+1</f>
        <v>33</v>
      </c>
      <c r="BS10" s="87">
        <f t="shared" si="5"/>
        <v>34</v>
      </c>
      <c r="BT10" s="87">
        <f t="shared" si="5"/>
        <v>35</v>
      </c>
      <c r="BU10" s="87">
        <f t="shared" si="5"/>
        <v>36</v>
      </c>
      <c r="BV10" s="87">
        <f t="shared" si="5"/>
        <v>37</v>
      </c>
      <c r="BW10" s="87">
        <f t="shared" si="5"/>
        <v>38</v>
      </c>
      <c r="BX10" s="89"/>
      <c r="BY10" s="89"/>
      <c r="BZ10" s="89"/>
      <c r="CA10" s="89"/>
      <c r="CB10" s="89"/>
      <c r="CC10" s="89"/>
      <c r="CD10" s="89"/>
      <c r="CE10" s="89"/>
      <c r="CF10" s="89"/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P10" s="91"/>
      <c r="DQ10" s="90"/>
      <c r="DR10" s="90"/>
      <c r="DS10" s="90"/>
      <c r="DT10" s="90"/>
      <c r="DU10" s="90"/>
      <c r="DV10" s="90"/>
      <c r="DW10" s="90"/>
      <c r="FP10" s="20"/>
      <c r="HP10" s="20"/>
      <c r="JP10" s="20"/>
      <c r="KU10" s="21"/>
      <c r="KV10" s="21"/>
      <c r="KW10" s="21"/>
      <c r="LO10" s="22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 s="21"/>
      <c r="MV10" s="21"/>
      <c r="MW10" s="21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 s="21"/>
    </row>
    <row r="11" spans="1:379" ht="14.45" hidden="1">
      <c r="A11" s="58" t="s">
        <v>143</v>
      </c>
      <c r="B11" s="85"/>
      <c r="C11" s="60" t="s">
        <v>149</v>
      </c>
      <c r="D11" s="60" t="s">
        <v>138</v>
      </c>
      <c r="E11" s="58" t="s">
        <v>151</v>
      </c>
      <c r="F11" s="67" t="s">
        <v>147</v>
      </c>
      <c r="G11" s="64"/>
      <c r="H11" s="64"/>
      <c r="I11" s="64"/>
      <c r="J11" s="64"/>
      <c r="K11" s="64"/>
      <c r="L11" s="66"/>
      <c r="M11" s="67"/>
      <c r="N11" t="s">
        <v>152</v>
      </c>
      <c r="O11" s="79" t="s">
        <v>153</v>
      </c>
      <c r="P11" s="80"/>
      <c r="Q11" s="81"/>
      <c r="R11" s="81"/>
      <c r="S11" s="81"/>
      <c r="T11" s="81"/>
      <c r="U11" s="81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BP11" s="20"/>
      <c r="DP11" s="20"/>
      <c r="FP11" s="20"/>
      <c r="HP11" s="20"/>
      <c r="JP11" s="20"/>
      <c r="KU11" s="21"/>
      <c r="KV11" s="21"/>
      <c r="KW11" s="21"/>
      <c r="LO11" s="22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 s="21"/>
      <c r="MV11" s="21"/>
      <c r="MW11" s="2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 s="21"/>
    </row>
    <row r="12" spans="1:379" ht="14.45">
      <c r="A12" s="92" t="s">
        <v>154</v>
      </c>
      <c r="B12" s="93" t="s">
        <v>155</v>
      </c>
      <c r="C12" s="60" t="s">
        <v>150</v>
      </c>
      <c r="D12" s="60" t="s">
        <v>145</v>
      </c>
      <c r="E12" s="58" t="s">
        <v>151</v>
      </c>
      <c r="F12" s="67" t="s">
        <v>147</v>
      </c>
      <c r="G12" s="94">
        <v>950</v>
      </c>
      <c r="H12" s="64">
        <v>100</v>
      </c>
      <c r="I12" s="64"/>
      <c r="J12" s="65">
        <v>1023</v>
      </c>
      <c r="K12" s="64">
        <v>0</v>
      </c>
      <c r="L12" s="95">
        <f t="shared" si="2"/>
        <v>2073</v>
      </c>
      <c r="M12" s="67">
        <f>-L12</f>
        <v>-2073</v>
      </c>
      <c r="N12" t="s">
        <v>156</v>
      </c>
      <c r="O12" s="96" t="s">
        <v>157</v>
      </c>
      <c r="P12" s="70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P12" s="87">
        <v>1</v>
      </c>
      <c r="AQ12" s="87">
        <f>AP12+1</f>
        <v>2</v>
      </c>
      <c r="AR12" s="87">
        <f t="shared" si="3"/>
        <v>3</v>
      </c>
      <c r="AS12" s="87">
        <f t="shared" si="3"/>
        <v>4</v>
      </c>
      <c r="AT12" s="87">
        <f t="shared" si="3"/>
        <v>5</v>
      </c>
      <c r="AX12" s="87">
        <f>AT12+1</f>
        <v>6</v>
      </c>
      <c r="AY12" s="87">
        <f>AX12+1</f>
        <v>7</v>
      </c>
      <c r="AZ12" s="87">
        <f t="shared" ref="AZ12:BN13" si="6">AY12+1</f>
        <v>8</v>
      </c>
      <c r="BA12" s="87">
        <f t="shared" si="6"/>
        <v>9</v>
      </c>
      <c r="BB12" s="87">
        <f t="shared" si="6"/>
        <v>10</v>
      </c>
      <c r="BC12" s="87">
        <f t="shared" si="6"/>
        <v>11</v>
      </c>
      <c r="BD12" s="87">
        <f t="shared" si="6"/>
        <v>12</v>
      </c>
      <c r="BE12" s="87">
        <f t="shared" si="6"/>
        <v>13</v>
      </c>
      <c r="BF12" s="87">
        <f t="shared" si="6"/>
        <v>14</v>
      </c>
      <c r="BG12" s="87">
        <f t="shared" si="6"/>
        <v>15</v>
      </c>
      <c r="BH12" s="87">
        <f t="shared" si="6"/>
        <v>16</v>
      </c>
      <c r="BI12" s="87">
        <f t="shared" si="6"/>
        <v>17</v>
      </c>
      <c r="BJ12" s="87">
        <f t="shared" si="6"/>
        <v>18</v>
      </c>
      <c r="BK12" s="87">
        <f t="shared" si="6"/>
        <v>19</v>
      </c>
      <c r="BL12" s="87">
        <f t="shared" si="6"/>
        <v>20</v>
      </c>
      <c r="BM12" s="87">
        <f t="shared" si="6"/>
        <v>21</v>
      </c>
      <c r="BN12" s="87">
        <f t="shared" si="6"/>
        <v>22</v>
      </c>
      <c r="BP12" s="397">
        <f>BN12+1</f>
        <v>23</v>
      </c>
      <c r="BQ12" s="87">
        <f>BP12+1</f>
        <v>24</v>
      </c>
      <c r="BR12" s="87">
        <f t="shared" si="5"/>
        <v>25</v>
      </c>
      <c r="BS12" s="87">
        <f t="shared" si="5"/>
        <v>26</v>
      </c>
      <c r="BT12" s="87">
        <f t="shared" si="5"/>
        <v>27</v>
      </c>
      <c r="BU12" s="87">
        <f t="shared" si="5"/>
        <v>28</v>
      </c>
      <c r="BV12" s="87">
        <f t="shared" si="5"/>
        <v>29</v>
      </c>
      <c r="BW12" s="87">
        <f t="shared" ref="BW12:BW14" si="7">BU12+1</f>
        <v>29</v>
      </c>
      <c r="BX12" s="87">
        <f t="shared" ref="BX12:CM14" si="8">BW12+1</f>
        <v>30</v>
      </c>
      <c r="BY12" s="87">
        <f t="shared" si="8"/>
        <v>31</v>
      </c>
      <c r="BZ12" s="87">
        <f t="shared" si="8"/>
        <v>32</v>
      </c>
      <c r="CA12" s="87">
        <f t="shared" si="8"/>
        <v>33</v>
      </c>
      <c r="CB12" s="87">
        <f t="shared" si="8"/>
        <v>34</v>
      </c>
      <c r="CC12" s="87">
        <f t="shared" si="8"/>
        <v>35</v>
      </c>
      <c r="CD12" s="87">
        <f t="shared" ref="CD12:CE12" si="9">CB12+1</f>
        <v>35</v>
      </c>
      <c r="CE12" s="87">
        <f t="shared" si="9"/>
        <v>36</v>
      </c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DP12" s="20"/>
      <c r="FP12" s="20"/>
      <c r="HP12" s="20"/>
      <c r="JP12" s="20"/>
      <c r="KU12" s="21"/>
      <c r="KV12" s="21"/>
      <c r="KW12" s="21"/>
      <c r="LO12" s="2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 s="21"/>
      <c r="MV12" s="21"/>
      <c r="MW12" s="21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 s="21"/>
    </row>
    <row r="13" spans="1:379" ht="14.45">
      <c r="A13" s="58" t="s">
        <v>143</v>
      </c>
      <c r="B13" s="85"/>
      <c r="C13" s="60" t="s">
        <v>150</v>
      </c>
      <c r="D13" s="60" t="s">
        <v>145</v>
      </c>
      <c r="E13" s="58" t="s">
        <v>151</v>
      </c>
      <c r="F13" s="67" t="s">
        <v>147</v>
      </c>
      <c r="G13" s="86">
        <v>950</v>
      </c>
      <c r="H13" s="64">
        <v>100</v>
      </c>
      <c r="I13" s="64"/>
      <c r="J13" s="65">
        <v>1220</v>
      </c>
      <c r="K13" s="64">
        <v>0</v>
      </c>
      <c r="L13" s="66">
        <f t="shared" si="2"/>
        <v>2270</v>
      </c>
      <c r="M13" s="67"/>
      <c r="N13" t="s">
        <v>158</v>
      </c>
      <c r="O13" s="79" t="s">
        <v>159</v>
      </c>
      <c r="P13" s="20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BC13" s="87">
        <f>AY13+1</f>
        <v>1</v>
      </c>
      <c r="BD13" s="87">
        <f>BC13+1</f>
        <v>2</v>
      </c>
      <c r="BE13" s="87">
        <f t="shared" si="6"/>
        <v>3</v>
      </c>
      <c r="BF13" s="87">
        <f t="shared" si="6"/>
        <v>4</v>
      </c>
      <c r="BG13" s="87">
        <f t="shared" si="6"/>
        <v>5</v>
      </c>
      <c r="BH13" s="87">
        <f t="shared" si="6"/>
        <v>6</v>
      </c>
      <c r="BI13" s="87">
        <f t="shared" si="6"/>
        <v>7</v>
      </c>
      <c r="BJ13" s="87">
        <f t="shared" si="6"/>
        <v>8</v>
      </c>
      <c r="BK13" s="87">
        <f t="shared" si="6"/>
        <v>9</v>
      </c>
      <c r="BL13" s="87">
        <f t="shared" si="6"/>
        <v>10</v>
      </c>
      <c r="BM13" s="87">
        <f t="shared" si="6"/>
        <v>11</v>
      </c>
      <c r="BN13" s="87">
        <f t="shared" si="6"/>
        <v>12</v>
      </c>
      <c r="BP13" s="88">
        <f>BN13+1</f>
        <v>13</v>
      </c>
      <c r="BQ13" s="87">
        <f>BP13+1</f>
        <v>14</v>
      </c>
      <c r="BR13" s="87">
        <f t="shared" si="5"/>
        <v>15</v>
      </c>
      <c r="BS13" s="87">
        <f t="shared" si="5"/>
        <v>16</v>
      </c>
      <c r="BT13" s="396">
        <f t="shared" si="5"/>
        <v>17</v>
      </c>
      <c r="BU13" s="87">
        <f t="shared" si="5"/>
        <v>18</v>
      </c>
      <c r="BV13" s="87">
        <f t="shared" si="5"/>
        <v>19</v>
      </c>
      <c r="BW13" s="87">
        <f t="shared" si="7"/>
        <v>19</v>
      </c>
      <c r="BX13" s="87">
        <f t="shared" si="8"/>
        <v>20</v>
      </c>
      <c r="BY13" s="87">
        <f t="shared" si="8"/>
        <v>21</v>
      </c>
      <c r="BZ13" s="87">
        <f t="shared" si="8"/>
        <v>22</v>
      </c>
      <c r="CA13" s="87">
        <f t="shared" si="8"/>
        <v>23</v>
      </c>
      <c r="CB13" s="87">
        <f t="shared" si="8"/>
        <v>24</v>
      </c>
      <c r="CC13" s="87">
        <f t="shared" si="8"/>
        <v>25</v>
      </c>
      <c r="CD13" s="87">
        <f t="shared" si="8"/>
        <v>26</v>
      </c>
      <c r="CE13" s="87">
        <f t="shared" si="8"/>
        <v>27</v>
      </c>
      <c r="CF13" s="87">
        <f t="shared" si="8"/>
        <v>28</v>
      </c>
      <c r="CG13" s="87">
        <f t="shared" si="8"/>
        <v>29</v>
      </c>
      <c r="CH13" s="87">
        <f t="shared" si="8"/>
        <v>30</v>
      </c>
      <c r="CI13" s="87">
        <f t="shared" si="8"/>
        <v>31</v>
      </c>
      <c r="CJ13" s="87">
        <f t="shared" si="8"/>
        <v>32</v>
      </c>
      <c r="CK13" s="87">
        <f t="shared" si="8"/>
        <v>33</v>
      </c>
      <c r="CL13" s="87">
        <f t="shared" si="8"/>
        <v>34</v>
      </c>
      <c r="CM13" s="87">
        <f t="shared" si="8"/>
        <v>35</v>
      </c>
      <c r="CN13" s="87">
        <f t="shared" ref="CN13:CT14" si="10">CM13+1</f>
        <v>36</v>
      </c>
      <c r="CO13" s="89"/>
      <c r="CP13" s="89"/>
      <c r="CQ13" s="89"/>
      <c r="CR13" s="89"/>
      <c r="CS13" s="89"/>
      <c r="CT13" s="89"/>
      <c r="CX13" s="89"/>
      <c r="CY13" s="89"/>
      <c r="CZ13" s="89"/>
      <c r="DP13" s="20"/>
      <c r="FP13" s="20"/>
      <c r="HP13" s="20"/>
      <c r="JP13" s="20"/>
      <c r="KU13" s="21"/>
      <c r="KV13" s="21"/>
      <c r="KW13" s="21"/>
      <c r="LO13" s="22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 s="21"/>
      <c r="MV13" s="21"/>
      <c r="MW13" s="21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 s="21"/>
    </row>
    <row r="14" spans="1:379" ht="14.45">
      <c r="A14" s="58" t="s">
        <v>143</v>
      </c>
      <c r="B14" s="85"/>
      <c r="C14" s="60" t="s">
        <v>150</v>
      </c>
      <c r="D14" s="60" t="s">
        <v>145</v>
      </c>
      <c r="E14" s="58" t="s">
        <v>160</v>
      </c>
      <c r="F14" s="67" t="s">
        <v>147</v>
      </c>
      <c r="G14" s="64">
        <v>800</v>
      </c>
      <c r="H14" s="64">
        <v>100</v>
      </c>
      <c r="I14" s="64"/>
      <c r="J14" s="65">
        <v>1070</v>
      </c>
      <c r="K14" s="64">
        <v>40</v>
      </c>
      <c r="L14" s="66">
        <f t="shared" si="2"/>
        <v>2010</v>
      </c>
      <c r="M14" s="67"/>
      <c r="O14" s="79" t="s">
        <v>161</v>
      </c>
      <c r="P14" s="20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BP14" s="88">
        <f>BN14+1</f>
        <v>1</v>
      </c>
      <c r="BQ14" s="87">
        <f>BP14+1</f>
        <v>2</v>
      </c>
      <c r="BR14" s="87">
        <f t="shared" si="5"/>
        <v>3</v>
      </c>
      <c r="BS14" s="87">
        <f t="shared" si="5"/>
        <v>4</v>
      </c>
      <c r="BT14" s="87">
        <f t="shared" si="5"/>
        <v>5</v>
      </c>
      <c r="BU14" s="87">
        <f t="shared" si="5"/>
        <v>6</v>
      </c>
      <c r="BV14" s="87">
        <f t="shared" si="5"/>
        <v>7</v>
      </c>
      <c r="BW14" s="87">
        <f t="shared" si="7"/>
        <v>7</v>
      </c>
      <c r="BX14" s="87">
        <f t="shared" si="8"/>
        <v>8</v>
      </c>
      <c r="BY14" s="87">
        <f t="shared" si="8"/>
        <v>9</v>
      </c>
      <c r="BZ14" s="87">
        <f t="shared" si="8"/>
        <v>10</v>
      </c>
      <c r="CA14" s="87">
        <f t="shared" si="8"/>
        <v>11</v>
      </c>
      <c r="CB14" s="87">
        <f t="shared" si="8"/>
        <v>12</v>
      </c>
      <c r="CC14" s="87">
        <f t="shared" si="8"/>
        <v>13</v>
      </c>
      <c r="CD14" s="87">
        <f t="shared" si="8"/>
        <v>14</v>
      </c>
      <c r="CE14" s="87">
        <f t="shared" si="8"/>
        <v>15</v>
      </c>
      <c r="CF14" s="87">
        <f t="shared" si="8"/>
        <v>16</v>
      </c>
      <c r="CG14" s="396">
        <f t="shared" si="8"/>
        <v>17</v>
      </c>
      <c r="CH14" s="87">
        <f t="shared" si="8"/>
        <v>18</v>
      </c>
      <c r="CI14" s="87">
        <f t="shared" si="8"/>
        <v>19</v>
      </c>
      <c r="CJ14" s="87">
        <f t="shared" si="8"/>
        <v>20</v>
      </c>
      <c r="CK14" s="87">
        <f t="shared" si="8"/>
        <v>21</v>
      </c>
      <c r="CL14" s="87">
        <f t="shared" si="8"/>
        <v>22</v>
      </c>
      <c r="CM14" s="87">
        <f t="shared" si="8"/>
        <v>23</v>
      </c>
      <c r="CN14" s="87">
        <f t="shared" si="10"/>
        <v>24</v>
      </c>
      <c r="CO14" s="87">
        <f t="shared" si="10"/>
        <v>25</v>
      </c>
      <c r="CP14" s="87">
        <f t="shared" si="10"/>
        <v>26</v>
      </c>
      <c r="CQ14" s="87">
        <f t="shared" si="10"/>
        <v>27</v>
      </c>
      <c r="CR14" s="87">
        <f t="shared" si="10"/>
        <v>28</v>
      </c>
      <c r="CS14" s="87">
        <f t="shared" si="10"/>
        <v>29</v>
      </c>
      <c r="CT14" s="87">
        <f t="shared" si="10"/>
        <v>30</v>
      </c>
      <c r="CX14" s="87">
        <f>CT14+1</f>
        <v>31</v>
      </c>
      <c r="CY14" s="87">
        <f>CX14+1</f>
        <v>32</v>
      </c>
      <c r="CZ14" s="87">
        <f t="shared" ref="CZ14:DA14" si="11">CY14+1</f>
        <v>33</v>
      </c>
      <c r="DA14" s="87">
        <f t="shared" si="11"/>
        <v>34</v>
      </c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P14" s="20"/>
      <c r="FP14" s="20"/>
      <c r="HP14" s="20"/>
      <c r="JP14" s="20"/>
      <c r="KU14" s="21"/>
      <c r="KV14" s="21"/>
      <c r="KW14" s="21"/>
      <c r="LO14" s="22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 s="21"/>
      <c r="MV14" s="21"/>
      <c r="MW14" s="21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 s="21"/>
    </row>
    <row r="15" spans="1:379" ht="14.45">
      <c r="A15" s="58" t="s">
        <v>143</v>
      </c>
      <c r="B15" s="85"/>
      <c r="C15" s="97" t="s">
        <v>162</v>
      </c>
      <c r="D15" s="60" t="s">
        <v>145</v>
      </c>
      <c r="E15" s="58" t="s">
        <v>163</v>
      </c>
      <c r="F15" s="67" t="s">
        <v>147</v>
      </c>
      <c r="G15" s="64">
        <v>400</v>
      </c>
      <c r="H15" s="64">
        <v>100</v>
      </c>
      <c r="I15" s="64"/>
      <c r="J15" s="65">
        <v>600</v>
      </c>
      <c r="K15" s="98">
        <v>200</v>
      </c>
      <c r="L15" s="66">
        <f t="shared" si="2"/>
        <v>1300</v>
      </c>
      <c r="M15" s="67"/>
      <c r="N15" t="s">
        <v>164</v>
      </c>
      <c r="O15" s="79" t="s">
        <v>165</v>
      </c>
      <c r="P15" s="20"/>
      <c r="BP15" s="20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P15" s="397">
        <v>1</v>
      </c>
      <c r="DQ15" s="102">
        <f>DP15+1</f>
        <v>2</v>
      </c>
      <c r="DR15" s="102">
        <f t="shared" ref="DR15:EG17" si="12">DQ15+1</f>
        <v>3</v>
      </c>
      <c r="DS15" s="102">
        <f t="shared" si="12"/>
        <v>4</v>
      </c>
      <c r="DT15" s="102">
        <f t="shared" si="12"/>
        <v>5</v>
      </c>
      <c r="DU15" s="102">
        <f t="shared" si="12"/>
        <v>6</v>
      </c>
      <c r="DV15" s="102">
        <f t="shared" si="12"/>
        <v>7</v>
      </c>
      <c r="DW15" s="102">
        <f t="shared" si="12"/>
        <v>8</v>
      </c>
      <c r="DX15" s="102">
        <f t="shared" si="12"/>
        <v>9</v>
      </c>
      <c r="DY15" s="102">
        <f t="shared" si="12"/>
        <v>10</v>
      </c>
      <c r="DZ15" s="102">
        <f t="shared" si="12"/>
        <v>11</v>
      </c>
      <c r="EA15" s="102">
        <f t="shared" si="12"/>
        <v>12</v>
      </c>
      <c r="EB15" s="102">
        <f t="shared" si="12"/>
        <v>13</v>
      </c>
      <c r="EC15" s="102">
        <f t="shared" si="12"/>
        <v>14</v>
      </c>
      <c r="ED15" s="102">
        <f t="shared" si="12"/>
        <v>15</v>
      </c>
      <c r="EE15" s="102">
        <f t="shared" si="12"/>
        <v>16</v>
      </c>
      <c r="EF15" s="102">
        <f t="shared" si="12"/>
        <v>17</v>
      </c>
      <c r="EG15" s="102">
        <f t="shared" si="12"/>
        <v>18</v>
      </c>
      <c r="EH15" s="102">
        <f t="shared" ref="EH15:EQ17" si="13">EG15+1</f>
        <v>19</v>
      </c>
      <c r="EI15" s="102">
        <f t="shared" si="13"/>
        <v>20</v>
      </c>
      <c r="FP15" s="20"/>
      <c r="HP15" s="20"/>
      <c r="JP15" s="20"/>
      <c r="KU15" s="21"/>
      <c r="KV15" s="21"/>
      <c r="KW15" s="21"/>
      <c r="LO15" s="22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 s="21"/>
      <c r="MV15" s="21"/>
      <c r="MW15" s="21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 s="21"/>
    </row>
    <row r="16" spans="1:379" ht="14.45">
      <c r="A16" s="103" t="s">
        <v>166</v>
      </c>
      <c r="B16" s="104" t="s">
        <v>167</v>
      </c>
      <c r="C16" s="105" t="s">
        <v>162</v>
      </c>
      <c r="D16" s="105" t="s">
        <v>168</v>
      </c>
      <c r="E16" s="106" t="s">
        <v>163</v>
      </c>
      <c r="F16" s="106" t="s">
        <v>147</v>
      </c>
      <c r="G16" s="64">
        <v>50</v>
      </c>
      <c r="H16" s="64">
        <v>20</v>
      </c>
      <c r="I16" s="64"/>
      <c r="J16" s="65">
        <v>600</v>
      </c>
      <c r="K16" s="65">
        <v>500</v>
      </c>
      <c r="L16" s="66">
        <f>SUM(G16:K16)</f>
        <v>1170</v>
      </c>
      <c r="M16" s="106"/>
      <c r="N16" s="107" t="s">
        <v>169</v>
      </c>
      <c r="O16" s="108" t="s">
        <v>170</v>
      </c>
      <c r="P16" s="20"/>
      <c r="BP16" s="20"/>
      <c r="DG16" s="100"/>
      <c r="DH16" s="100"/>
      <c r="DI16" s="100"/>
      <c r="DJ16" s="100"/>
      <c r="DK16" s="100"/>
      <c r="DL16" s="100"/>
      <c r="DM16" s="100"/>
      <c r="DN16" s="100"/>
      <c r="DP16" s="109"/>
      <c r="DQ16" s="100"/>
      <c r="DT16" s="396">
        <v>1</v>
      </c>
      <c r="DU16" s="102">
        <f t="shared" si="12"/>
        <v>2</v>
      </c>
      <c r="DV16" s="102">
        <f t="shared" si="12"/>
        <v>3</v>
      </c>
      <c r="DW16" s="102">
        <f t="shared" si="12"/>
        <v>4</v>
      </c>
      <c r="DX16" s="102">
        <f t="shared" si="12"/>
        <v>5</v>
      </c>
      <c r="DY16" s="102">
        <f t="shared" si="12"/>
        <v>6</v>
      </c>
      <c r="DZ16" s="102">
        <f t="shared" si="12"/>
        <v>7</v>
      </c>
      <c r="EA16" s="102">
        <f t="shared" si="12"/>
        <v>8</v>
      </c>
      <c r="EB16" s="102">
        <f t="shared" si="12"/>
        <v>9</v>
      </c>
      <c r="EC16" s="102">
        <f t="shared" si="12"/>
        <v>10</v>
      </c>
      <c r="ED16" s="102">
        <f t="shared" si="12"/>
        <v>11</v>
      </c>
      <c r="EE16" s="102">
        <f t="shared" si="12"/>
        <v>12</v>
      </c>
      <c r="EF16" s="102">
        <f t="shared" si="12"/>
        <v>13</v>
      </c>
      <c r="EG16" s="102">
        <f t="shared" si="12"/>
        <v>14</v>
      </c>
      <c r="EH16" s="102">
        <f t="shared" si="13"/>
        <v>15</v>
      </c>
      <c r="EI16" s="102">
        <f t="shared" si="13"/>
        <v>16</v>
      </c>
      <c r="EJ16" s="102">
        <f t="shared" si="13"/>
        <v>17</v>
      </c>
      <c r="EK16" s="102">
        <f t="shared" si="13"/>
        <v>18</v>
      </c>
      <c r="EL16" s="102">
        <f t="shared" si="13"/>
        <v>19</v>
      </c>
      <c r="EM16" s="102">
        <f t="shared" si="13"/>
        <v>20</v>
      </c>
      <c r="FP16" s="20"/>
      <c r="HP16" s="20"/>
      <c r="JP16" s="20"/>
      <c r="KU16" s="21"/>
      <c r="KV16" s="21"/>
      <c r="KW16" s="21"/>
      <c r="LO16" s="22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 s="21"/>
      <c r="MV16" s="21"/>
      <c r="MW16" s="21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 s="21"/>
    </row>
    <row r="17" spans="1:379" ht="15" thickBot="1">
      <c r="A17" s="107" t="s">
        <v>171</v>
      </c>
      <c r="B17" s="104" t="s">
        <v>172</v>
      </c>
      <c r="C17" s="105" t="s">
        <v>162</v>
      </c>
      <c r="D17" s="105" t="s">
        <v>168</v>
      </c>
      <c r="E17" s="106" t="s">
        <v>163</v>
      </c>
      <c r="F17" s="106" t="s">
        <v>147</v>
      </c>
      <c r="G17" s="64">
        <v>200</v>
      </c>
      <c r="H17" s="64">
        <v>20</v>
      </c>
      <c r="I17" s="64"/>
      <c r="J17" s="65">
        <v>600</v>
      </c>
      <c r="K17" s="65">
        <v>500</v>
      </c>
      <c r="L17" s="66">
        <f>SUM(G17:K17)</f>
        <v>1320</v>
      </c>
      <c r="M17" s="106"/>
      <c r="N17" s="107" t="s">
        <v>169</v>
      </c>
      <c r="O17" s="108" t="s">
        <v>173</v>
      </c>
      <c r="P17" s="20"/>
      <c r="BP17" s="20"/>
      <c r="DI17" s="100"/>
      <c r="DJ17" s="100"/>
      <c r="DK17" s="100"/>
      <c r="DL17" s="100"/>
      <c r="DM17" s="100"/>
      <c r="DN17" s="100"/>
      <c r="DP17" s="109"/>
      <c r="DQ17" s="100"/>
      <c r="DR17" s="100"/>
      <c r="DS17" s="100"/>
      <c r="DX17" s="396">
        <v>1</v>
      </c>
      <c r="DY17" s="102">
        <f t="shared" si="12"/>
        <v>2</v>
      </c>
      <c r="DZ17" s="102">
        <f t="shared" si="12"/>
        <v>3</v>
      </c>
      <c r="EA17" s="102">
        <f t="shared" si="12"/>
        <v>4</v>
      </c>
      <c r="EB17" s="102">
        <f t="shared" si="12"/>
        <v>5</v>
      </c>
      <c r="EC17" s="102">
        <f t="shared" si="12"/>
        <v>6</v>
      </c>
      <c r="ED17" s="102">
        <f t="shared" si="12"/>
        <v>7</v>
      </c>
      <c r="EE17" s="102">
        <f t="shared" si="12"/>
        <v>8</v>
      </c>
      <c r="EF17" s="102">
        <f t="shared" si="12"/>
        <v>9</v>
      </c>
      <c r="EG17" s="102">
        <f t="shared" si="12"/>
        <v>10</v>
      </c>
      <c r="EH17" s="102">
        <f t="shared" si="13"/>
        <v>11</v>
      </c>
      <c r="EI17" s="102">
        <f t="shared" si="13"/>
        <v>12</v>
      </c>
      <c r="EJ17" s="102">
        <f t="shared" si="13"/>
        <v>13</v>
      </c>
      <c r="EK17" s="102">
        <f t="shared" si="13"/>
        <v>14</v>
      </c>
      <c r="EL17" s="102">
        <f t="shared" si="13"/>
        <v>15</v>
      </c>
      <c r="EM17" s="102">
        <f t="shared" si="13"/>
        <v>16</v>
      </c>
      <c r="EN17" s="102">
        <f t="shared" si="13"/>
        <v>17</v>
      </c>
      <c r="EO17" s="102">
        <f t="shared" si="13"/>
        <v>18</v>
      </c>
      <c r="EP17" s="102">
        <f t="shared" si="13"/>
        <v>19</v>
      </c>
      <c r="EQ17" s="102">
        <f t="shared" si="13"/>
        <v>20</v>
      </c>
      <c r="FP17" s="20"/>
      <c r="HP17" s="20"/>
      <c r="JP17" s="20"/>
      <c r="KU17" s="21"/>
      <c r="KV17" s="21"/>
      <c r="KW17" s="21"/>
      <c r="LO17" s="22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 s="21"/>
      <c r="MV17" s="21"/>
      <c r="MW17" s="21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 s="21"/>
    </row>
    <row r="18" spans="1:379" ht="15" hidden="1" thickBot="1">
      <c r="A18" s="106" t="s">
        <v>143</v>
      </c>
      <c r="B18" s="106"/>
      <c r="C18" s="105" t="s">
        <v>174</v>
      </c>
      <c r="D18" s="60" t="s">
        <v>145</v>
      </c>
      <c r="E18" s="106" t="s">
        <v>175</v>
      </c>
      <c r="F18" s="106" t="s">
        <v>176</v>
      </c>
      <c r="G18" s="64">
        <v>80</v>
      </c>
      <c r="H18" s="110"/>
      <c r="I18" s="110"/>
      <c r="J18" s="65">
        <v>300</v>
      </c>
      <c r="K18" s="110"/>
      <c r="L18" s="66">
        <f t="shared" si="2"/>
        <v>380</v>
      </c>
      <c r="M18" s="106"/>
      <c r="N18" s="107" t="s">
        <v>177</v>
      </c>
      <c r="O18" s="95" t="s">
        <v>178</v>
      </c>
      <c r="P18" s="20"/>
      <c r="BP18" s="20"/>
      <c r="DP18" s="20"/>
      <c r="EY18" s="102">
        <v>1</v>
      </c>
      <c r="EZ18" s="102">
        <f t="shared" ref="EZ18:FO24" si="14">EY18+1</f>
        <v>2</v>
      </c>
      <c r="FA18" s="102">
        <f t="shared" si="14"/>
        <v>3</v>
      </c>
      <c r="FB18" s="102">
        <f t="shared" si="14"/>
        <v>4</v>
      </c>
      <c r="FC18" s="102">
        <f t="shared" si="14"/>
        <v>5</v>
      </c>
      <c r="FD18" s="102">
        <f t="shared" si="14"/>
        <v>6</v>
      </c>
      <c r="FE18" s="102">
        <f t="shared" si="14"/>
        <v>7</v>
      </c>
      <c r="FF18" s="102">
        <f t="shared" si="14"/>
        <v>8</v>
      </c>
      <c r="FG18" s="102">
        <f t="shared" si="14"/>
        <v>9</v>
      </c>
      <c r="FH18" s="102">
        <f t="shared" si="14"/>
        <v>10</v>
      </c>
      <c r="FI18" s="102">
        <f t="shared" si="14"/>
        <v>11</v>
      </c>
      <c r="FJ18" s="102">
        <f t="shared" si="14"/>
        <v>12</v>
      </c>
      <c r="FK18" s="102">
        <f t="shared" si="14"/>
        <v>13</v>
      </c>
      <c r="FL18" s="102">
        <f t="shared" si="14"/>
        <v>14</v>
      </c>
      <c r="FM18" s="102">
        <f t="shared" si="14"/>
        <v>15</v>
      </c>
      <c r="FN18" s="23"/>
      <c r="FP18" s="20"/>
      <c r="HP18" s="20"/>
      <c r="JP18" s="20"/>
      <c r="KU18" s="21"/>
      <c r="KV18" s="21"/>
      <c r="KW18" s="21"/>
      <c r="LO18" s="22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 s="21"/>
      <c r="MV18" s="21"/>
      <c r="MW18" s="21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 s="21"/>
    </row>
    <row r="19" spans="1:379" ht="15" hidden="1" thickBot="1">
      <c r="A19" s="106" t="s">
        <v>143</v>
      </c>
      <c r="B19" s="106"/>
      <c r="C19" s="105" t="s">
        <v>174</v>
      </c>
      <c r="D19" s="60" t="s">
        <v>145</v>
      </c>
      <c r="E19" s="106" t="s">
        <v>175</v>
      </c>
      <c r="F19" s="106" t="s">
        <v>176</v>
      </c>
      <c r="G19" s="64">
        <v>80</v>
      </c>
      <c r="H19" s="110"/>
      <c r="I19" s="110"/>
      <c r="J19" s="65">
        <v>300</v>
      </c>
      <c r="K19" s="110"/>
      <c r="L19" s="66">
        <f t="shared" si="2"/>
        <v>380</v>
      </c>
      <c r="M19" s="106"/>
      <c r="N19" s="107" t="s">
        <v>177</v>
      </c>
      <c r="O19" s="95" t="s">
        <v>179</v>
      </c>
      <c r="P19" s="20"/>
      <c r="BP19" s="20"/>
      <c r="DP19" s="20"/>
      <c r="FA19" s="102">
        <v>1</v>
      </c>
      <c r="FB19" s="102">
        <f t="shared" si="14"/>
        <v>2</v>
      </c>
      <c r="FC19" s="102">
        <f t="shared" si="14"/>
        <v>3</v>
      </c>
      <c r="FD19" s="102">
        <f t="shared" si="14"/>
        <v>4</v>
      </c>
      <c r="FE19" s="102">
        <f t="shared" si="14"/>
        <v>5</v>
      </c>
      <c r="FF19" s="102">
        <f t="shared" si="14"/>
        <v>6</v>
      </c>
      <c r="FG19" s="102">
        <f t="shared" si="14"/>
        <v>7</v>
      </c>
      <c r="FH19" s="102">
        <f t="shared" si="14"/>
        <v>8</v>
      </c>
      <c r="FI19" s="102">
        <f t="shared" si="14"/>
        <v>9</v>
      </c>
      <c r="FJ19" s="102">
        <f t="shared" si="14"/>
        <v>10</v>
      </c>
      <c r="FK19" s="102">
        <f t="shared" si="14"/>
        <v>11</v>
      </c>
      <c r="FL19" s="102">
        <f t="shared" si="14"/>
        <v>12</v>
      </c>
      <c r="FM19" s="102">
        <f t="shared" si="14"/>
        <v>13</v>
      </c>
      <c r="FN19" s="102">
        <f t="shared" si="14"/>
        <v>14</v>
      </c>
      <c r="FO19" s="102">
        <f t="shared" si="14"/>
        <v>15</v>
      </c>
      <c r="FP19" s="20"/>
      <c r="HP19" s="20"/>
      <c r="JP19" s="20"/>
      <c r="KU19" s="21"/>
      <c r="KV19" s="21"/>
      <c r="KW19" s="21"/>
      <c r="LO19" s="22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 s="21"/>
      <c r="MV19" s="21"/>
      <c r="MW19" s="21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 s="21"/>
    </row>
    <row r="20" spans="1:379" ht="15" hidden="1" thickBot="1">
      <c r="A20" s="106" t="s">
        <v>143</v>
      </c>
      <c r="B20" s="106"/>
      <c r="C20" s="105" t="s">
        <v>174</v>
      </c>
      <c r="D20" s="60" t="s">
        <v>145</v>
      </c>
      <c r="E20" s="106" t="s">
        <v>175</v>
      </c>
      <c r="F20" s="106" t="s">
        <v>176</v>
      </c>
      <c r="G20" s="64">
        <v>80</v>
      </c>
      <c r="H20" s="110"/>
      <c r="I20" s="110"/>
      <c r="J20" s="65">
        <v>300</v>
      </c>
      <c r="K20" s="110"/>
      <c r="L20" s="66">
        <f t="shared" si="2"/>
        <v>380</v>
      </c>
      <c r="M20" s="106"/>
      <c r="N20" s="107" t="s">
        <v>177</v>
      </c>
      <c r="O20" s="95" t="s">
        <v>180</v>
      </c>
      <c r="P20" s="20"/>
      <c r="BP20" s="20"/>
      <c r="DP20" s="20"/>
      <c r="FC20" s="102">
        <v>1</v>
      </c>
      <c r="FD20" s="102">
        <f t="shared" si="14"/>
        <v>2</v>
      </c>
      <c r="FE20" s="102">
        <f t="shared" si="14"/>
        <v>3</v>
      </c>
      <c r="FF20" s="102">
        <f t="shared" si="14"/>
        <v>4</v>
      </c>
      <c r="FG20" s="102">
        <f t="shared" si="14"/>
        <v>5</v>
      </c>
      <c r="FH20" s="102">
        <f t="shared" si="14"/>
        <v>6</v>
      </c>
      <c r="FI20" s="102">
        <f t="shared" si="14"/>
        <v>7</v>
      </c>
      <c r="FJ20" s="102">
        <f t="shared" si="14"/>
        <v>8</v>
      </c>
      <c r="FK20" s="102">
        <f t="shared" si="14"/>
        <v>9</v>
      </c>
      <c r="FL20" s="102">
        <f t="shared" si="14"/>
        <v>10</v>
      </c>
      <c r="FM20" s="102">
        <f t="shared" si="14"/>
        <v>11</v>
      </c>
      <c r="FN20" s="102">
        <f t="shared" si="14"/>
        <v>12</v>
      </c>
      <c r="FO20" s="102">
        <f t="shared" si="14"/>
        <v>13</v>
      </c>
      <c r="FP20" s="101">
        <f t="shared" ref="FP20:FS24" si="15">FO20+1</f>
        <v>14</v>
      </c>
      <c r="FQ20" s="102">
        <f t="shared" si="15"/>
        <v>15</v>
      </c>
      <c r="HP20" s="20"/>
      <c r="JP20" s="20"/>
      <c r="KU20" s="21"/>
      <c r="KV20" s="21"/>
      <c r="KW20" s="21"/>
      <c r="LO20" s="22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 s="21"/>
      <c r="MV20" s="21"/>
      <c r="MW20" s="21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 s="21"/>
    </row>
    <row r="21" spans="1:379" ht="15" hidden="1" thickBot="1">
      <c r="A21" s="106" t="s">
        <v>143</v>
      </c>
      <c r="B21" s="106"/>
      <c r="C21" s="105" t="s">
        <v>174</v>
      </c>
      <c r="D21" s="60" t="s">
        <v>145</v>
      </c>
      <c r="E21" s="106" t="s">
        <v>175</v>
      </c>
      <c r="F21" s="106" t="s">
        <v>176</v>
      </c>
      <c r="G21" s="64">
        <v>80</v>
      </c>
      <c r="H21" s="110"/>
      <c r="I21" s="110"/>
      <c r="J21" s="65">
        <v>300</v>
      </c>
      <c r="K21" s="110"/>
      <c r="L21" s="66">
        <f t="shared" si="2"/>
        <v>380</v>
      </c>
      <c r="M21" s="106"/>
      <c r="N21" s="107" t="s">
        <v>177</v>
      </c>
      <c r="O21" s="95" t="s">
        <v>181</v>
      </c>
      <c r="P21" s="20"/>
      <c r="BP21" s="20"/>
      <c r="DP21" s="20"/>
      <c r="FC21" s="102">
        <v>1</v>
      </c>
      <c r="FD21" s="102">
        <f t="shared" si="14"/>
        <v>2</v>
      </c>
      <c r="FE21" s="102">
        <f t="shared" si="14"/>
        <v>3</v>
      </c>
      <c r="FF21" s="102">
        <f t="shared" si="14"/>
        <v>4</v>
      </c>
      <c r="FG21" s="102">
        <f t="shared" si="14"/>
        <v>5</v>
      </c>
      <c r="FH21" s="102">
        <f t="shared" si="14"/>
        <v>6</v>
      </c>
      <c r="FI21" s="102">
        <f t="shared" si="14"/>
        <v>7</v>
      </c>
      <c r="FJ21" s="102">
        <f t="shared" si="14"/>
        <v>8</v>
      </c>
      <c r="FK21" s="102">
        <f t="shared" si="14"/>
        <v>9</v>
      </c>
      <c r="FL21" s="102">
        <f t="shared" si="14"/>
        <v>10</v>
      </c>
      <c r="FM21" s="102">
        <f t="shared" si="14"/>
        <v>11</v>
      </c>
      <c r="FN21" s="102">
        <f t="shared" si="14"/>
        <v>12</v>
      </c>
      <c r="FO21" s="102">
        <f t="shared" si="14"/>
        <v>13</v>
      </c>
      <c r="FP21" s="101">
        <f t="shared" si="15"/>
        <v>14</v>
      </c>
      <c r="FQ21" s="102">
        <f t="shared" si="15"/>
        <v>15</v>
      </c>
      <c r="HP21" s="20"/>
      <c r="JP21" s="20"/>
      <c r="KU21" s="21"/>
      <c r="KV21" s="21"/>
      <c r="KW21" s="21"/>
      <c r="LO21" s="22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 s="21"/>
      <c r="MV21" s="21"/>
      <c r="MW21" s="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 s="21"/>
    </row>
    <row r="22" spans="1:379" ht="15" hidden="1" thickBot="1">
      <c r="A22" s="106" t="s">
        <v>143</v>
      </c>
      <c r="B22" s="106"/>
      <c r="C22" s="105" t="s">
        <v>174</v>
      </c>
      <c r="D22" s="60" t="s">
        <v>145</v>
      </c>
      <c r="E22" s="106" t="s">
        <v>175</v>
      </c>
      <c r="F22" s="106" t="s">
        <v>176</v>
      </c>
      <c r="G22" s="64">
        <v>80</v>
      </c>
      <c r="H22" s="110"/>
      <c r="I22" s="110"/>
      <c r="J22" s="65">
        <v>300</v>
      </c>
      <c r="K22" s="110"/>
      <c r="L22" s="66">
        <f t="shared" si="2"/>
        <v>380</v>
      </c>
      <c r="M22" s="106"/>
      <c r="N22" s="107" t="s">
        <v>177</v>
      </c>
      <c r="O22" s="95" t="s">
        <v>182</v>
      </c>
      <c r="P22" s="20"/>
      <c r="BP22" s="20"/>
      <c r="DP22" s="20"/>
      <c r="FE22" s="102">
        <v>1</v>
      </c>
      <c r="FF22" s="102">
        <f t="shared" si="14"/>
        <v>2</v>
      </c>
      <c r="FG22" s="102">
        <f t="shared" si="14"/>
        <v>3</v>
      </c>
      <c r="FH22" s="102">
        <f t="shared" si="14"/>
        <v>4</v>
      </c>
      <c r="FI22" s="102">
        <f t="shared" si="14"/>
        <v>5</v>
      </c>
      <c r="FJ22" s="102">
        <f t="shared" si="14"/>
        <v>6</v>
      </c>
      <c r="FK22" s="102">
        <f t="shared" si="14"/>
        <v>7</v>
      </c>
      <c r="FL22" s="102">
        <f t="shared" si="14"/>
        <v>8</v>
      </c>
      <c r="FM22" s="102">
        <f t="shared" si="14"/>
        <v>9</v>
      </c>
      <c r="FN22" s="102">
        <f t="shared" si="14"/>
        <v>10</v>
      </c>
      <c r="FO22" s="102">
        <f t="shared" si="14"/>
        <v>11</v>
      </c>
      <c r="FP22" s="101">
        <f t="shared" si="15"/>
        <v>12</v>
      </c>
      <c r="FQ22" s="102">
        <f t="shared" si="15"/>
        <v>13</v>
      </c>
      <c r="FR22" s="102">
        <f t="shared" si="15"/>
        <v>14</v>
      </c>
      <c r="FS22" s="102">
        <f t="shared" si="15"/>
        <v>15</v>
      </c>
      <c r="HP22" s="20"/>
      <c r="JP22" s="20"/>
      <c r="KU22" s="21"/>
      <c r="KV22" s="21"/>
      <c r="KW22" s="21"/>
      <c r="LO22" s="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 s="21"/>
      <c r="MV22" s="21"/>
      <c r="MW22" s="21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 s="21"/>
    </row>
    <row r="23" spans="1:379" ht="15" hidden="1" thickBot="1">
      <c r="A23" s="106" t="s">
        <v>143</v>
      </c>
      <c r="B23" s="106"/>
      <c r="C23" s="105" t="s">
        <v>174</v>
      </c>
      <c r="D23" s="60" t="s">
        <v>145</v>
      </c>
      <c r="E23" s="106" t="s">
        <v>175</v>
      </c>
      <c r="F23" s="106" t="s">
        <v>176</v>
      </c>
      <c r="G23" s="64">
        <v>80</v>
      </c>
      <c r="H23" s="64"/>
      <c r="I23" s="64"/>
      <c r="J23" s="65">
        <v>300</v>
      </c>
      <c r="K23" s="64"/>
      <c r="L23" s="66">
        <f t="shared" si="2"/>
        <v>380</v>
      </c>
      <c r="M23" s="106"/>
      <c r="N23" s="107" t="s">
        <v>177</v>
      </c>
      <c r="O23" s="95" t="s">
        <v>183</v>
      </c>
      <c r="P23" s="20"/>
      <c r="BP23" s="20"/>
      <c r="DP23" s="20"/>
      <c r="FE23" s="102">
        <v>1</v>
      </c>
      <c r="FF23" s="102">
        <f t="shared" si="14"/>
        <v>2</v>
      </c>
      <c r="FG23" s="102">
        <f t="shared" si="14"/>
        <v>3</v>
      </c>
      <c r="FH23" s="102">
        <f t="shared" si="14"/>
        <v>4</v>
      </c>
      <c r="FI23" s="102">
        <f t="shared" si="14"/>
        <v>5</v>
      </c>
      <c r="FJ23" s="102">
        <f t="shared" si="14"/>
        <v>6</v>
      </c>
      <c r="FK23" s="102">
        <f t="shared" si="14"/>
        <v>7</v>
      </c>
      <c r="FL23" s="102">
        <f t="shared" si="14"/>
        <v>8</v>
      </c>
      <c r="FM23" s="102">
        <f t="shared" si="14"/>
        <v>9</v>
      </c>
      <c r="FN23" s="102">
        <f t="shared" si="14"/>
        <v>10</v>
      </c>
      <c r="FO23" s="102">
        <f t="shared" si="14"/>
        <v>11</v>
      </c>
      <c r="FP23" s="101">
        <f t="shared" si="15"/>
        <v>12</v>
      </c>
      <c r="FQ23" s="102">
        <f t="shared" si="15"/>
        <v>13</v>
      </c>
      <c r="FR23" s="102">
        <f t="shared" si="15"/>
        <v>14</v>
      </c>
      <c r="FS23" s="102">
        <f t="shared" si="15"/>
        <v>15</v>
      </c>
      <c r="HP23" s="20"/>
      <c r="JP23" s="20"/>
      <c r="KU23" s="21"/>
      <c r="KV23" s="21"/>
      <c r="KW23" s="21"/>
      <c r="LO23" s="22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 s="21"/>
      <c r="MV23" s="21"/>
      <c r="MW23" s="21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 s="21"/>
    </row>
    <row r="24" spans="1:379" ht="15" hidden="1" thickBot="1">
      <c r="A24" s="106" t="s">
        <v>143</v>
      </c>
      <c r="B24" s="106"/>
      <c r="C24" s="105" t="s">
        <v>174</v>
      </c>
      <c r="D24" s="60" t="s">
        <v>145</v>
      </c>
      <c r="E24" s="106" t="s">
        <v>175</v>
      </c>
      <c r="F24" s="106" t="s">
        <v>176</v>
      </c>
      <c r="G24" s="64">
        <v>80</v>
      </c>
      <c r="H24" s="64"/>
      <c r="I24" s="64"/>
      <c r="J24" s="65">
        <v>300</v>
      </c>
      <c r="K24" s="64"/>
      <c r="L24" s="66">
        <f t="shared" si="2"/>
        <v>380</v>
      </c>
      <c r="M24" s="106"/>
      <c r="N24" s="107" t="s">
        <v>177</v>
      </c>
      <c r="O24" s="95" t="s">
        <v>184</v>
      </c>
      <c r="P24" s="20"/>
      <c r="BP24" s="20"/>
      <c r="DP24" s="20"/>
      <c r="FE24" s="102">
        <v>1</v>
      </c>
      <c r="FF24" s="102">
        <f t="shared" si="14"/>
        <v>2</v>
      </c>
      <c r="FG24" s="102">
        <f t="shared" si="14"/>
        <v>3</v>
      </c>
      <c r="FH24" s="102">
        <f t="shared" si="14"/>
        <v>4</v>
      </c>
      <c r="FI24" s="102">
        <f t="shared" si="14"/>
        <v>5</v>
      </c>
      <c r="FJ24" s="102">
        <f t="shared" si="14"/>
        <v>6</v>
      </c>
      <c r="FK24" s="102">
        <f t="shared" si="14"/>
        <v>7</v>
      </c>
      <c r="FL24" s="102">
        <f t="shared" si="14"/>
        <v>8</v>
      </c>
      <c r="FM24" s="102">
        <f t="shared" si="14"/>
        <v>9</v>
      </c>
      <c r="FN24" s="102">
        <f t="shared" si="14"/>
        <v>10</v>
      </c>
      <c r="FO24" s="102">
        <f t="shared" si="14"/>
        <v>11</v>
      </c>
      <c r="FP24" s="101">
        <f t="shared" si="15"/>
        <v>12</v>
      </c>
      <c r="FQ24" s="102">
        <f t="shared" si="15"/>
        <v>13</v>
      </c>
      <c r="FR24" s="102">
        <f t="shared" si="15"/>
        <v>14</v>
      </c>
      <c r="FS24" s="102">
        <f t="shared" si="15"/>
        <v>15</v>
      </c>
      <c r="HP24" s="20"/>
      <c r="JP24" s="20"/>
      <c r="KU24" s="21"/>
      <c r="KV24" s="21"/>
      <c r="KW24" s="21"/>
      <c r="LO24" s="22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 s="21"/>
      <c r="MV24" s="21"/>
      <c r="MW24" s="21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 s="21"/>
    </row>
    <row r="25" spans="1:379" ht="15" hidden="1" thickBot="1">
      <c r="A25" s="106" t="s">
        <v>143</v>
      </c>
      <c r="B25" s="111" t="s">
        <v>185</v>
      </c>
      <c r="C25" s="105" t="s">
        <v>174</v>
      </c>
      <c r="D25" s="105" t="s">
        <v>145</v>
      </c>
      <c r="E25" s="106" t="s">
        <v>175</v>
      </c>
      <c r="F25" s="112"/>
      <c r="G25" s="113"/>
      <c r="H25" s="113"/>
      <c r="I25" s="113"/>
      <c r="J25" s="113"/>
      <c r="K25" s="113"/>
      <c r="L25" s="66">
        <f t="shared" si="2"/>
        <v>0</v>
      </c>
      <c r="M25" s="106"/>
      <c r="N25" s="114"/>
      <c r="O25" s="115" t="s">
        <v>138</v>
      </c>
      <c r="P25" s="20"/>
      <c r="BP25" s="20"/>
      <c r="DP25" s="20"/>
      <c r="FP25" s="20"/>
      <c r="HP25" s="20"/>
      <c r="JP25" s="20"/>
      <c r="KU25" s="21"/>
      <c r="KV25" s="21"/>
      <c r="KW25" s="21"/>
      <c r="LO25" s="22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 s="21"/>
      <c r="MV25" s="21"/>
      <c r="MW25" s="21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 s="21"/>
    </row>
    <row r="26" spans="1:379" ht="15" thickBot="1">
      <c r="A26" s="24" t="s">
        <v>186</v>
      </c>
      <c r="B26" s="50"/>
      <c r="C26" s="51" t="s">
        <v>138</v>
      </c>
      <c r="D26" s="51"/>
      <c r="E26" s="52" t="s">
        <v>138</v>
      </c>
      <c r="F26" s="53"/>
      <c r="G26" s="54"/>
      <c r="H26" s="54"/>
      <c r="I26" s="54"/>
      <c r="J26" s="54"/>
      <c r="K26" s="54"/>
      <c r="L26" s="55"/>
      <c r="M26" s="52"/>
      <c r="N26" s="56"/>
      <c r="O26" s="57" t="s">
        <v>138</v>
      </c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4"/>
      <c r="AV26" s="34"/>
      <c r="AW26" s="34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4"/>
      <c r="BP26" s="32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4"/>
      <c r="CV26" s="34"/>
      <c r="CW26" s="34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4"/>
      <c r="DP26" s="32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4"/>
      <c r="EV26" s="34"/>
      <c r="EW26" s="34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 t="s">
        <v>139</v>
      </c>
      <c r="FI26" s="33"/>
      <c r="FJ26" s="33"/>
      <c r="FK26" s="33"/>
      <c r="FL26" s="33"/>
      <c r="FM26" s="33"/>
      <c r="FN26" s="33"/>
      <c r="FO26" s="34"/>
      <c r="FP26" s="32"/>
      <c r="FQ26" s="33"/>
      <c r="FR26" s="33"/>
      <c r="FS26" s="33"/>
      <c r="FT26" s="33"/>
      <c r="FU26" s="33"/>
      <c r="FV26" s="33"/>
      <c r="FW26" s="33"/>
      <c r="FX26" s="33"/>
      <c r="FY26" s="33" t="s">
        <v>187</v>
      </c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4"/>
      <c r="GV26" s="34"/>
      <c r="GW26" s="34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4"/>
      <c r="HP26" s="32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 t="s">
        <v>142</v>
      </c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4"/>
      <c r="IV26" s="34"/>
      <c r="IW26" s="34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4"/>
      <c r="JP26" s="32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4"/>
      <c r="KV26" s="34"/>
      <c r="KW26" s="34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5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4"/>
      <c r="MV26" s="34"/>
      <c r="MW26" s="34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4"/>
    </row>
    <row r="27" spans="1:379" ht="14.45">
      <c r="A27" s="58" t="s">
        <v>188</v>
      </c>
      <c r="B27" s="116" t="s">
        <v>189</v>
      </c>
      <c r="C27" s="105" t="s">
        <v>150</v>
      </c>
      <c r="D27" s="105" t="s">
        <v>168</v>
      </c>
      <c r="E27" s="58" t="s">
        <v>190</v>
      </c>
      <c r="F27" s="58" t="s">
        <v>147</v>
      </c>
      <c r="G27" s="117">
        <v>1500</v>
      </c>
      <c r="H27" s="117">
        <v>120</v>
      </c>
      <c r="I27" s="117">
        <v>120</v>
      </c>
      <c r="J27" s="118">
        <v>1100</v>
      </c>
      <c r="K27" s="117">
        <v>0</v>
      </c>
      <c r="L27" s="119">
        <f t="shared" ref="L27:L35" si="16">SUM(G27:K27)</f>
        <v>2840</v>
      </c>
      <c r="M27" s="61"/>
      <c r="N27" s="120" t="s">
        <v>191</v>
      </c>
      <c r="O27" s="121" t="s">
        <v>192</v>
      </c>
      <c r="P27" s="20"/>
      <c r="BP27" s="20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72">
        <v>1</v>
      </c>
      <c r="CG27" s="72">
        <f>CF27+1</f>
        <v>2</v>
      </c>
      <c r="CH27" s="72">
        <f t="shared" ref="CH27:DN27" si="17">CG27+1</f>
        <v>3</v>
      </c>
      <c r="CI27" s="72">
        <f t="shared" si="17"/>
        <v>4</v>
      </c>
      <c r="CJ27" s="72">
        <f t="shared" si="17"/>
        <v>5</v>
      </c>
      <c r="CK27" s="72">
        <f t="shared" si="17"/>
        <v>6</v>
      </c>
      <c r="CL27" s="72">
        <f t="shared" si="17"/>
        <v>7</v>
      </c>
      <c r="CM27" s="72">
        <f t="shared" si="17"/>
        <v>8</v>
      </c>
      <c r="CN27" s="72">
        <f t="shared" si="17"/>
        <v>9</v>
      </c>
      <c r="CO27" s="72">
        <f t="shared" si="17"/>
        <v>10</v>
      </c>
      <c r="CP27" s="72">
        <f t="shared" si="17"/>
        <v>11</v>
      </c>
      <c r="CQ27" s="72">
        <f t="shared" si="17"/>
        <v>12</v>
      </c>
      <c r="CR27" s="72">
        <f t="shared" si="17"/>
        <v>13</v>
      </c>
      <c r="CS27" s="72">
        <f t="shared" si="17"/>
        <v>14</v>
      </c>
      <c r="CT27" s="72">
        <f t="shared" si="17"/>
        <v>15</v>
      </c>
      <c r="CU27" s="122"/>
      <c r="CV27" s="122"/>
      <c r="CW27" s="122"/>
      <c r="CX27" s="395">
        <f>CT27+1</f>
        <v>16</v>
      </c>
      <c r="CY27" s="72">
        <f t="shared" si="17"/>
        <v>17</v>
      </c>
      <c r="CZ27" s="72">
        <f t="shared" si="17"/>
        <v>18</v>
      </c>
      <c r="DA27" s="72">
        <f t="shared" si="17"/>
        <v>19</v>
      </c>
      <c r="DB27" s="72">
        <f t="shared" si="17"/>
        <v>20</v>
      </c>
      <c r="DC27" s="72">
        <f t="shared" si="17"/>
        <v>21</v>
      </c>
      <c r="DD27" s="72">
        <f t="shared" si="17"/>
        <v>22</v>
      </c>
      <c r="DE27" s="72">
        <f t="shared" si="17"/>
        <v>23</v>
      </c>
      <c r="DF27" s="72">
        <f t="shared" si="17"/>
        <v>24</v>
      </c>
      <c r="DG27" s="72">
        <f t="shared" si="17"/>
        <v>25</v>
      </c>
      <c r="DH27" s="72">
        <f t="shared" si="17"/>
        <v>26</v>
      </c>
      <c r="DI27" s="72">
        <f t="shared" si="17"/>
        <v>27</v>
      </c>
      <c r="DJ27" s="72">
        <f t="shared" si="17"/>
        <v>28</v>
      </c>
      <c r="DK27" s="72">
        <f t="shared" si="17"/>
        <v>29</v>
      </c>
      <c r="DL27" s="72">
        <f t="shared" si="17"/>
        <v>30</v>
      </c>
      <c r="DM27" s="72">
        <f t="shared" si="17"/>
        <v>31</v>
      </c>
      <c r="DN27" s="72">
        <f t="shared" si="17"/>
        <v>32</v>
      </c>
      <c r="DP27" s="123">
        <f>DN27+1</f>
        <v>33</v>
      </c>
      <c r="DQ27" s="72">
        <f>DP27+1</f>
        <v>34</v>
      </c>
      <c r="DR27" s="72">
        <f>DQ27+1</f>
        <v>35</v>
      </c>
      <c r="DS27" s="124"/>
      <c r="DT27" s="124"/>
      <c r="DU27" s="89"/>
      <c r="DV27" s="89"/>
      <c r="DW27" s="89"/>
      <c r="DX27" s="89"/>
      <c r="FP27" s="20"/>
      <c r="HP27" s="20"/>
      <c r="JP27" s="20"/>
      <c r="KU27" s="21"/>
      <c r="KV27" s="21"/>
      <c r="KW27" s="21"/>
      <c r="LO27" s="22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 s="21"/>
      <c r="MV27" s="21"/>
      <c r="MW27" s="21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 s="21"/>
    </row>
    <row r="28" spans="1:379" ht="15" thickBot="1">
      <c r="A28" s="58" t="s">
        <v>188</v>
      </c>
      <c r="B28" s="125" t="s">
        <v>193</v>
      </c>
      <c r="C28" s="105" t="s">
        <v>150</v>
      </c>
      <c r="D28" s="105" t="s">
        <v>168</v>
      </c>
      <c r="E28" s="58" t="s">
        <v>194</v>
      </c>
      <c r="F28" s="58" t="s">
        <v>147</v>
      </c>
      <c r="G28" s="64">
        <v>1200</v>
      </c>
      <c r="H28" s="64">
        <v>120</v>
      </c>
      <c r="I28" s="64">
        <v>50</v>
      </c>
      <c r="J28" s="65">
        <v>600</v>
      </c>
      <c r="K28" s="64">
        <v>0</v>
      </c>
      <c r="L28" s="66">
        <f t="shared" si="16"/>
        <v>1970</v>
      </c>
      <c r="M28" s="58"/>
      <c r="N28" s="126" t="s">
        <v>195</v>
      </c>
      <c r="O28" s="95" t="s">
        <v>196</v>
      </c>
      <c r="P28" s="20"/>
      <c r="BP28" s="20"/>
      <c r="DG28" s="99"/>
      <c r="DH28" s="99"/>
      <c r="DI28" s="99"/>
      <c r="DJ28" s="99"/>
      <c r="DK28" s="99"/>
      <c r="DL28" s="99"/>
      <c r="DM28" s="99"/>
      <c r="DN28" s="99"/>
      <c r="DP28" s="127"/>
      <c r="DQ28" s="99"/>
      <c r="DR28" s="99"/>
      <c r="DS28" s="99"/>
      <c r="DT28" s="99"/>
      <c r="DU28" s="87">
        <f>DT28+1</f>
        <v>1</v>
      </c>
      <c r="DV28" s="87">
        <f t="shared" ref="DV28:ET28" si="18">DU28+1</f>
        <v>2</v>
      </c>
      <c r="DW28" s="87">
        <f t="shared" si="18"/>
        <v>3</v>
      </c>
      <c r="DX28" s="87">
        <f t="shared" si="18"/>
        <v>4</v>
      </c>
      <c r="DY28" s="87">
        <f t="shared" si="18"/>
        <v>5</v>
      </c>
      <c r="DZ28" s="87">
        <f t="shared" si="18"/>
        <v>6</v>
      </c>
      <c r="EA28" s="87">
        <f t="shared" si="18"/>
        <v>7</v>
      </c>
      <c r="EB28" s="87">
        <f t="shared" si="18"/>
        <v>8</v>
      </c>
      <c r="EC28" s="87">
        <f t="shared" si="18"/>
        <v>9</v>
      </c>
      <c r="ED28" s="87">
        <f t="shared" si="18"/>
        <v>10</v>
      </c>
      <c r="EE28" s="87">
        <f t="shared" si="18"/>
        <v>11</v>
      </c>
      <c r="EF28" s="87">
        <f t="shared" si="18"/>
        <v>12</v>
      </c>
      <c r="EG28" s="87">
        <f t="shared" si="18"/>
        <v>13</v>
      </c>
      <c r="EH28" s="87">
        <f t="shared" si="18"/>
        <v>14</v>
      </c>
      <c r="EI28" s="87">
        <f t="shared" si="18"/>
        <v>15</v>
      </c>
      <c r="EJ28" s="396">
        <f t="shared" si="18"/>
        <v>16</v>
      </c>
      <c r="EK28" s="87">
        <f t="shared" si="18"/>
        <v>17</v>
      </c>
      <c r="EL28" s="87">
        <f t="shared" si="18"/>
        <v>18</v>
      </c>
      <c r="EM28" s="87">
        <f t="shared" si="18"/>
        <v>19</v>
      </c>
      <c r="EN28" s="87">
        <f t="shared" si="18"/>
        <v>20</v>
      </c>
      <c r="EO28" s="87">
        <f t="shared" si="18"/>
        <v>21</v>
      </c>
      <c r="EP28" s="87">
        <f t="shared" si="18"/>
        <v>22</v>
      </c>
      <c r="EQ28" s="87">
        <f t="shared" si="18"/>
        <v>23</v>
      </c>
      <c r="ER28" s="87">
        <f t="shared" si="18"/>
        <v>24</v>
      </c>
      <c r="ES28" s="87">
        <f t="shared" si="18"/>
        <v>25</v>
      </c>
      <c r="ET28" s="87">
        <f t="shared" si="18"/>
        <v>26</v>
      </c>
      <c r="EX28" s="87">
        <f>ET28+1</f>
        <v>27</v>
      </c>
      <c r="EY28" s="87">
        <f>EX28+1</f>
        <v>28</v>
      </c>
      <c r="EZ28" s="87">
        <f t="shared" ref="EZ28:FB28" si="19">EY28+1</f>
        <v>29</v>
      </c>
      <c r="FA28" s="87">
        <f t="shared" si="19"/>
        <v>30</v>
      </c>
      <c r="FB28" s="87">
        <f t="shared" si="19"/>
        <v>31</v>
      </c>
      <c r="FC28" s="128"/>
      <c r="FD28" s="128"/>
      <c r="FE28" s="128"/>
      <c r="FF28" s="128"/>
      <c r="FG28" s="128"/>
      <c r="FP28" s="20"/>
      <c r="HP28" s="20"/>
      <c r="JP28" s="20"/>
      <c r="KU28" s="21"/>
      <c r="KV28" s="21"/>
      <c r="KW28" s="21"/>
      <c r="LO28" s="22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 s="21"/>
      <c r="MV28" s="21"/>
      <c r="MW28" s="21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 s="21"/>
    </row>
    <row r="29" spans="1:379" ht="29.45" thickBot="1">
      <c r="A29" s="129" t="s">
        <v>197</v>
      </c>
      <c r="B29" s="130" t="s">
        <v>198</v>
      </c>
      <c r="C29" s="131" t="s">
        <v>150</v>
      </c>
      <c r="D29" s="131" t="s">
        <v>168</v>
      </c>
      <c r="E29" s="132" t="s">
        <v>199</v>
      </c>
      <c r="F29" s="58"/>
      <c r="G29" s="64">
        <v>1200</v>
      </c>
      <c r="H29" s="64">
        <v>120</v>
      </c>
      <c r="I29" s="64">
        <v>50</v>
      </c>
      <c r="J29" s="64"/>
      <c r="K29" s="64">
        <v>0</v>
      </c>
      <c r="L29" s="95">
        <f t="shared" si="16"/>
        <v>1370</v>
      </c>
      <c r="M29" s="64">
        <f>-L29</f>
        <v>-1370</v>
      </c>
      <c r="N29" s="133" t="s">
        <v>156</v>
      </c>
      <c r="O29" s="134" t="s">
        <v>200</v>
      </c>
      <c r="P29" s="20"/>
      <c r="BP29" s="20"/>
      <c r="DP29" s="20"/>
      <c r="EC29" s="23"/>
      <c r="ED29" s="23"/>
      <c r="EE29" s="23"/>
      <c r="EF29" s="23"/>
      <c r="EG29" s="23"/>
      <c r="EH29" s="135"/>
      <c r="EI29" s="135"/>
      <c r="EJ29" s="135"/>
      <c r="EK29" s="135"/>
      <c r="EL29" s="135"/>
      <c r="EM29" s="135"/>
      <c r="EN29" s="135"/>
      <c r="EO29" s="135"/>
      <c r="EP29" s="135"/>
      <c r="EQ29" s="135"/>
      <c r="ER29" s="135"/>
      <c r="ES29" s="135"/>
      <c r="ET29" s="135"/>
      <c r="EX29" s="135"/>
      <c r="EY29" s="135"/>
      <c r="EZ29" s="135"/>
      <c r="FA29" s="135"/>
      <c r="FB29" s="135"/>
      <c r="FC29" s="135"/>
      <c r="FD29" s="135"/>
      <c r="FE29" s="135"/>
      <c r="FF29" s="135"/>
      <c r="FG29" s="135"/>
      <c r="FH29" s="128"/>
      <c r="FI29" s="128"/>
      <c r="FJ29" s="128"/>
      <c r="FK29" s="128"/>
      <c r="FL29" s="128"/>
      <c r="FP29" s="20"/>
      <c r="HP29" s="20"/>
      <c r="JP29" s="20"/>
      <c r="KU29" s="21"/>
      <c r="KV29" s="21"/>
      <c r="KW29" s="21"/>
      <c r="LO29" s="22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 s="21"/>
      <c r="MV29" s="21"/>
      <c r="MW29" s="21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 s="21"/>
    </row>
    <row r="30" spans="1:379" ht="14.45" hidden="1">
      <c r="A30" s="58" t="s">
        <v>188</v>
      </c>
      <c r="B30" s="85"/>
      <c r="C30" s="60" t="s">
        <v>174</v>
      </c>
      <c r="D30" s="60" t="s">
        <v>168</v>
      </c>
      <c r="E30" s="58" t="s">
        <v>175</v>
      </c>
      <c r="F30" s="58"/>
      <c r="G30" s="64"/>
      <c r="H30" s="64"/>
      <c r="I30" s="64"/>
      <c r="J30" s="64"/>
      <c r="K30" s="64"/>
      <c r="L30" s="66">
        <f t="shared" si="16"/>
        <v>0</v>
      </c>
      <c r="M30" s="58"/>
      <c r="N30" s="126" t="s">
        <v>177</v>
      </c>
      <c r="O30" s="95" t="s">
        <v>138</v>
      </c>
      <c r="P30" s="20"/>
      <c r="BP30" s="20"/>
      <c r="DP30" s="20"/>
      <c r="FP30" s="20"/>
      <c r="GS30" s="135" t="s">
        <v>201</v>
      </c>
      <c r="GT30" s="135"/>
      <c r="GX30" s="135"/>
      <c r="GY30" s="135"/>
      <c r="GZ30" s="135"/>
      <c r="HA30" s="135"/>
      <c r="HB30" s="135"/>
      <c r="HC30" s="135"/>
      <c r="HD30" s="135"/>
      <c r="HE30" s="135"/>
      <c r="HF30" s="135"/>
      <c r="HG30" s="135"/>
      <c r="HH30" s="135"/>
      <c r="HI30" s="135"/>
      <c r="HJ30" s="135"/>
      <c r="HP30" s="20"/>
      <c r="JP30" s="20"/>
      <c r="KU30" s="21"/>
      <c r="KV30" s="21"/>
      <c r="KW30" s="21"/>
      <c r="LO30" s="22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 s="21"/>
      <c r="MV30" s="21"/>
      <c r="MW30" s="21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 s="21"/>
    </row>
    <row r="31" spans="1:379" ht="14.45" hidden="1">
      <c r="A31" s="58" t="s">
        <v>188</v>
      </c>
      <c r="B31" s="111" t="s">
        <v>202</v>
      </c>
      <c r="C31" s="60" t="s">
        <v>174</v>
      </c>
      <c r="D31" s="60" t="s">
        <v>168</v>
      </c>
      <c r="E31" s="58" t="s">
        <v>175</v>
      </c>
      <c r="F31" s="58"/>
      <c r="G31" s="64"/>
      <c r="H31" s="64"/>
      <c r="I31" s="64"/>
      <c r="J31" s="64"/>
      <c r="K31" s="64"/>
      <c r="L31" s="66">
        <f t="shared" si="16"/>
        <v>0</v>
      </c>
      <c r="M31" s="58"/>
      <c r="N31" s="126" t="s">
        <v>177</v>
      </c>
      <c r="O31" s="95" t="s">
        <v>138</v>
      </c>
      <c r="P31" s="20"/>
      <c r="BP31" s="20"/>
      <c r="DP31" s="20"/>
      <c r="FP31" s="20"/>
      <c r="GY31" s="135"/>
      <c r="GZ31" s="135" t="s">
        <v>201</v>
      </c>
      <c r="HA31" s="135"/>
      <c r="HB31" s="135"/>
      <c r="HC31" s="135"/>
      <c r="HD31" s="135"/>
      <c r="HE31" s="135"/>
      <c r="HF31" s="135"/>
      <c r="HG31" s="135"/>
      <c r="HH31" s="135"/>
      <c r="HI31" s="135"/>
      <c r="HJ31" s="135"/>
      <c r="HK31" s="135"/>
      <c r="HL31" s="135"/>
      <c r="HM31" s="135"/>
      <c r="HN31" s="135"/>
      <c r="HP31" s="136"/>
      <c r="JP31" s="20"/>
      <c r="KU31" s="21"/>
      <c r="KV31" s="21"/>
      <c r="KW31" s="21"/>
      <c r="LO31" s="22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 s="21"/>
      <c r="MV31" s="21"/>
      <c r="MW31" s="2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 s="21"/>
    </row>
    <row r="32" spans="1:379" ht="14.45" hidden="1">
      <c r="A32" s="58" t="s">
        <v>188</v>
      </c>
      <c r="B32" s="85"/>
      <c r="C32" s="137" t="s">
        <v>174</v>
      </c>
      <c r="D32" s="60" t="s">
        <v>168</v>
      </c>
      <c r="E32" s="58"/>
      <c r="F32" s="58"/>
      <c r="G32" s="64"/>
      <c r="H32" s="64"/>
      <c r="I32" s="64"/>
      <c r="J32" s="64"/>
      <c r="K32" s="64"/>
      <c r="L32" s="66"/>
      <c r="M32" s="58"/>
      <c r="N32" s="126"/>
      <c r="O32" s="95" t="s">
        <v>138</v>
      </c>
      <c r="P32" s="20"/>
      <c r="BP32" s="20"/>
      <c r="DP32" s="20"/>
      <c r="FP32" s="20"/>
      <c r="GY32" s="135"/>
      <c r="GZ32" s="135"/>
      <c r="HA32" s="135"/>
      <c r="HB32" s="135"/>
      <c r="HC32" s="135"/>
      <c r="HD32" s="135"/>
      <c r="HE32" s="135"/>
      <c r="HF32" s="135"/>
      <c r="HG32" s="135"/>
      <c r="HH32" s="135"/>
      <c r="HI32" s="135"/>
      <c r="HJ32" s="135"/>
      <c r="HK32" s="135"/>
      <c r="HL32" s="135"/>
      <c r="HM32" s="135"/>
      <c r="HN32" s="135"/>
      <c r="HP32" s="136"/>
      <c r="JP32" s="20"/>
      <c r="KU32" s="21"/>
      <c r="KV32" s="21"/>
      <c r="KW32" s="21"/>
      <c r="LO32" s="2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 s="21"/>
      <c r="MV32" s="21"/>
      <c r="MW32" s="21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 s="21"/>
    </row>
    <row r="33" spans="1:379" s="141" customFormat="1" ht="21.75" customHeight="1">
      <c r="A33" s="111" t="s">
        <v>188</v>
      </c>
      <c r="B33" s="111" t="s">
        <v>203</v>
      </c>
      <c r="C33" s="137" t="s">
        <v>162</v>
      </c>
      <c r="D33" s="60" t="s">
        <v>168</v>
      </c>
      <c r="E33" s="58" t="s">
        <v>199</v>
      </c>
      <c r="F33" s="111"/>
      <c r="G33" s="65"/>
      <c r="H33" s="65"/>
      <c r="I33" s="65"/>
      <c r="J33" s="65">
        <v>300</v>
      </c>
      <c r="K33" s="65">
        <v>500</v>
      </c>
      <c r="L33" s="138">
        <f t="shared" si="16"/>
        <v>800</v>
      </c>
      <c r="M33" s="111"/>
      <c r="N33" s="139"/>
      <c r="O33" s="108" t="s">
        <v>94</v>
      </c>
      <c r="P33" s="140"/>
      <c r="AU33" s="142"/>
      <c r="AV33" s="142"/>
      <c r="AW33" s="142"/>
      <c r="BO33" s="142"/>
      <c r="BP33" s="140"/>
      <c r="CU33" s="142"/>
      <c r="CV33" s="142"/>
      <c r="CW33" s="142"/>
      <c r="DO33" s="142"/>
      <c r="DP33" s="140"/>
      <c r="EU33" s="142"/>
      <c r="EV33" s="142"/>
      <c r="EW33" s="142"/>
      <c r="FO33" s="142"/>
      <c r="FP33" s="140"/>
      <c r="GU33" s="142"/>
      <c r="GV33" s="142"/>
      <c r="GW33" s="142"/>
      <c r="GX33" s="143"/>
      <c r="GY33" s="143"/>
      <c r="GZ33" s="143"/>
      <c r="HA33" s="143"/>
      <c r="HB33" s="143"/>
      <c r="HC33" s="143"/>
      <c r="HD33" s="143"/>
      <c r="HE33" s="143"/>
      <c r="HF33" s="143"/>
      <c r="HG33" s="143"/>
      <c r="HH33" s="143"/>
      <c r="HI33" s="143"/>
      <c r="HJ33" s="143"/>
      <c r="HK33" s="143"/>
      <c r="HL33" s="143"/>
      <c r="HM33" s="143"/>
      <c r="HN33" s="143"/>
      <c r="HO33" s="142"/>
      <c r="HP33" s="144"/>
      <c r="HQ33" s="143"/>
      <c r="HR33" s="143"/>
      <c r="HS33" s="143"/>
      <c r="IU33" s="142"/>
      <c r="IV33" s="142"/>
      <c r="IW33" s="142"/>
      <c r="JO33" s="142"/>
      <c r="JP33" s="140"/>
      <c r="KU33" s="142"/>
      <c r="KV33" s="142"/>
      <c r="KW33" s="142"/>
      <c r="LO33" s="145"/>
      <c r="MU33" s="142"/>
      <c r="MV33" s="142"/>
      <c r="MW33" s="142"/>
      <c r="NO33" s="142"/>
    </row>
    <row r="34" spans="1:379" ht="21.75" customHeight="1">
      <c r="A34" s="58" t="s">
        <v>138</v>
      </c>
      <c r="B34" s="58"/>
      <c r="C34" s="60" t="s">
        <v>138</v>
      </c>
      <c r="D34" s="60"/>
      <c r="E34" s="58" t="s">
        <v>138</v>
      </c>
      <c r="F34" s="58"/>
      <c r="G34" s="64"/>
      <c r="H34" s="64"/>
      <c r="I34" s="64"/>
      <c r="J34" s="64"/>
      <c r="K34" s="64"/>
      <c r="L34" s="66">
        <f t="shared" si="16"/>
        <v>0</v>
      </c>
      <c r="M34" s="58"/>
      <c r="N34" s="126"/>
      <c r="O34" s="95" t="s">
        <v>138</v>
      </c>
      <c r="P34" s="20"/>
      <c r="BP34" s="20"/>
      <c r="DP34" s="20"/>
      <c r="FP34" s="20"/>
      <c r="HP34" s="20"/>
      <c r="JP34" s="20"/>
      <c r="KU34" s="21"/>
      <c r="KV34" s="21"/>
      <c r="KW34" s="21"/>
      <c r="LO34" s="22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 s="21"/>
      <c r="MV34" s="21"/>
      <c r="MW34" s="21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 s="21"/>
    </row>
    <row r="35" spans="1:379" ht="21.75" customHeight="1" thickBot="1">
      <c r="A35" s="58" t="s">
        <v>138</v>
      </c>
      <c r="C35" s="60" t="s">
        <v>138</v>
      </c>
      <c r="D35" s="60"/>
      <c r="E35" s="58" t="s">
        <v>138</v>
      </c>
      <c r="F35" s="58"/>
      <c r="G35" s="64"/>
      <c r="H35" s="64"/>
      <c r="I35" s="64"/>
      <c r="J35" s="64"/>
      <c r="K35" s="64"/>
      <c r="L35" s="66">
        <f t="shared" si="16"/>
        <v>0</v>
      </c>
      <c r="M35" s="58"/>
      <c r="N35" s="126"/>
      <c r="O35" s="146" t="s">
        <v>138</v>
      </c>
      <c r="P35" s="20"/>
      <c r="BP35" s="20"/>
      <c r="DP35" s="20"/>
      <c r="FP35" s="20"/>
      <c r="HP35" s="20"/>
      <c r="JP35" s="20"/>
      <c r="KU35" s="21"/>
      <c r="KV35" s="21"/>
      <c r="KW35" s="21"/>
      <c r="LO35" s="22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 s="21"/>
      <c r="MV35" s="21"/>
      <c r="MW35" s="21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 s="21"/>
    </row>
    <row r="36" spans="1:379" ht="15" thickBot="1">
      <c r="A36" s="24" t="s">
        <v>204</v>
      </c>
      <c r="B36" s="50"/>
      <c r="C36" s="51" t="s">
        <v>138</v>
      </c>
      <c r="D36" s="147"/>
      <c r="E36" s="148" t="s">
        <v>138</v>
      </c>
      <c r="F36" s="148"/>
      <c r="G36" s="149"/>
      <c r="H36" s="149"/>
      <c r="I36" s="149"/>
      <c r="J36" s="149"/>
      <c r="K36" s="150"/>
      <c r="L36" s="151"/>
      <c r="M36" s="32"/>
      <c r="N36" s="152"/>
      <c r="O36" s="153" t="s">
        <v>138</v>
      </c>
      <c r="P36" s="32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4"/>
      <c r="AV36" s="34"/>
      <c r="AW36" s="34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4"/>
      <c r="BP36" s="32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4"/>
      <c r="CV36" s="34"/>
      <c r="CW36" s="34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4"/>
      <c r="DP36" s="32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4"/>
      <c r="EV36" s="34"/>
      <c r="EW36" s="34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4"/>
      <c r="FP36" s="32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4"/>
      <c r="HP36" s="32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4"/>
      <c r="IV36" s="34"/>
      <c r="IW36" s="34"/>
      <c r="IX36" s="33"/>
      <c r="IY36" s="33"/>
      <c r="IZ36" s="33"/>
      <c r="JA36" s="33"/>
      <c r="JB36" s="33"/>
      <c r="JC36" s="33"/>
      <c r="JD36" s="33"/>
      <c r="JE36" s="33"/>
      <c r="JF36" s="33"/>
      <c r="JG36" s="33"/>
      <c r="JH36" s="33"/>
      <c r="JI36" s="33"/>
      <c r="JJ36" s="33"/>
      <c r="JK36" s="33"/>
      <c r="JL36" s="33"/>
      <c r="JM36" s="33"/>
      <c r="JN36" s="33"/>
      <c r="JO36" s="34"/>
      <c r="JP36" s="32"/>
      <c r="JQ36" s="33"/>
      <c r="JR36" s="33"/>
      <c r="JS36" s="33"/>
      <c r="JT36" s="33"/>
      <c r="JU36" s="33"/>
      <c r="JV36" s="33"/>
      <c r="JW36" s="33"/>
      <c r="JX36" s="33"/>
      <c r="JY36" s="33"/>
      <c r="JZ36" s="33"/>
      <c r="KA36" s="33"/>
      <c r="KB36" s="33"/>
      <c r="KC36" s="33"/>
      <c r="KD36" s="33"/>
      <c r="KE36" s="33"/>
      <c r="KF36" s="33"/>
      <c r="KG36" s="33"/>
      <c r="KH36" s="33"/>
      <c r="KI36" s="33"/>
      <c r="KJ36" s="33"/>
      <c r="KK36" s="33"/>
      <c r="KL36" s="33"/>
      <c r="KM36" s="33"/>
      <c r="KN36" s="33"/>
      <c r="KO36" s="33"/>
      <c r="KP36" s="33"/>
      <c r="KQ36" s="33"/>
      <c r="KR36" s="33"/>
      <c r="KS36" s="33"/>
      <c r="KT36" s="33"/>
      <c r="KU36" s="34"/>
      <c r="KV36" s="34"/>
      <c r="KW36" s="34"/>
      <c r="KX36" s="33"/>
      <c r="KY36" s="33"/>
      <c r="KZ36" s="33"/>
      <c r="LA36" s="33"/>
      <c r="LB36" s="33"/>
      <c r="LC36" s="33"/>
      <c r="LD36" s="33"/>
      <c r="LE36" s="33"/>
      <c r="LF36" s="33"/>
      <c r="LG36" s="33"/>
      <c r="LH36" s="33"/>
      <c r="LI36" s="33"/>
      <c r="LJ36" s="33"/>
      <c r="LK36" s="33"/>
      <c r="LL36" s="33"/>
      <c r="LM36" s="33"/>
      <c r="LN36" s="33"/>
      <c r="LO36" s="35"/>
      <c r="LP36" s="33"/>
      <c r="LQ36" s="33"/>
      <c r="LR36" s="33"/>
      <c r="LS36" s="33"/>
      <c r="LT36" s="33"/>
      <c r="LU36" s="33"/>
      <c r="LV36" s="33"/>
      <c r="LW36" s="33"/>
      <c r="LX36" s="33"/>
      <c r="LY36" s="33"/>
      <c r="LZ36" s="33"/>
      <c r="MA36" s="33"/>
      <c r="MB36" s="33"/>
      <c r="MC36" s="33"/>
      <c r="MD36" s="33"/>
      <c r="ME36" s="33"/>
      <c r="MF36" s="33"/>
      <c r="MG36" s="33"/>
      <c r="MH36" s="33"/>
      <c r="MI36" s="33"/>
      <c r="MJ36" s="33"/>
      <c r="MK36" s="33"/>
      <c r="ML36" s="33"/>
      <c r="MM36" s="33"/>
      <c r="MN36" s="33"/>
      <c r="MO36" s="33"/>
      <c r="MP36" s="33"/>
      <c r="MQ36" s="33"/>
      <c r="MR36" s="33"/>
      <c r="MS36" s="33"/>
      <c r="MT36" s="33"/>
      <c r="MU36" s="34"/>
      <c r="MV36" s="34"/>
      <c r="MW36" s="34"/>
      <c r="MX36" s="33"/>
      <c r="MY36" s="33"/>
      <c r="MZ36" s="33"/>
      <c r="NA36" s="33"/>
      <c r="NB36" s="33"/>
      <c r="NC36" s="33"/>
      <c r="ND36" s="33"/>
      <c r="NE36" s="33"/>
      <c r="NF36" s="33"/>
      <c r="NG36" s="33"/>
      <c r="NH36" s="33"/>
      <c r="NI36" s="33"/>
      <c r="NJ36" s="33"/>
      <c r="NK36" s="33"/>
      <c r="NL36" s="33"/>
      <c r="NM36" s="33"/>
      <c r="NN36" s="33"/>
      <c r="NO36" s="34"/>
    </row>
    <row r="37" spans="1:379" ht="58.15" hidden="1" thickBot="1">
      <c r="A37" s="106" t="s">
        <v>205</v>
      </c>
      <c r="B37" s="154" t="s">
        <v>206</v>
      </c>
      <c r="C37" s="105" t="s">
        <v>207</v>
      </c>
      <c r="D37" s="105"/>
      <c r="E37" s="155"/>
      <c r="F37" s="107" t="s">
        <v>147</v>
      </c>
      <c r="G37" s="121">
        <v>25</v>
      </c>
      <c r="H37" s="121">
        <v>10</v>
      </c>
      <c r="I37" s="121"/>
      <c r="J37" s="121">
        <v>30</v>
      </c>
      <c r="K37" s="121">
        <v>40</v>
      </c>
      <c r="L37" s="66">
        <f>SUM(G37:K37)</f>
        <v>105</v>
      </c>
      <c r="M37" s="106"/>
      <c r="N37" s="156" t="s">
        <v>208</v>
      </c>
      <c r="O37" s="95" t="s">
        <v>161</v>
      </c>
      <c r="P37" s="20"/>
      <c r="BP37" s="20"/>
      <c r="DP37" s="20"/>
      <c r="FP37" s="20"/>
      <c r="FT37" s="157"/>
      <c r="FU37" s="157"/>
      <c r="FV37" s="157"/>
      <c r="FW37" s="157"/>
      <c r="FX37" s="157"/>
      <c r="FY37" s="157"/>
      <c r="FZ37" s="157"/>
      <c r="GA37" s="157"/>
      <c r="GK37" s="157"/>
      <c r="GL37" s="157"/>
      <c r="GM37" s="157"/>
      <c r="GN37" s="157"/>
      <c r="GO37" s="157"/>
      <c r="GP37" s="157"/>
      <c r="GQ37" s="157"/>
      <c r="GR37" s="157"/>
      <c r="GS37" s="157"/>
      <c r="GT37" s="157"/>
      <c r="GX37" s="157"/>
      <c r="GY37" s="157"/>
      <c r="GZ37" s="157"/>
      <c r="HA37" s="157"/>
      <c r="HB37" s="157"/>
      <c r="HC37" s="157"/>
      <c r="HD37" s="157"/>
      <c r="HE37" s="157"/>
      <c r="HF37" s="157"/>
      <c r="HG37" s="157"/>
      <c r="HH37" s="157"/>
      <c r="HI37" s="157"/>
      <c r="HJ37" s="157"/>
      <c r="HP37" s="20"/>
      <c r="JP37" s="20"/>
      <c r="KU37" s="21"/>
      <c r="KV37" s="21"/>
      <c r="KW37" s="21"/>
      <c r="LO37" s="22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 s="21"/>
      <c r="MV37" s="21"/>
      <c r="MW37" s="21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 s="21"/>
    </row>
    <row r="38" spans="1:379" ht="15" hidden="1" thickBot="1">
      <c r="A38" s="106" t="s">
        <v>205</v>
      </c>
      <c r="B38" s="154" t="s">
        <v>209</v>
      </c>
      <c r="C38" s="105" t="s">
        <v>207</v>
      </c>
      <c r="D38" s="105"/>
      <c r="E38" s="106"/>
      <c r="F38" s="107"/>
      <c r="G38" s="95">
        <v>25</v>
      </c>
      <c r="H38" s="95">
        <v>10</v>
      </c>
      <c r="I38" s="95"/>
      <c r="J38" s="95">
        <v>30</v>
      </c>
      <c r="K38" s="95">
        <v>40</v>
      </c>
      <c r="L38" s="66">
        <f>SUM(G38:K38)</f>
        <v>105</v>
      </c>
      <c r="M38" s="106"/>
      <c r="N38" s="4"/>
      <c r="O38" s="95" t="s">
        <v>196</v>
      </c>
      <c r="P38" s="20"/>
      <c r="BP38" s="20"/>
      <c r="DP38" s="20"/>
      <c r="FP38" s="20"/>
      <c r="FT38" s="157"/>
      <c r="FU38" s="157"/>
      <c r="FV38" s="157"/>
      <c r="FW38" s="157"/>
      <c r="FX38" s="157"/>
      <c r="FY38" s="157"/>
      <c r="FZ38" s="157"/>
      <c r="GA38" s="157"/>
      <c r="GK38" s="157"/>
      <c r="GL38" s="157"/>
      <c r="GM38" s="157"/>
      <c r="GN38" s="157"/>
      <c r="GO38" s="157"/>
      <c r="GP38" s="157"/>
      <c r="GQ38" s="157"/>
      <c r="GR38" s="157"/>
      <c r="GS38" s="157"/>
      <c r="GT38" s="157"/>
      <c r="GX38" s="157"/>
      <c r="GY38" s="157"/>
      <c r="GZ38" s="157"/>
      <c r="HA38" s="157"/>
      <c r="HB38" s="157"/>
      <c r="HC38" s="157"/>
      <c r="HD38" s="157"/>
      <c r="HE38" s="157"/>
      <c r="HF38" s="157"/>
      <c r="HG38" s="157"/>
      <c r="HH38" s="157"/>
      <c r="HI38" s="157"/>
      <c r="HJ38" s="157"/>
      <c r="HP38" s="20"/>
      <c r="JP38" s="20"/>
      <c r="KU38" s="21"/>
      <c r="KV38" s="21"/>
      <c r="KW38" s="21"/>
      <c r="LO38" s="22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 s="21"/>
      <c r="MV38" s="21"/>
      <c r="MW38" s="21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 s="21"/>
    </row>
    <row r="39" spans="1:379" ht="15" hidden="1" thickBot="1">
      <c r="A39" s="106" t="s">
        <v>205</v>
      </c>
      <c r="B39" s="154" t="s">
        <v>210</v>
      </c>
      <c r="C39" s="105" t="s">
        <v>207</v>
      </c>
      <c r="D39" s="105"/>
      <c r="E39" s="158"/>
      <c r="F39" s="107"/>
      <c r="G39" s="146">
        <v>25</v>
      </c>
      <c r="H39" s="146">
        <v>10</v>
      </c>
      <c r="I39" s="146"/>
      <c r="J39" s="146">
        <v>30</v>
      </c>
      <c r="K39" s="146">
        <v>40</v>
      </c>
      <c r="L39" s="66">
        <f>SUM(G39:K39)</f>
        <v>105</v>
      </c>
      <c r="M39" s="106"/>
      <c r="N39" s="159"/>
      <c r="O39" s="95" t="s">
        <v>165</v>
      </c>
      <c r="P39" s="20"/>
      <c r="BP39" s="20"/>
      <c r="DP39" s="20"/>
      <c r="FP39" s="20"/>
      <c r="FT39" s="157"/>
      <c r="FU39" s="157"/>
      <c r="FV39" s="157"/>
      <c r="FW39" s="157"/>
      <c r="FX39" s="157"/>
      <c r="FY39" s="157"/>
      <c r="FZ39" s="157"/>
      <c r="GA39" s="157"/>
      <c r="GK39" s="157"/>
      <c r="GL39" s="157"/>
      <c r="GM39" s="157"/>
      <c r="GN39" s="157"/>
      <c r="GO39" s="157"/>
      <c r="GP39" s="157"/>
      <c r="GQ39" s="157"/>
      <c r="GR39" s="157"/>
      <c r="GS39" s="157"/>
      <c r="GT39" s="157"/>
      <c r="GX39" s="157"/>
      <c r="GY39" s="157"/>
      <c r="GZ39" s="157"/>
      <c r="HA39" s="157"/>
      <c r="HB39" s="157"/>
      <c r="HC39" s="157"/>
      <c r="HD39" s="157"/>
      <c r="HE39" s="157"/>
      <c r="HF39" s="157"/>
      <c r="HG39" s="157"/>
      <c r="HH39" s="157"/>
      <c r="HI39" s="157"/>
      <c r="HJ39" s="157"/>
      <c r="HP39" s="20"/>
      <c r="JP39" s="20"/>
      <c r="KU39" s="21"/>
      <c r="KV39" s="21"/>
      <c r="KW39" s="21"/>
      <c r="LO39" s="22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 s="21"/>
      <c r="MV39" s="21"/>
      <c r="MW39" s="21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 s="21"/>
    </row>
    <row r="40" spans="1:379" ht="15" thickBot="1">
      <c r="A40" s="24" t="s">
        <v>211</v>
      </c>
      <c r="B40" s="160"/>
      <c r="C40" s="161" t="s">
        <v>138</v>
      </c>
      <c r="D40" s="162"/>
      <c r="E40" s="163"/>
      <c r="F40" s="163"/>
      <c r="G40" s="164"/>
      <c r="H40" s="164"/>
      <c r="I40" s="164"/>
      <c r="J40" s="164"/>
      <c r="K40" s="165"/>
      <c r="L40" s="166"/>
      <c r="M40" s="167"/>
      <c r="N40" s="157"/>
      <c r="O40" s="57" t="s">
        <v>138</v>
      </c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4"/>
      <c r="AV40" s="34"/>
      <c r="AW40" s="34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4"/>
      <c r="BP40" s="32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4"/>
      <c r="CV40" s="34"/>
      <c r="CW40" s="34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4"/>
      <c r="DP40" s="32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4"/>
      <c r="EV40" s="34"/>
      <c r="EW40" s="34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4"/>
      <c r="FP40" s="32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4"/>
      <c r="GV40" s="34"/>
      <c r="GW40" s="34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4"/>
      <c r="HP40" s="32"/>
      <c r="HQ40" s="33"/>
      <c r="HR40" s="33"/>
      <c r="HS40" s="33"/>
      <c r="HT40" s="33"/>
      <c r="HU40" s="33"/>
      <c r="HV40" s="33"/>
      <c r="HW40" s="33"/>
      <c r="HX40" s="33"/>
      <c r="HY40" s="33"/>
      <c r="HZ40" s="33"/>
      <c r="IA40" s="33"/>
      <c r="IB40" s="33"/>
      <c r="IC40" s="33"/>
      <c r="ID40" s="33"/>
      <c r="IE40" s="33"/>
      <c r="IF40" s="33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33"/>
      <c r="IU40" s="34"/>
      <c r="IV40" s="34"/>
      <c r="IW40" s="34"/>
      <c r="IX40" s="33"/>
      <c r="IY40" s="33"/>
      <c r="IZ40" s="33"/>
      <c r="JA40" s="33"/>
      <c r="JB40" s="33"/>
      <c r="JC40" s="33"/>
      <c r="JD40" s="33"/>
      <c r="JE40" s="33"/>
      <c r="JF40" s="33"/>
      <c r="JG40" s="33"/>
      <c r="JH40" s="33"/>
      <c r="JI40" s="33"/>
      <c r="JJ40" s="33"/>
      <c r="JK40" s="33"/>
      <c r="JL40" s="33"/>
      <c r="JM40" s="33"/>
      <c r="JN40" s="33"/>
      <c r="JO40" s="34"/>
      <c r="JP40" s="32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33"/>
      <c r="KC40" s="33"/>
      <c r="KD40" s="33"/>
      <c r="KE40" s="33"/>
      <c r="KF40" s="33"/>
      <c r="KG40" s="33"/>
      <c r="KH40" s="33"/>
      <c r="KI40" s="33"/>
      <c r="KJ40" s="33"/>
      <c r="KK40" s="33"/>
      <c r="KL40" s="33"/>
      <c r="KM40" s="33"/>
      <c r="KN40" s="33"/>
      <c r="KO40" s="33"/>
      <c r="KP40" s="33"/>
      <c r="KQ40" s="33"/>
      <c r="KR40" s="33"/>
      <c r="KS40" s="33"/>
      <c r="KT40" s="33"/>
      <c r="KU40" s="34"/>
      <c r="KV40" s="34"/>
      <c r="KW40" s="34"/>
      <c r="KX40" s="33"/>
      <c r="KY40" s="33"/>
      <c r="KZ40" s="33"/>
      <c r="LA40" s="33"/>
      <c r="LB40" s="33"/>
      <c r="LC40" s="33"/>
      <c r="LD40" s="33"/>
      <c r="LE40" s="33"/>
      <c r="LF40" s="33"/>
      <c r="LG40" s="33"/>
      <c r="LH40" s="33"/>
      <c r="LI40" s="33"/>
      <c r="LJ40" s="33"/>
      <c r="LK40" s="33"/>
      <c r="LL40" s="33"/>
      <c r="LM40" s="33"/>
      <c r="LN40" s="33"/>
      <c r="LO40" s="35"/>
      <c r="LP40" s="33"/>
      <c r="LQ40" s="33"/>
      <c r="LR40" s="33"/>
      <c r="LS40" s="33"/>
      <c r="LT40" s="33"/>
      <c r="LU40" s="33"/>
      <c r="LV40" s="33"/>
      <c r="LW40" s="33"/>
      <c r="LX40" s="33"/>
      <c r="LY40" s="33"/>
      <c r="LZ40" s="33"/>
      <c r="MA40" s="33"/>
      <c r="MB40" s="33"/>
      <c r="MC40" s="33"/>
      <c r="MD40" s="33"/>
      <c r="ME40" s="33"/>
      <c r="MF40" s="33"/>
      <c r="MG40" s="33"/>
      <c r="MH40" s="33"/>
      <c r="MI40" s="33"/>
      <c r="MJ40" s="33"/>
      <c r="MK40" s="33"/>
      <c r="ML40" s="33"/>
      <c r="MM40" s="33"/>
      <c r="MN40" s="33"/>
      <c r="MO40" s="33"/>
      <c r="MP40" s="33"/>
      <c r="MQ40" s="33"/>
      <c r="MR40" s="33"/>
      <c r="MS40" s="33"/>
      <c r="MT40" s="33"/>
      <c r="MU40" s="34"/>
      <c r="MV40" s="34"/>
      <c r="MW40" s="34"/>
      <c r="MX40" s="33"/>
      <c r="MY40" s="33"/>
      <c r="MZ40" s="33"/>
      <c r="NA40" s="33"/>
      <c r="NB40" s="33"/>
      <c r="NC40" s="33"/>
      <c r="ND40" s="33"/>
      <c r="NE40" s="33"/>
      <c r="NF40" s="33"/>
      <c r="NG40" s="33"/>
      <c r="NH40" s="33"/>
      <c r="NI40" s="33"/>
      <c r="NJ40" s="33"/>
      <c r="NK40" s="33"/>
      <c r="NL40" s="33"/>
      <c r="NM40" s="33"/>
      <c r="NN40" s="33"/>
      <c r="NO40" s="34"/>
    </row>
    <row r="41" spans="1:379" ht="58.35" customHeight="1" thickBot="1">
      <c r="A41" s="119" t="s">
        <v>212</v>
      </c>
      <c r="B41" s="168" t="s">
        <v>213</v>
      </c>
      <c r="C41" s="169" t="s">
        <v>162</v>
      </c>
      <c r="D41" s="169" t="s">
        <v>168</v>
      </c>
      <c r="E41" s="170" t="s">
        <v>214</v>
      </c>
      <c r="F41" s="155" t="s">
        <v>147</v>
      </c>
      <c r="G41" s="117">
        <v>150</v>
      </c>
      <c r="H41" s="117"/>
      <c r="I41" s="117">
        <v>0</v>
      </c>
      <c r="J41" s="118">
        <v>600</v>
      </c>
      <c r="K41" s="171">
        <v>0</v>
      </c>
      <c r="L41" s="119">
        <f>SUM(G41:K41)</f>
        <v>750</v>
      </c>
      <c r="M41" s="155"/>
      <c r="N41" s="172" t="s">
        <v>215</v>
      </c>
      <c r="O41" s="121" t="s">
        <v>216</v>
      </c>
      <c r="P41" s="20"/>
      <c r="BP41" s="20"/>
      <c r="DP41" s="20"/>
      <c r="EC41" s="173"/>
      <c r="ED41" s="173"/>
      <c r="EE41" s="173"/>
      <c r="EF41" s="173"/>
      <c r="EG41" s="173"/>
      <c r="EH41" s="173"/>
      <c r="EI41" s="173"/>
      <c r="EJ41" s="173"/>
      <c r="EK41" s="173"/>
      <c r="EL41" s="173"/>
      <c r="EM41" s="173"/>
      <c r="EN41" s="173"/>
      <c r="FP41" s="20"/>
      <c r="GC41" s="396">
        <v>1</v>
      </c>
      <c r="GD41" s="87">
        <f t="shared" ref="GD41:GT41" si="20">GC41+1</f>
        <v>2</v>
      </c>
      <c r="GE41" s="87">
        <f t="shared" si="20"/>
        <v>3</v>
      </c>
      <c r="GF41" s="87">
        <f t="shared" si="20"/>
        <v>4</v>
      </c>
      <c r="GG41" s="87">
        <f t="shared" si="20"/>
        <v>5</v>
      </c>
      <c r="GH41" s="87">
        <f t="shared" si="20"/>
        <v>6</v>
      </c>
      <c r="GI41" s="87">
        <f t="shared" si="20"/>
        <v>7</v>
      </c>
      <c r="GJ41" s="87">
        <f t="shared" si="20"/>
        <v>8</v>
      </c>
      <c r="GK41" s="87">
        <f t="shared" si="20"/>
        <v>9</v>
      </c>
      <c r="GL41" s="87">
        <f t="shared" si="20"/>
        <v>10</v>
      </c>
      <c r="GM41" s="87">
        <f t="shared" si="20"/>
        <v>11</v>
      </c>
      <c r="GN41" s="87">
        <f t="shared" si="20"/>
        <v>12</v>
      </c>
      <c r="GO41" s="87">
        <f t="shared" si="20"/>
        <v>13</v>
      </c>
      <c r="GP41" s="87">
        <f t="shared" si="20"/>
        <v>14</v>
      </c>
      <c r="GQ41" s="87">
        <f t="shared" si="20"/>
        <v>15</v>
      </c>
      <c r="GR41" s="87">
        <f t="shared" si="20"/>
        <v>16</v>
      </c>
      <c r="GS41" s="87">
        <f t="shared" si="20"/>
        <v>17</v>
      </c>
      <c r="GT41" s="87">
        <f t="shared" si="20"/>
        <v>18</v>
      </c>
      <c r="GU41" s="142"/>
      <c r="GV41" s="142"/>
      <c r="GW41" s="142"/>
      <c r="GX41" s="87">
        <f>GT41+1</f>
        <v>19</v>
      </c>
      <c r="GY41" s="89"/>
      <c r="GZ41" s="89"/>
      <c r="HA41" s="89"/>
      <c r="HB41" s="89"/>
      <c r="HC41" s="89"/>
      <c r="HD41" s="89"/>
      <c r="HP41" s="20"/>
      <c r="JP41" s="20"/>
      <c r="KU41" s="21"/>
      <c r="KV41" s="21"/>
      <c r="KW41" s="21"/>
      <c r="LO41" s="22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 s="21"/>
      <c r="MV41" s="21"/>
      <c r="MW41" s="2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 s="21"/>
    </row>
    <row r="42" spans="1:379" ht="58.35" hidden="1" customHeight="1" thickBot="1">
      <c r="A42" s="104" t="s">
        <v>166</v>
      </c>
      <c r="B42" s="154" t="s">
        <v>166</v>
      </c>
      <c r="C42" s="174" t="s">
        <v>174</v>
      </c>
      <c r="D42" s="174" t="s">
        <v>168</v>
      </c>
      <c r="E42" s="175" t="s">
        <v>214</v>
      </c>
      <c r="F42" s="106" t="s">
        <v>147</v>
      </c>
      <c r="G42" s="176">
        <v>50</v>
      </c>
      <c r="H42" s="176">
        <v>10</v>
      </c>
      <c r="I42" s="176"/>
      <c r="J42" s="177">
        <v>300</v>
      </c>
      <c r="K42" s="177">
        <v>500</v>
      </c>
      <c r="L42" s="66">
        <f>SUM(G42:K42)</f>
        <v>860</v>
      </c>
      <c r="M42" s="106"/>
      <c r="N42" s="178"/>
      <c r="O42" s="179" t="s">
        <v>217</v>
      </c>
      <c r="P42" s="20"/>
      <c r="BP42" s="20"/>
      <c r="DP42" s="20"/>
      <c r="FP42" s="20"/>
      <c r="GU42" s="142"/>
      <c r="GV42" s="142"/>
      <c r="GW42" s="142"/>
      <c r="HP42" s="20"/>
      <c r="IX42" s="102">
        <v>1</v>
      </c>
      <c r="IY42" s="102">
        <f t="shared" ref="IY42:JN42" si="21">IX42+1</f>
        <v>2</v>
      </c>
      <c r="IZ42" s="102">
        <f t="shared" si="21"/>
        <v>3</v>
      </c>
      <c r="JA42" s="102">
        <f t="shared" si="21"/>
        <v>4</v>
      </c>
      <c r="JB42" s="102">
        <f t="shared" si="21"/>
        <v>5</v>
      </c>
      <c r="JC42" s="102">
        <f t="shared" si="21"/>
        <v>6</v>
      </c>
      <c r="JD42" s="102">
        <f t="shared" si="21"/>
        <v>7</v>
      </c>
      <c r="JE42" s="102">
        <f t="shared" si="21"/>
        <v>8</v>
      </c>
      <c r="JF42" s="102">
        <f t="shared" si="21"/>
        <v>9</v>
      </c>
      <c r="JG42" s="102">
        <f t="shared" si="21"/>
        <v>10</v>
      </c>
      <c r="JH42" s="102">
        <f t="shared" si="21"/>
        <v>11</v>
      </c>
      <c r="JI42" s="102">
        <f t="shared" si="21"/>
        <v>12</v>
      </c>
      <c r="JJ42" s="102">
        <f t="shared" si="21"/>
        <v>13</v>
      </c>
      <c r="JK42" s="102">
        <f t="shared" si="21"/>
        <v>14</v>
      </c>
      <c r="JL42" s="102">
        <f t="shared" si="21"/>
        <v>15</v>
      </c>
      <c r="JM42" s="102">
        <f t="shared" si="21"/>
        <v>16</v>
      </c>
      <c r="JN42" s="102">
        <f t="shared" si="21"/>
        <v>17</v>
      </c>
      <c r="JP42" s="20"/>
      <c r="KU42" s="21"/>
      <c r="KV42" s="21"/>
      <c r="KW42" s="21"/>
      <c r="LO42" s="2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 s="21"/>
      <c r="MV42" s="21"/>
      <c r="MW42" s="21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 s="21"/>
    </row>
    <row r="43" spans="1:379" s="141" customFormat="1" ht="50.45" customHeight="1" thickBot="1">
      <c r="A43" s="180" t="s">
        <v>218</v>
      </c>
      <c r="B43" s="181" t="s">
        <v>219</v>
      </c>
      <c r="C43" s="182" t="s">
        <v>162</v>
      </c>
      <c r="D43" s="182" t="s">
        <v>168</v>
      </c>
      <c r="E43" s="132" t="s">
        <v>220</v>
      </c>
      <c r="F43" s="183"/>
      <c r="G43" s="184"/>
      <c r="H43" s="184"/>
      <c r="I43" s="184"/>
      <c r="J43" s="184"/>
      <c r="K43" s="184"/>
      <c r="L43" s="183"/>
      <c r="M43" s="185"/>
      <c r="N43" s="186" t="s">
        <v>221</v>
      </c>
      <c r="O43" s="187" t="s">
        <v>200</v>
      </c>
      <c r="P43" s="140"/>
      <c r="AU43" s="142"/>
      <c r="AV43" s="142"/>
      <c r="AW43" s="142"/>
      <c r="BO43" s="142"/>
      <c r="BP43" s="140"/>
      <c r="CU43" s="142"/>
      <c r="CV43" s="142"/>
      <c r="CW43" s="142"/>
      <c r="DO43" s="142"/>
      <c r="DP43" s="140"/>
      <c r="EB43"/>
      <c r="EC43"/>
      <c r="ED43"/>
      <c r="EE43"/>
      <c r="EF43"/>
      <c r="EG43"/>
      <c r="EH43"/>
      <c r="EI43"/>
      <c r="EJ43"/>
      <c r="EK43"/>
      <c r="EL43"/>
      <c r="EM43"/>
      <c r="EN43"/>
      <c r="EU43" s="142"/>
      <c r="EV43" s="142"/>
      <c r="EW43" s="142"/>
      <c r="FO43" s="142"/>
      <c r="FP43" s="140"/>
      <c r="GC43" s="87">
        <v>1</v>
      </c>
      <c r="GD43" s="87">
        <f t="shared" ref="GD43:GT43" si="22">GC43+1</f>
        <v>2</v>
      </c>
      <c r="GE43" s="87">
        <f t="shared" si="22"/>
        <v>3</v>
      </c>
      <c r="GF43" s="87">
        <f t="shared" si="22"/>
        <v>4</v>
      </c>
      <c r="GG43" s="87">
        <f t="shared" si="22"/>
        <v>5</v>
      </c>
      <c r="GH43" s="87">
        <f t="shared" si="22"/>
        <v>6</v>
      </c>
      <c r="GI43" s="87">
        <f t="shared" si="22"/>
        <v>7</v>
      </c>
      <c r="GJ43" s="87">
        <f t="shared" si="22"/>
        <v>8</v>
      </c>
      <c r="GK43" s="87">
        <f t="shared" si="22"/>
        <v>9</v>
      </c>
      <c r="GL43" s="87">
        <f t="shared" si="22"/>
        <v>10</v>
      </c>
      <c r="GM43" s="87">
        <f t="shared" si="22"/>
        <v>11</v>
      </c>
      <c r="GN43" s="87">
        <f t="shared" si="22"/>
        <v>12</v>
      </c>
      <c r="GO43" s="87">
        <f t="shared" si="22"/>
        <v>13</v>
      </c>
      <c r="GP43" s="87">
        <f t="shared" si="22"/>
        <v>14</v>
      </c>
      <c r="GQ43" s="87">
        <f t="shared" si="22"/>
        <v>15</v>
      </c>
      <c r="GR43" s="87">
        <f t="shared" si="22"/>
        <v>16</v>
      </c>
      <c r="GS43" s="87">
        <f t="shared" si="22"/>
        <v>17</v>
      </c>
      <c r="GT43" s="87">
        <f t="shared" si="22"/>
        <v>18</v>
      </c>
      <c r="GU43" s="142"/>
      <c r="GV43" s="142"/>
      <c r="GW43" s="142"/>
      <c r="GX43" s="87">
        <f>GT43+1</f>
        <v>19</v>
      </c>
      <c r="HO43" s="142"/>
      <c r="HP43" s="140"/>
      <c r="IU43" s="142"/>
      <c r="IV43" s="142"/>
      <c r="IW43" s="142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 s="142"/>
      <c r="JP43" s="140"/>
      <c r="KU43" s="142"/>
      <c r="KV43" s="142"/>
      <c r="KW43" s="142"/>
      <c r="LO43" s="145"/>
      <c r="MU43" s="142"/>
      <c r="MV43" s="142"/>
      <c r="MW43" s="142"/>
      <c r="NO43" s="142"/>
    </row>
    <row r="44" spans="1:379" s="49" customFormat="1" ht="48.6" customHeight="1" thickBot="1">
      <c r="A44" s="188" t="s">
        <v>222</v>
      </c>
      <c r="B44" s="189"/>
      <c r="C44" s="190" t="s">
        <v>138</v>
      </c>
      <c r="D44" s="190"/>
      <c r="E44" s="189"/>
      <c r="F44" s="47"/>
      <c r="G44" s="191"/>
      <c r="H44" s="191"/>
      <c r="I44" s="191"/>
      <c r="J44" s="191"/>
      <c r="K44" s="191"/>
      <c r="L44" s="192"/>
      <c r="M44" s="193"/>
      <c r="N44" s="194"/>
      <c r="O44" s="195" t="s">
        <v>138</v>
      </c>
      <c r="P44" s="47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7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7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7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  <c r="IT44" s="46"/>
      <c r="IU44" s="46"/>
      <c r="IV44" s="46"/>
      <c r="IW44" s="46"/>
      <c r="IX44" s="46"/>
      <c r="IY44" s="46"/>
      <c r="IZ44" s="46"/>
      <c r="JA44" s="46"/>
      <c r="JB44" s="46"/>
      <c r="JC44" s="46"/>
      <c r="JD44" s="46"/>
      <c r="JE44" s="46"/>
      <c r="JF44" s="46"/>
      <c r="JG44" s="46"/>
      <c r="JH44" s="46"/>
      <c r="JI44" s="46"/>
      <c r="JJ44" s="46"/>
      <c r="JK44" s="46"/>
      <c r="JL44" s="46"/>
      <c r="JM44" s="46"/>
      <c r="JN44" s="46"/>
      <c r="JO44" s="46"/>
      <c r="JP44" s="47"/>
      <c r="JQ44" s="46"/>
      <c r="JR44" s="46"/>
      <c r="JS44" s="46"/>
      <c r="JT44" s="46"/>
      <c r="JU44" s="46"/>
      <c r="JV44" s="46"/>
      <c r="JW44" s="46"/>
      <c r="JX44" s="46"/>
      <c r="JY44" s="46"/>
      <c r="JZ44" s="46"/>
      <c r="KA44" s="46"/>
      <c r="KB44" s="46"/>
      <c r="KC44" s="46"/>
      <c r="KD44" s="46"/>
      <c r="KE44" s="46"/>
      <c r="KF44" s="46"/>
      <c r="KG44" s="46"/>
      <c r="KH44" s="46"/>
      <c r="KI44" s="46"/>
      <c r="KJ44" s="46"/>
      <c r="KK44" s="46"/>
      <c r="KL44" s="46"/>
      <c r="KM44" s="46"/>
      <c r="KN44" s="46"/>
      <c r="KO44" s="46"/>
      <c r="KP44" s="46"/>
      <c r="KQ44" s="46"/>
      <c r="KR44" s="46"/>
      <c r="KS44" s="46"/>
      <c r="KT44" s="46"/>
      <c r="KU44" s="46"/>
      <c r="KV44" s="46"/>
      <c r="KW44" s="46"/>
      <c r="KX44" s="46"/>
      <c r="KY44" s="46"/>
      <c r="KZ44" s="46"/>
      <c r="LA44" s="46"/>
      <c r="LB44" s="46"/>
      <c r="LC44" s="46"/>
      <c r="LD44" s="46"/>
      <c r="LE44" s="46"/>
      <c r="LF44" s="46"/>
      <c r="LG44" s="46"/>
      <c r="LH44" s="46"/>
      <c r="LI44" s="46"/>
      <c r="LJ44" s="46"/>
      <c r="LK44" s="46"/>
      <c r="LL44" s="46"/>
      <c r="LM44" s="46"/>
      <c r="LN44" s="46"/>
      <c r="LO44" s="196"/>
      <c r="LP44" s="46"/>
      <c r="LQ44" s="46"/>
      <c r="LR44" s="46"/>
      <c r="LS44" s="46"/>
      <c r="LT44" s="46"/>
      <c r="LU44" s="46"/>
      <c r="LV44" s="46"/>
      <c r="LW44" s="46"/>
      <c r="LX44" s="46"/>
      <c r="LY44" s="46"/>
      <c r="LZ44" s="46"/>
      <c r="MA44" s="46"/>
      <c r="MB44" s="46"/>
      <c r="MC44" s="46"/>
      <c r="MD44" s="46"/>
      <c r="ME44" s="46"/>
      <c r="MF44" s="46"/>
      <c r="MG44" s="46"/>
      <c r="MH44" s="46"/>
      <c r="MI44" s="46"/>
      <c r="MJ44" s="46"/>
      <c r="MK44" s="46"/>
      <c r="ML44" s="46"/>
      <c r="MM44" s="46"/>
      <c r="MN44" s="46"/>
      <c r="MO44" s="46"/>
      <c r="MP44" s="46"/>
      <c r="MQ44" s="46"/>
      <c r="MR44" s="46"/>
      <c r="MS44" s="46"/>
      <c r="MT44" s="46"/>
      <c r="MU44" s="46"/>
      <c r="MV44" s="46"/>
      <c r="MW44" s="46"/>
      <c r="MX44" s="46"/>
      <c r="MY44" s="46"/>
      <c r="MZ44" s="46"/>
      <c r="NA44" s="46"/>
      <c r="NB44" s="46"/>
      <c r="NC44" s="46"/>
      <c r="ND44" s="46"/>
      <c r="NE44" s="46"/>
      <c r="NF44" s="46"/>
      <c r="NG44" s="46"/>
      <c r="NH44" s="46"/>
      <c r="NI44" s="46"/>
      <c r="NJ44" s="46"/>
      <c r="NK44" s="46"/>
      <c r="NL44" s="46"/>
      <c r="NM44" s="46"/>
      <c r="NN44" s="46"/>
      <c r="NO44" s="46"/>
    </row>
    <row r="45" spans="1:379" ht="15" thickBot="1">
      <c r="A45" s="197" t="s">
        <v>223</v>
      </c>
      <c r="B45" s="198"/>
      <c r="C45" s="198"/>
      <c r="D45" s="198"/>
      <c r="E45" s="198"/>
      <c r="F45" s="199"/>
      <c r="G45" s="200"/>
      <c r="H45" s="200"/>
      <c r="I45" s="200"/>
      <c r="J45" s="200"/>
      <c r="K45" s="200"/>
      <c r="L45" s="201"/>
      <c r="M45" s="201"/>
      <c r="N45" s="202"/>
      <c r="O45" s="203" t="s">
        <v>138</v>
      </c>
      <c r="P45" s="204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34"/>
      <c r="AV45" s="34"/>
      <c r="AW45" s="34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35"/>
      <c r="BP45" s="204"/>
      <c r="BQ45" s="205"/>
      <c r="BR45" s="205"/>
      <c r="BS45" s="205"/>
      <c r="BT45" s="205"/>
      <c r="BU45" s="205"/>
      <c r="BV45" s="205"/>
      <c r="BW45" s="205"/>
      <c r="BX45" s="205"/>
      <c r="BY45" s="205"/>
      <c r="BZ45" s="205"/>
      <c r="CA45" s="205"/>
      <c r="CB45" s="205"/>
      <c r="CC45" s="205"/>
      <c r="CD45" s="205"/>
      <c r="CE45" s="205"/>
      <c r="CF45" s="205"/>
      <c r="CG45" s="205"/>
      <c r="CH45" s="205"/>
      <c r="CI45" s="205"/>
      <c r="CJ45" s="205"/>
      <c r="CK45" s="205"/>
      <c r="CL45" s="205"/>
      <c r="CM45" s="205"/>
      <c r="CN45" s="205"/>
      <c r="CO45" s="205"/>
      <c r="CP45" s="205"/>
      <c r="CQ45" s="205"/>
      <c r="CR45" s="205"/>
      <c r="CS45" s="205"/>
      <c r="CT45" s="205"/>
      <c r="CU45" s="34"/>
      <c r="CV45" s="34"/>
      <c r="CW45" s="34"/>
      <c r="CX45" s="205"/>
      <c r="CY45" s="205"/>
      <c r="CZ45" s="205"/>
      <c r="DA45" s="205"/>
      <c r="DB45" s="205"/>
      <c r="DC45" s="205"/>
      <c r="DD45" s="205"/>
      <c r="DE45" s="205"/>
      <c r="DF45" s="205"/>
      <c r="DG45" s="205"/>
      <c r="DH45" s="205"/>
      <c r="DI45" s="205"/>
      <c r="DJ45" s="205"/>
      <c r="DK45" s="205"/>
      <c r="DL45" s="205"/>
      <c r="DM45" s="205"/>
      <c r="DN45" s="205"/>
      <c r="DO45" s="35"/>
      <c r="DP45" s="204"/>
      <c r="DQ45" s="205"/>
      <c r="DR45" s="205"/>
      <c r="DS45" s="205"/>
      <c r="DT45" s="205"/>
      <c r="DU45" s="205"/>
      <c r="DV45" s="205"/>
      <c r="DW45" s="205"/>
      <c r="DX45" s="205"/>
      <c r="DY45" s="205"/>
      <c r="DZ45" s="205"/>
      <c r="EA45" s="205"/>
      <c r="EB45" s="205"/>
      <c r="EC45" s="205"/>
      <c r="ED45" s="205"/>
      <c r="EE45" s="205"/>
      <c r="EF45" s="205"/>
      <c r="EG45" s="205"/>
      <c r="EH45" s="205"/>
      <c r="EI45" s="205"/>
      <c r="EJ45" s="205"/>
      <c r="EK45" s="205"/>
      <c r="EL45" s="205"/>
      <c r="EM45" s="205"/>
      <c r="EN45" s="205"/>
      <c r="EO45" s="205"/>
      <c r="EP45" s="205"/>
      <c r="EQ45" s="205"/>
      <c r="ER45" s="205"/>
      <c r="ES45" s="205"/>
      <c r="ET45" s="205"/>
      <c r="EU45" s="34"/>
      <c r="EV45" s="34"/>
      <c r="EW45" s="34"/>
      <c r="EX45" s="205"/>
      <c r="EY45" s="205"/>
      <c r="EZ45" s="205"/>
      <c r="FA45" s="205"/>
      <c r="FB45" s="205"/>
      <c r="FC45" s="205"/>
      <c r="FD45" s="205"/>
      <c r="FE45" s="205"/>
      <c r="FF45" s="205"/>
      <c r="FG45" s="205"/>
      <c r="FH45" s="205"/>
      <c r="FI45" s="205"/>
      <c r="FJ45" s="205"/>
      <c r="FK45" s="205"/>
      <c r="FL45" s="205"/>
      <c r="FM45" s="205"/>
      <c r="FN45" s="205"/>
      <c r="FO45" s="35"/>
      <c r="FP45" s="206"/>
      <c r="FQ45" s="207"/>
      <c r="FR45" s="207"/>
      <c r="FS45" s="207"/>
      <c r="FT45" s="207"/>
      <c r="FU45" s="207"/>
      <c r="FV45" s="207"/>
      <c r="FW45" s="207"/>
      <c r="FX45" s="207"/>
      <c r="FY45" s="207"/>
      <c r="FZ45" s="207"/>
      <c r="GA45" s="207"/>
      <c r="GB45" s="207"/>
      <c r="GC45" s="207"/>
      <c r="GD45" s="207"/>
      <c r="GE45" s="207"/>
      <c r="GF45" s="207"/>
      <c r="GG45" s="207"/>
      <c r="GH45" s="207"/>
      <c r="GI45" s="207"/>
      <c r="GJ45" s="207"/>
      <c r="GK45" s="207"/>
      <c r="GL45" s="207"/>
      <c r="GM45" s="207"/>
      <c r="GN45" s="207"/>
      <c r="GO45" s="207"/>
      <c r="GP45" s="207"/>
      <c r="GQ45" s="207"/>
      <c r="GR45" s="207"/>
      <c r="GS45" s="207"/>
      <c r="GT45" s="207"/>
      <c r="GU45" s="208"/>
      <c r="GV45" s="208"/>
      <c r="GW45" s="208"/>
      <c r="GX45" s="207"/>
      <c r="GY45" s="207"/>
      <c r="GZ45" s="207"/>
      <c r="HA45" s="207"/>
      <c r="HB45" s="207"/>
      <c r="HC45" s="207"/>
      <c r="HD45" s="207"/>
      <c r="HE45" s="207"/>
      <c r="HF45" s="207"/>
      <c r="HG45" s="207"/>
      <c r="HH45" s="207"/>
      <c r="HI45" s="207"/>
      <c r="HJ45" s="207"/>
      <c r="HK45" s="207"/>
      <c r="HL45" s="207"/>
      <c r="HM45" s="207"/>
      <c r="HN45" s="207"/>
      <c r="HO45" s="209"/>
      <c r="HP45" s="206"/>
      <c r="HQ45" s="207"/>
      <c r="HR45" s="207"/>
      <c r="HS45" s="207"/>
      <c r="HT45" s="207"/>
      <c r="HU45" s="207"/>
      <c r="HV45" s="207"/>
      <c r="HW45" s="207"/>
      <c r="HX45" s="207"/>
      <c r="HY45" s="207"/>
      <c r="HZ45" s="207"/>
      <c r="IA45" s="207"/>
      <c r="IB45" s="207"/>
      <c r="IC45" s="207"/>
      <c r="ID45" s="207"/>
      <c r="IE45" s="207"/>
      <c r="IF45" s="207"/>
      <c r="IG45" s="207"/>
      <c r="IH45" s="207"/>
      <c r="II45" s="207"/>
      <c r="IJ45" s="207"/>
      <c r="IK45" s="207"/>
      <c r="IL45" s="207"/>
      <c r="IM45" s="207"/>
      <c r="IN45" s="207"/>
      <c r="IO45" s="207"/>
      <c r="IP45" s="207"/>
      <c r="IQ45" s="207"/>
      <c r="IR45" s="207"/>
      <c r="IS45" s="207"/>
      <c r="IT45" s="207"/>
      <c r="IU45" s="208"/>
      <c r="IV45" s="208"/>
      <c r="IW45" s="208"/>
      <c r="IX45" s="207"/>
      <c r="IY45" s="207"/>
      <c r="IZ45" s="207"/>
      <c r="JA45" s="207"/>
      <c r="JB45" s="207"/>
      <c r="JC45" s="207"/>
      <c r="JD45" s="207"/>
      <c r="JE45" s="207"/>
      <c r="JF45" s="207"/>
      <c r="JG45" s="207"/>
      <c r="JH45" s="207"/>
      <c r="JI45" s="207"/>
      <c r="JJ45" s="207"/>
      <c r="JK45" s="207"/>
      <c r="JL45" s="207"/>
      <c r="JM45" s="207"/>
      <c r="JN45" s="207"/>
      <c r="JO45" s="209"/>
      <c r="JP45" s="206"/>
      <c r="JQ45" s="207"/>
      <c r="JR45" s="207"/>
      <c r="JS45" s="207"/>
      <c r="JT45" s="207"/>
      <c r="JU45" s="207"/>
      <c r="JV45" s="207"/>
      <c r="JW45" s="207"/>
      <c r="JX45" s="207"/>
      <c r="JY45" s="207"/>
      <c r="JZ45" s="207"/>
      <c r="KA45" s="207"/>
      <c r="KB45" s="207"/>
      <c r="KC45" s="207"/>
      <c r="KD45" s="207"/>
      <c r="KE45" s="207"/>
      <c r="KF45" s="207"/>
      <c r="KG45" s="207"/>
      <c r="KH45" s="207"/>
      <c r="KI45" s="207"/>
      <c r="KJ45" s="207"/>
      <c r="KK45" s="207"/>
      <c r="KL45" s="207"/>
      <c r="KM45" s="207"/>
      <c r="KN45" s="207"/>
      <c r="KO45" s="207"/>
      <c r="KP45" s="207"/>
      <c r="KQ45" s="207"/>
      <c r="KR45" s="207"/>
      <c r="KS45" s="207"/>
      <c r="KT45" s="207"/>
      <c r="KU45" s="208"/>
      <c r="KV45" s="208"/>
      <c r="KW45" s="208"/>
      <c r="KX45" s="207"/>
      <c r="KY45" s="207"/>
      <c r="KZ45" s="207"/>
      <c r="LA45" s="207"/>
      <c r="LB45" s="207"/>
      <c r="LC45" s="207"/>
      <c r="LD45" s="207"/>
      <c r="LE45" s="207"/>
      <c r="LF45" s="207"/>
      <c r="LG45" s="207"/>
      <c r="LH45" s="207"/>
      <c r="LI45" s="207"/>
      <c r="LJ45" s="207"/>
      <c r="LK45" s="207"/>
      <c r="LL45" s="207"/>
      <c r="LM45" s="207"/>
      <c r="LN45" s="207"/>
      <c r="LO45" s="209"/>
      <c r="LP45" s="207"/>
      <c r="LQ45" s="207"/>
      <c r="LR45" s="207"/>
      <c r="LS45" s="207"/>
      <c r="LT45" s="207"/>
      <c r="LU45" s="207"/>
      <c r="LV45" s="207"/>
      <c r="LW45" s="207"/>
      <c r="LX45" s="207"/>
      <c r="LY45" s="207"/>
      <c r="LZ45" s="207"/>
      <c r="MA45" s="207"/>
      <c r="MB45" s="207"/>
      <c r="MC45" s="207"/>
      <c r="MD45" s="207"/>
      <c r="ME45" s="207"/>
      <c r="MF45" s="207"/>
      <c r="MG45" s="207"/>
      <c r="MH45" s="207"/>
      <c r="MI45" s="207"/>
      <c r="MJ45" s="207"/>
      <c r="MK45" s="207"/>
      <c r="ML45" s="207"/>
      <c r="MM45" s="207"/>
      <c r="MN45" s="207"/>
      <c r="MO45" s="207"/>
      <c r="MP45" s="207"/>
      <c r="MQ45" s="207"/>
      <c r="MR45" s="207"/>
      <c r="MS45" s="207"/>
      <c r="MT45" s="207"/>
      <c r="MU45" s="208"/>
      <c r="MV45" s="208"/>
      <c r="MW45" s="208"/>
      <c r="MX45" s="207"/>
      <c r="MY45" s="207"/>
      <c r="MZ45" s="207"/>
      <c r="NA45" s="207"/>
      <c r="NB45" s="207"/>
      <c r="NC45" s="207"/>
      <c r="ND45" s="207"/>
      <c r="NE45" s="207"/>
      <c r="NF45" s="207"/>
      <c r="NG45" s="207"/>
      <c r="NH45" s="207"/>
      <c r="NI45" s="207"/>
      <c r="NJ45" s="207"/>
      <c r="NK45" s="207"/>
      <c r="NL45" s="207"/>
      <c r="NM45" s="207"/>
      <c r="NN45" s="207"/>
      <c r="NO45" s="208"/>
    </row>
    <row r="46" spans="1:379" ht="97.35" customHeight="1" thickBot="1">
      <c r="A46" s="210" t="s">
        <v>224</v>
      </c>
      <c r="B46" s="211" t="s">
        <v>225</v>
      </c>
      <c r="C46" s="131" t="s">
        <v>150</v>
      </c>
      <c r="D46" s="131" t="s">
        <v>168</v>
      </c>
      <c r="E46" s="212" t="s">
        <v>226</v>
      </c>
      <c r="F46" s="213"/>
      <c r="G46" s="214">
        <v>800</v>
      </c>
      <c r="H46" s="214">
        <v>80</v>
      </c>
      <c r="I46" s="214">
        <v>0</v>
      </c>
      <c r="J46" s="215">
        <v>550</v>
      </c>
      <c r="K46" s="214">
        <v>0</v>
      </c>
      <c r="L46" s="210">
        <f t="shared" ref="L46:L53" si="23">SUM(G46:K46)</f>
        <v>1430</v>
      </c>
      <c r="M46" s="216"/>
      <c r="N46" s="217" t="s">
        <v>227</v>
      </c>
      <c r="O46" s="214" t="s">
        <v>228</v>
      </c>
      <c r="P46" s="20"/>
      <c r="BP46" s="20"/>
      <c r="DP46" s="20"/>
      <c r="EI46" s="173"/>
      <c r="EJ46" s="173"/>
      <c r="EK46" s="173"/>
      <c r="EL46" s="173"/>
      <c r="EM46" s="173"/>
      <c r="EN46" s="173"/>
      <c r="EO46" s="173"/>
      <c r="EP46" s="173"/>
      <c r="EQ46" s="173"/>
      <c r="ER46" s="173"/>
      <c r="ES46" s="173"/>
      <c r="ET46" s="173"/>
      <c r="EX46" s="87">
        <v>1</v>
      </c>
      <c r="EY46" s="87">
        <f t="shared" ref="EY46:FN46" si="24">EX46+1</f>
        <v>2</v>
      </c>
      <c r="EZ46" s="87">
        <f t="shared" si="24"/>
        <v>3</v>
      </c>
      <c r="FA46" s="87">
        <f t="shared" si="24"/>
        <v>4</v>
      </c>
      <c r="FB46" s="72">
        <f t="shared" si="24"/>
        <v>5</v>
      </c>
      <c r="FC46" s="72">
        <f t="shared" si="24"/>
        <v>6</v>
      </c>
      <c r="FD46" s="72">
        <f t="shared" si="24"/>
        <v>7</v>
      </c>
      <c r="FE46" s="72">
        <f t="shared" si="24"/>
        <v>8</v>
      </c>
      <c r="FF46" s="72">
        <f t="shared" si="24"/>
        <v>9</v>
      </c>
      <c r="FG46" s="72">
        <f t="shared" si="24"/>
        <v>10</v>
      </c>
      <c r="FH46" s="72">
        <f t="shared" si="24"/>
        <v>11</v>
      </c>
      <c r="FI46" s="72">
        <f t="shared" si="24"/>
        <v>12</v>
      </c>
      <c r="FJ46" s="72">
        <f t="shared" si="24"/>
        <v>13</v>
      </c>
      <c r="FK46" s="72">
        <f t="shared" si="24"/>
        <v>14</v>
      </c>
      <c r="FL46" s="72">
        <f t="shared" si="24"/>
        <v>15</v>
      </c>
      <c r="FM46" s="395">
        <f t="shared" si="24"/>
        <v>16</v>
      </c>
      <c r="FN46" s="72">
        <f t="shared" si="24"/>
        <v>17</v>
      </c>
      <c r="FO46" s="218"/>
      <c r="FP46" s="72">
        <f>FN46+1</f>
        <v>18</v>
      </c>
      <c r="FQ46" s="72">
        <f t="shared" ref="FQ46:GH47" si="25">FP46+1</f>
        <v>19</v>
      </c>
      <c r="FR46" s="72">
        <f t="shared" si="25"/>
        <v>20</v>
      </c>
      <c r="FS46" s="72">
        <f t="shared" si="25"/>
        <v>21</v>
      </c>
      <c r="FT46" s="72">
        <f t="shared" si="25"/>
        <v>22</v>
      </c>
      <c r="FU46" s="72">
        <f t="shared" si="25"/>
        <v>23</v>
      </c>
      <c r="FV46" s="72">
        <f t="shared" si="25"/>
        <v>24</v>
      </c>
      <c r="FW46" s="72">
        <f t="shared" si="25"/>
        <v>25</v>
      </c>
      <c r="FX46" s="72">
        <f t="shared" si="25"/>
        <v>26</v>
      </c>
      <c r="FY46" s="72">
        <f t="shared" si="25"/>
        <v>27</v>
      </c>
      <c r="FZ46" s="72">
        <f t="shared" si="25"/>
        <v>28</v>
      </c>
      <c r="GA46" s="72">
        <f t="shared" si="25"/>
        <v>29</v>
      </c>
      <c r="GB46" s="72">
        <f t="shared" si="25"/>
        <v>30</v>
      </c>
      <c r="GC46" s="72">
        <f t="shared" si="25"/>
        <v>31</v>
      </c>
      <c r="GD46" s="72">
        <f t="shared" si="25"/>
        <v>32</v>
      </c>
      <c r="GE46" s="72">
        <f t="shared" si="25"/>
        <v>33</v>
      </c>
      <c r="GF46" s="72">
        <f t="shared" si="25"/>
        <v>34</v>
      </c>
      <c r="GG46" s="72">
        <f t="shared" si="25"/>
        <v>35</v>
      </c>
      <c r="GH46" s="72">
        <f t="shared" si="25"/>
        <v>36</v>
      </c>
      <c r="GI46" s="73"/>
      <c r="GJ46" s="73"/>
      <c r="GK46" s="73"/>
      <c r="GL46" s="73"/>
      <c r="GM46" s="73"/>
      <c r="GN46" s="73"/>
      <c r="GO46" s="73"/>
      <c r="GP46" s="73"/>
      <c r="GQ46" s="219"/>
      <c r="GR46" s="219"/>
      <c r="GS46" s="219"/>
      <c r="GT46" s="219"/>
      <c r="GU46" s="220"/>
      <c r="GV46" s="220"/>
      <c r="GW46" s="220"/>
      <c r="GX46" s="219"/>
      <c r="GY46" s="219"/>
      <c r="GZ46" s="219"/>
      <c r="HA46" s="219"/>
      <c r="HB46" s="219"/>
      <c r="HC46" s="219"/>
      <c r="HD46" s="219"/>
      <c r="HE46" s="219"/>
      <c r="HF46" s="219"/>
      <c r="HG46" s="219"/>
      <c r="HH46" s="219"/>
      <c r="HI46" s="219"/>
      <c r="HJ46" s="219"/>
      <c r="HK46" s="219"/>
      <c r="HL46" s="219"/>
      <c r="HM46" s="219"/>
      <c r="HN46" s="219"/>
      <c r="HO46" s="220"/>
      <c r="HP46" s="221"/>
      <c r="HQ46" s="219"/>
      <c r="HR46" s="219"/>
      <c r="HS46" s="219"/>
      <c r="HT46" s="219"/>
      <c r="HU46" s="219"/>
      <c r="HV46" s="219"/>
      <c r="HW46" s="219"/>
      <c r="HX46" s="219"/>
      <c r="HY46" s="219"/>
      <c r="HZ46" s="219"/>
      <c r="IA46" s="219"/>
      <c r="IB46" s="219"/>
      <c r="IC46" s="219"/>
      <c r="ID46" s="219"/>
      <c r="IE46" s="219"/>
      <c r="IF46" s="219"/>
      <c r="IG46" s="219"/>
      <c r="IH46" s="219"/>
      <c r="II46" s="219"/>
      <c r="IJ46" s="219"/>
      <c r="IK46" s="219"/>
      <c r="IL46" s="219"/>
      <c r="IM46" s="219"/>
      <c r="IN46" s="219"/>
      <c r="IO46" s="219"/>
      <c r="IP46" s="219"/>
      <c r="IQ46" s="219"/>
      <c r="IR46" s="219"/>
      <c r="IS46" s="219"/>
      <c r="IT46" s="219"/>
      <c r="IU46" s="220"/>
      <c r="IV46" s="220"/>
      <c r="IW46" s="220"/>
      <c r="IX46" s="219"/>
      <c r="IY46" s="219"/>
      <c r="IZ46" s="219"/>
      <c r="JA46" s="219"/>
      <c r="JB46" s="219"/>
      <c r="JC46" s="219"/>
      <c r="JD46" s="219"/>
      <c r="JE46" s="219"/>
      <c r="JF46" s="219"/>
      <c r="JG46" s="219"/>
      <c r="JH46" s="219"/>
      <c r="JI46" s="219"/>
      <c r="JJ46" s="219"/>
      <c r="JK46" s="219"/>
      <c r="JL46" s="219"/>
      <c r="JM46" s="219"/>
      <c r="JN46" s="219"/>
      <c r="JO46" s="220"/>
      <c r="JP46" s="221"/>
      <c r="JQ46" s="219"/>
      <c r="JR46" s="219"/>
      <c r="JS46" s="219"/>
      <c r="JT46" s="219"/>
      <c r="JU46" s="219"/>
      <c r="JV46" s="219"/>
      <c r="JW46" s="219"/>
      <c r="JX46" s="219"/>
      <c r="JY46" s="219"/>
      <c r="JZ46" s="219"/>
      <c r="KA46" s="219"/>
      <c r="KB46" s="219"/>
      <c r="KC46" s="219"/>
      <c r="KD46" s="219"/>
      <c r="KE46" s="219"/>
      <c r="KF46" s="219"/>
      <c r="KG46" s="219"/>
      <c r="KH46" s="219"/>
      <c r="KI46" s="219"/>
      <c r="KJ46" s="219"/>
      <c r="KK46" s="219"/>
      <c r="KL46" s="219"/>
      <c r="KM46" s="219"/>
      <c r="KN46" s="219"/>
      <c r="KO46" s="219"/>
      <c r="KP46" s="219"/>
      <c r="KQ46" s="219"/>
      <c r="KR46" s="219"/>
      <c r="KS46" s="219"/>
      <c r="KT46" s="219"/>
      <c r="KU46" s="220"/>
      <c r="KV46" s="220"/>
      <c r="KW46" s="220"/>
      <c r="KX46" s="219"/>
      <c r="KY46" s="219"/>
      <c r="KZ46" s="219"/>
      <c r="LA46" s="219"/>
      <c r="LB46" s="219"/>
      <c r="LC46" s="219"/>
      <c r="LD46" s="219"/>
      <c r="LE46" s="219"/>
      <c r="LF46" s="219"/>
      <c r="LG46" s="219"/>
      <c r="LH46" s="219"/>
      <c r="LI46" s="219"/>
      <c r="LJ46" s="219"/>
      <c r="LK46" s="219"/>
      <c r="LL46" s="219"/>
      <c r="LM46" s="219"/>
      <c r="LN46" s="219"/>
      <c r="LO46" s="222"/>
      <c r="LP46" s="219"/>
      <c r="LQ46" s="219"/>
      <c r="LR46" s="219"/>
      <c r="LS46" s="219"/>
      <c r="LT46" s="219"/>
      <c r="LU46" s="219"/>
      <c r="LV46" s="219"/>
      <c r="LW46" s="219"/>
      <c r="LX46" s="219"/>
      <c r="LY46" s="219"/>
      <c r="LZ46" s="219"/>
      <c r="MA46" s="219"/>
      <c r="MB46" s="219"/>
      <c r="MC46" s="219"/>
      <c r="MD46" s="219"/>
      <c r="ME46" s="219"/>
      <c r="MF46" s="219"/>
      <c r="MG46" s="219"/>
      <c r="MH46" s="219"/>
      <c r="MI46" s="219"/>
      <c r="MJ46" s="219"/>
      <c r="MK46" s="219"/>
      <c r="ML46" s="219"/>
      <c r="MM46" s="219"/>
      <c r="MN46" s="219"/>
      <c r="MO46" s="219"/>
      <c r="MP46" s="219"/>
      <c r="MQ46" s="219"/>
      <c r="MR46" s="219"/>
      <c r="MS46" s="219"/>
      <c r="MT46" s="219"/>
      <c r="MU46" s="220"/>
      <c r="MV46" s="220"/>
      <c r="MW46" s="220"/>
      <c r="MX46" s="219"/>
      <c r="MY46" s="219"/>
      <c r="MZ46" s="219"/>
      <c r="NA46" s="219"/>
      <c r="NB46" s="219"/>
      <c r="NC46" s="219"/>
      <c r="ND46" s="219"/>
      <c r="NE46" s="219"/>
      <c r="NF46" s="219"/>
      <c r="NG46" s="219"/>
      <c r="NH46" s="219"/>
      <c r="NI46" s="219"/>
      <c r="NJ46" s="219"/>
      <c r="NK46" s="219"/>
      <c r="NL46" s="219"/>
      <c r="NM46" s="219"/>
      <c r="NN46" s="219"/>
      <c r="NO46" s="222"/>
    </row>
    <row r="47" spans="1:379" ht="29.45" thickBot="1">
      <c r="A47" s="66" t="s">
        <v>224</v>
      </c>
      <c r="B47" s="60"/>
      <c r="C47" s="105" t="s">
        <v>150</v>
      </c>
      <c r="D47" s="105" t="s">
        <v>168</v>
      </c>
      <c r="E47" s="175" t="s">
        <v>226</v>
      </c>
      <c r="F47" s="223"/>
      <c r="G47" s="224">
        <v>800</v>
      </c>
      <c r="H47" s="224">
        <v>80</v>
      </c>
      <c r="I47" s="224">
        <v>0</v>
      </c>
      <c r="J47" s="65">
        <v>550</v>
      </c>
      <c r="K47" s="224">
        <v>0</v>
      </c>
      <c r="L47" s="66">
        <f t="shared" si="23"/>
        <v>1430</v>
      </c>
      <c r="M47" s="66"/>
      <c r="N47" s="225" t="s">
        <v>229</v>
      </c>
      <c r="O47" s="67" t="s">
        <v>230</v>
      </c>
      <c r="P47" s="20"/>
      <c r="BP47" s="20"/>
      <c r="DP47" s="20"/>
      <c r="FO47" s="22"/>
      <c r="FU47" s="87">
        <v>1</v>
      </c>
      <c r="FV47" s="87">
        <f t="shared" si="25"/>
        <v>2</v>
      </c>
      <c r="FW47" s="87">
        <f t="shared" si="25"/>
        <v>3</v>
      </c>
      <c r="FX47" s="87">
        <f t="shared" si="25"/>
        <v>4</v>
      </c>
      <c r="FY47" s="87">
        <f t="shared" si="25"/>
        <v>5</v>
      </c>
      <c r="FZ47" s="87">
        <f t="shared" si="25"/>
        <v>6</v>
      </c>
      <c r="GA47" s="87">
        <f t="shared" si="25"/>
        <v>7</v>
      </c>
      <c r="GB47" s="87">
        <f t="shared" si="25"/>
        <v>8</v>
      </c>
      <c r="GC47" s="87">
        <f t="shared" si="25"/>
        <v>9</v>
      </c>
      <c r="GD47" s="87">
        <f t="shared" si="25"/>
        <v>10</v>
      </c>
      <c r="GE47" s="87">
        <f t="shared" si="25"/>
        <v>11</v>
      </c>
      <c r="GF47" s="87">
        <f t="shared" si="25"/>
        <v>12</v>
      </c>
      <c r="GG47" s="87">
        <f t="shared" si="25"/>
        <v>13</v>
      </c>
      <c r="GH47" s="87">
        <f t="shared" si="25"/>
        <v>14</v>
      </c>
      <c r="GI47" s="87">
        <f t="shared" ref="GI47:GT47" si="26">GH47+1</f>
        <v>15</v>
      </c>
      <c r="GJ47" s="87">
        <f t="shared" si="26"/>
        <v>16</v>
      </c>
      <c r="GK47" s="87">
        <f t="shared" si="26"/>
        <v>17</v>
      </c>
      <c r="GL47" s="87">
        <f t="shared" si="26"/>
        <v>18</v>
      </c>
      <c r="GM47" s="87">
        <f t="shared" si="26"/>
        <v>19</v>
      </c>
      <c r="GN47" s="87">
        <f t="shared" si="26"/>
        <v>20</v>
      </c>
      <c r="GO47" s="87">
        <f t="shared" si="26"/>
        <v>21</v>
      </c>
      <c r="GP47" s="87">
        <f t="shared" si="26"/>
        <v>22</v>
      </c>
      <c r="GQ47" s="87">
        <f t="shared" si="26"/>
        <v>23</v>
      </c>
      <c r="GR47" s="87">
        <f t="shared" si="26"/>
        <v>24</v>
      </c>
      <c r="GS47" s="87">
        <f t="shared" si="26"/>
        <v>25</v>
      </c>
      <c r="GT47" s="87">
        <f t="shared" si="26"/>
        <v>26</v>
      </c>
      <c r="GU47" s="122"/>
      <c r="GV47" s="122"/>
      <c r="GW47" s="122"/>
      <c r="GX47" s="87">
        <f>GT47+1</f>
        <v>27</v>
      </c>
      <c r="GY47" s="87">
        <f t="shared" ref="GY47:HE47" si="27">GX47+1</f>
        <v>28</v>
      </c>
      <c r="GZ47" s="87">
        <f t="shared" si="27"/>
        <v>29</v>
      </c>
      <c r="HA47" s="87">
        <f t="shared" si="27"/>
        <v>30</v>
      </c>
      <c r="HB47" s="87">
        <f t="shared" si="27"/>
        <v>31</v>
      </c>
      <c r="HC47" s="87">
        <f t="shared" si="27"/>
        <v>32</v>
      </c>
      <c r="HD47" s="87">
        <f t="shared" si="27"/>
        <v>33</v>
      </c>
      <c r="HE47" s="87">
        <f t="shared" si="27"/>
        <v>34</v>
      </c>
      <c r="HF47" s="89"/>
      <c r="HG47" s="89"/>
      <c r="HH47" s="89"/>
      <c r="HI47" s="89"/>
      <c r="HJ47" s="89"/>
      <c r="HK47" s="89"/>
      <c r="HL47" s="89"/>
      <c r="HM47" s="89"/>
      <c r="HP47" s="20"/>
      <c r="JP47" s="20"/>
      <c r="KU47" s="21"/>
      <c r="KV47" s="21"/>
      <c r="KW47" s="21"/>
      <c r="LO47" s="22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 s="21"/>
      <c r="MV47" s="21"/>
      <c r="MW47" s="21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 s="22"/>
    </row>
    <row r="48" spans="1:379" ht="29.45" hidden="1" thickBot="1">
      <c r="A48" s="216" t="s">
        <v>224</v>
      </c>
      <c r="B48" s="226"/>
      <c r="C48" s="227" t="s">
        <v>174</v>
      </c>
      <c r="D48" s="227" t="s">
        <v>168</v>
      </c>
      <c r="E48" s="170" t="s">
        <v>226</v>
      </c>
      <c r="F48" s="228"/>
      <c r="G48" s="229">
        <v>500</v>
      </c>
      <c r="H48" s="229">
        <v>80</v>
      </c>
      <c r="I48" s="229"/>
      <c r="J48" s="118">
        <v>270</v>
      </c>
      <c r="K48" s="171">
        <v>0</v>
      </c>
      <c r="L48" s="119">
        <f t="shared" si="23"/>
        <v>850</v>
      </c>
      <c r="M48" s="119"/>
      <c r="N48" s="230" t="s">
        <v>231</v>
      </c>
      <c r="O48" s="62" t="s">
        <v>232</v>
      </c>
      <c r="P48" s="20"/>
      <c r="BP48" s="20"/>
      <c r="DP48" s="20"/>
      <c r="FO48" s="22"/>
      <c r="HP48" s="20"/>
      <c r="IF48" s="231"/>
      <c r="IG48" s="231"/>
      <c r="IH48" s="231"/>
      <c r="II48" s="231"/>
      <c r="IJ48" s="231"/>
      <c r="IK48" s="231"/>
      <c r="IL48" s="231"/>
      <c r="IM48" s="231"/>
      <c r="IN48" s="231"/>
      <c r="IO48" s="231"/>
      <c r="IP48" s="231"/>
      <c r="IQ48" s="231"/>
      <c r="IR48" s="231"/>
      <c r="IS48" s="231"/>
      <c r="IT48" s="231"/>
      <c r="IX48" s="232">
        <f>IT48+1</f>
        <v>1</v>
      </c>
      <c r="IY48" s="232">
        <f t="shared" ref="IY48:JN49" si="28">IX48+1</f>
        <v>2</v>
      </c>
      <c r="IZ48" s="232">
        <f t="shared" si="28"/>
        <v>3</v>
      </c>
      <c r="JA48" s="232">
        <f t="shared" si="28"/>
        <v>4</v>
      </c>
      <c r="JB48" s="232">
        <f t="shared" si="28"/>
        <v>5</v>
      </c>
      <c r="JC48" s="232">
        <f t="shared" si="28"/>
        <v>6</v>
      </c>
      <c r="JD48" s="232">
        <f t="shared" si="28"/>
        <v>7</v>
      </c>
      <c r="JE48" s="232">
        <f t="shared" si="28"/>
        <v>8</v>
      </c>
      <c r="JF48" s="232">
        <f t="shared" si="28"/>
        <v>9</v>
      </c>
      <c r="JG48" s="232">
        <f t="shared" si="28"/>
        <v>10</v>
      </c>
      <c r="JH48" s="232">
        <f t="shared" si="28"/>
        <v>11</v>
      </c>
      <c r="JI48" s="232">
        <f t="shared" si="28"/>
        <v>12</v>
      </c>
      <c r="JJ48" s="232">
        <f t="shared" si="28"/>
        <v>13</v>
      </c>
      <c r="JK48" s="232">
        <f t="shared" si="28"/>
        <v>14</v>
      </c>
      <c r="JL48" s="232">
        <f t="shared" si="28"/>
        <v>15</v>
      </c>
      <c r="JM48" s="232">
        <f t="shared" si="28"/>
        <v>16</v>
      </c>
      <c r="JN48" s="232">
        <f t="shared" si="28"/>
        <v>17</v>
      </c>
      <c r="JP48" s="232">
        <f>JN48+1</f>
        <v>18</v>
      </c>
      <c r="JQ48" s="232">
        <f>JP48+1</f>
        <v>19</v>
      </c>
      <c r="KU48" s="21"/>
      <c r="KV48" s="21"/>
      <c r="KW48" s="21"/>
      <c r="LO48" s="22"/>
      <c r="LP48"/>
      <c r="LQ48"/>
      <c r="LR48"/>
      <c r="LS48"/>
      <c r="LT48"/>
      <c r="LU48"/>
      <c r="LV48"/>
      <c r="LW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 s="21"/>
      <c r="MV48" s="21"/>
      <c r="MW48" s="21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 s="22"/>
    </row>
    <row r="49" spans="1:379" ht="29.45" hidden="1" thickBot="1">
      <c r="A49" s="210" t="s">
        <v>224</v>
      </c>
      <c r="B49" s="233" t="s">
        <v>167</v>
      </c>
      <c r="C49" s="182" t="s">
        <v>174</v>
      </c>
      <c r="D49" s="234" t="s">
        <v>168</v>
      </c>
      <c r="E49" s="235" t="s">
        <v>226</v>
      </c>
      <c r="F49" s="213"/>
      <c r="G49" s="236">
        <v>50</v>
      </c>
      <c r="H49" s="214">
        <v>20</v>
      </c>
      <c r="I49" s="237"/>
      <c r="J49" s="238">
        <v>270</v>
      </c>
      <c r="K49" s="239">
        <v>0</v>
      </c>
      <c r="L49" s="210">
        <f t="shared" si="23"/>
        <v>340</v>
      </c>
      <c r="M49" s="210"/>
      <c r="N49" s="240" t="s">
        <v>231</v>
      </c>
      <c r="O49" s="241" t="s">
        <v>233</v>
      </c>
      <c r="P49" s="20"/>
      <c r="BP49" s="20"/>
      <c r="DP49" s="20"/>
      <c r="FO49" s="22"/>
      <c r="HP49" s="20"/>
      <c r="JB49" s="232">
        <v>1</v>
      </c>
      <c r="JC49" s="232">
        <f t="shared" si="28"/>
        <v>2</v>
      </c>
      <c r="JD49" s="232">
        <f t="shared" si="28"/>
        <v>3</v>
      </c>
      <c r="JE49" s="232">
        <f t="shared" si="28"/>
        <v>4</v>
      </c>
      <c r="JF49" s="232">
        <f t="shared" si="28"/>
        <v>5</v>
      </c>
      <c r="JG49" s="232">
        <f t="shared" si="28"/>
        <v>6</v>
      </c>
      <c r="JH49" s="232">
        <f t="shared" si="28"/>
        <v>7</v>
      </c>
      <c r="JI49" s="232">
        <f t="shared" si="28"/>
        <v>8</v>
      </c>
      <c r="JJ49" s="232">
        <f t="shared" si="28"/>
        <v>9</v>
      </c>
      <c r="JK49" s="232">
        <f t="shared" si="28"/>
        <v>10</v>
      </c>
      <c r="JL49" s="232">
        <f t="shared" si="28"/>
        <v>11</v>
      </c>
      <c r="JM49" s="232">
        <f t="shared" si="28"/>
        <v>12</v>
      </c>
      <c r="JN49" s="232">
        <f t="shared" si="28"/>
        <v>13</v>
      </c>
      <c r="JP49" s="232">
        <f>JN49+1</f>
        <v>14</v>
      </c>
      <c r="JQ49" s="232">
        <f>JP49+1</f>
        <v>15</v>
      </c>
      <c r="JR49" s="232">
        <f t="shared" ref="JR49:JU49" si="29">JQ49+1</f>
        <v>16</v>
      </c>
      <c r="JS49" s="232">
        <f t="shared" si="29"/>
        <v>17</v>
      </c>
      <c r="JT49" s="232">
        <f t="shared" si="29"/>
        <v>18</v>
      </c>
      <c r="JU49" s="232">
        <f t="shared" si="29"/>
        <v>19</v>
      </c>
      <c r="JV49" s="232"/>
      <c r="JW49" s="242"/>
      <c r="JX49" s="242"/>
      <c r="JY49" s="242"/>
      <c r="JZ49" s="242"/>
      <c r="KU49" s="21"/>
      <c r="KV49" s="21"/>
      <c r="KW49" s="21"/>
      <c r="LO49" s="22"/>
      <c r="LP49"/>
      <c r="LQ49"/>
      <c r="LR49"/>
      <c r="LS49"/>
      <c r="LT49"/>
      <c r="LU49"/>
      <c r="LV49"/>
      <c r="LW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 s="21"/>
      <c r="MV49" s="21"/>
      <c r="MW49" s="21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 s="22"/>
    </row>
    <row r="50" spans="1:379" s="141" customFormat="1" ht="43.9" thickBot="1">
      <c r="A50" s="243" t="s">
        <v>234</v>
      </c>
      <c r="B50" s="244" t="s">
        <v>235</v>
      </c>
      <c r="C50" s="245" t="s">
        <v>150</v>
      </c>
      <c r="D50" s="246" t="s">
        <v>168</v>
      </c>
      <c r="E50" s="58" t="s">
        <v>236</v>
      </c>
      <c r="F50" s="247"/>
      <c r="G50" s="214">
        <v>800</v>
      </c>
      <c r="H50" s="214">
        <v>80</v>
      </c>
      <c r="I50" s="214">
        <v>0</v>
      </c>
      <c r="J50" s="214">
        <v>750</v>
      </c>
      <c r="K50" s="214">
        <v>0</v>
      </c>
      <c r="L50" s="248">
        <f t="shared" si="23"/>
        <v>1630</v>
      </c>
      <c r="M50" s="248">
        <f>-L50</f>
        <v>-1630</v>
      </c>
      <c r="N50" s="249" t="s">
        <v>237</v>
      </c>
      <c r="O50" s="250" t="s">
        <v>200</v>
      </c>
      <c r="P50" s="140"/>
      <c r="AU50" s="142"/>
      <c r="AV50" s="142"/>
      <c r="AW50" s="142"/>
      <c r="BO50" s="142"/>
      <c r="BP50" s="140"/>
      <c r="CU50" s="142"/>
      <c r="CV50" s="142"/>
      <c r="CW50" s="142"/>
      <c r="DO50" s="142"/>
      <c r="DP50" s="140"/>
      <c r="ER50" s="87">
        <v>1</v>
      </c>
      <c r="ES50" s="87">
        <f t="shared" ref="ES50:FN51" si="30">ER50+1</f>
        <v>2</v>
      </c>
      <c r="ET50" s="87">
        <f t="shared" si="30"/>
        <v>3</v>
      </c>
      <c r="EU50" s="87">
        <f t="shared" si="30"/>
        <v>4</v>
      </c>
      <c r="EV50" s="87">
        <f t="shared" si="30"/>
        <v>5</v>
      </c>
      <c r="EW50" s="87">
        <f t="shared" si="30"/>
        <v>6</v>
      </c>
      <c r="EX50" s="87">
        <f t="shared" si="30"/>
        <v>7</v>
      </c>
      <c r="EY50" s="87">
        <f t="shared" si="30"/>
        <v>8</v>
      </c>
      <c r="EZ50" s="87">
        <f t="shared" si="30"/>
        <v>9</v>
      </c>
      <c r="FA50" s="87">
        <f t="shared" si="30"/>
        <v>10</v>
      </c>
      <c r="FB50" s="87">
        <f t="shared" si="30"/>
        <v>11</v>
      </c>
      <c r="FC50" s="87">
        <f t="shared" si="30"/>
        <v>12</v>
      </c>
      <c r="FD50" s="87">
        <f t="shared" si="30"/>
        <v>13</v>
      </c>
      <c r="FE50" s="87">
        <f t="shared" si="30"/>
        <v>14</v>
      </c>
      <c r="FF50" s="87">
        <f t="shared" si="30"/>
        <v>15</v>
      </c>
      <c r="FG50" s="396">
        <f t="shared" si="30"/>
        <v>16</v>
      </c>
      <c r="FH50" s="87">
        <f t="shared" si="30"/>
        <v>17</v>
      </c>
      <c r="FI50" s="87">
        <f t="shared" si="30"/>
        <v>18</v>
      </c>
      <c r="FJ50" s="87">
        <f t="shared" si="30"/>
        <v>19</v>
      </c>
      <c r="FK50" s="87">
        <f t="shared" si="30"/>
        <v>20</v>
      </c>
      <c r="FL50" s="87">
        <f t="shared" si="30"/>
        <v>21</v>
      </c>
      <c r="FM50" s="87">
        <f t="shared" si="30"/>
        <v>22</v>
      </c>
      <c r="FN50" s="87">
        <f t="shared" si="30"/>
        <v>23</v>
      </c>
      <c r="FO50" s="22"/>
      <c r="FP50" s="87">
        <f>FN50+1</f>
        <v>24</v>
      </c>
      <c r="FQ50" s="87">
        <f>FP50+1</f>
        <v>25</v>
      </c>
      <c r="FR50" s="87">
        <f t="shared" ref="FR50:FU51" si="31">FP50+1</f>
        <v>25</v>
      </c>
      <c r="FS50" s="87">
        <f t="shared" si="31"/>
        <v>26</v>
      </c>
      <c r="FT50" s="87">
        <f t="shared" si="31"/>
        <v>26</v>
      </c>
      <c r="FU50" s="87">
        <f t="shared" si="31"/>
        <v>27</v>
      </c>
      <c r="FV50" s="87">
        <f t="shared" ref="FV50:GB51" si="32">FU50+1</f>
        <v>28</v>
      </c>
      <c r="FW50" s="87">
        <f t="shared" si="32"/>
        <v>29</v>
      </c>
      <c r="FX50" s="87">
        <f t="shared" si="32"/>
        <v>30</v>
      </c>
      <c r="FY50" s="87">
        <f t="shared" si="32"/>
        <v>31</v>
      </c>
      <c r="FZ50" s="87">
        <f t="shared" si="32"/>
        <v>32</v>
      </c>
      <c r="GA50" s="87">
        <f t="shared" si="32"/>
        <v>33</v>
      </c>
      <c r="GB50" s="87">
        <f t="shared" si="32"/>
        <v>34</v>
      </c>
      <c r="GC50" s="231"/>
      <c r="GU50" s="142"/>
      <c r="GV50" s="142"/>
      <c r="GW50" s="142"/>
      <c r="HO50" s="142"/>
      <c r="HP50" s="140"/>
      <c r="IU50" s="142"/>
      <c r="IV50" s="142"/>
      <c r="IW50" s="142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 s="21"/>
      <c r="JP50" s="251"/>
      <c r="JQ50" s="252"/>
      <c r="JR50" s="252"/>
      <c r="JS50" s="252"/>
      <c r="JT50" s="252"/>
      <c r="JU50" s="252"/>
      <c r="JV50" s="252"/>
      <c r="JW50" s="252"/>
      <c r="JX50" s="252"/>
      <c r="KU50" s="142"/>
      <c r="KV50" s="142"/>
      <c r="KW50" s="142"/>
      <c r="LO50" s="145"/>
      <c r="LP50" s="252"/>
      <c r="LQ50" s="252"/>
      <c r="LR50" s="252"/>
      <c r="LS50" s="252"/>
      <c r="LT50" s="252"/>
      <c r="LU50" s="252"/>
      <c r="LV50" s="252"/>
      <c r="LW50" s="252"/>
      <c r="LX50" s="252"/>
      <c r="MU50" s="142"/>
      <c r="MV50" s="142"/>
      <c r="MW50" s="142"/>
      <c r="NO50" s="145"/>
    </row>
    <row r="51" spans="1:379" s="141" customFormat="1" ht="43.9" thickBot="1">
      <c r="A51" s="243" t="s">
        <v>238</v>
      </c>
      <c r="B51" s="244" t="s">
        <v>235</v>
      </c>
      <c r="C51" s="245" t="s">
        <v>150</v>
      </c>
      <c r="D51" s="245" t="s">
        <v>168</v>
      </c>
      <c r="E51" s="132" t="s">
        <v>239</v>
      </c>
      <c r="F51" s="247"/>
      <c r="G51" s="236"/>
      <c r="H51" s="214"/>
      <c r="I51" s="237"/>
      <c r="J51" s="236"/>
      <c r="K51" s="214">
        <v>450</v>
      </c>
      <c r="L51" s="248">
        <f t="shared" si="23"/>
        <v>450</v>
      </c>
      <c r="M51" s="253">
        <f>-L51</f>
        <v>-450</v>
      </c>
      <c r="N51" s="254" t="s">
        <v>240</v>
      </c>
      <c r="O51" s="250" t="s">
        <v>200</v>
      </c>
      <c r="P51" s="140"/>
      <c r="AU51" s="142"/>
      <c r="AV51" s="142"/>
      <c r="AW51" s="142"/>
      <c r="BO51" s="142"/>
      <c r="BP51" s="140"/>
      <c r="CU51" s="142"/>
      <c r="CV51" s="142"/>
      <c r="CW51" s="142"/>
      <c r="DO51" s="142"/>
      <c r="DP51" s="140"/>
      <c r="ER51" s="87">
        <v>1</v>
      </c>
      <c r="ES51" s="87">
        <f t="shared" si="30"/>
        <v>2</v>
      </c>
      <c r="ET51" s="87">
        <f t="shared" si="30"/>
        <v>3</v>
      </c>
      <c r="EU51" s="87">
        <f t="shared" si="30"/>
        <v>4</v>
      </c>
      <c r="EV51" s="87">
        <f t="shared" si="30"/>
        <v>5</v>
      </c>
      <c r="EW51" s="87">
        <f t="shared" si="30"/>
        <v>6</v>
      </c>
      <c r="EX51" s="87">
        <f t="shared" si="30"/>
        <v>7</v>
      </c>
      <c r="EY51" s="87">
        <f t="shared" si="30"/>
        <v>8</v>
      </c>
      <c r="EZ51" s="87">
        <f t="shared" si="30"/>
        <v>9</v>
      </c>
      <c r="FA51" s="87">
        <f t="shared" si="30"/>
        <v>10</v>
      </c>
      <c r="FB51" s="87">
        <f t="shared" si="30"/>
        <v>11</v>
      </c>
      <c r="FC51" s="87">
        <f t="shared" si="30"/>
        <v>12</v>
      </c>
      <c r="FD51" s="87">
        <f t="shared" si="30"/>
        <v>13</v>
      </c>
      <c r="FE51" s="87">
        <f t="shared" si="30"/>
        <v>14</v>
      </c>
      <c r="FF51" s="87">
        <f t="shared" si="30"/>
        <v>15</v>
      </c>
      <c r="FG51" s="396">
        <f t="shared" si="30"/>
        <v>16</v>
      </c>
      <c r="FH51" s="87">
        <f t="shared" si="30"/>
        <v>17</v>
      </c>
      <c r="FI51" s="87">
        <f t="shared" si="30"/>
        <v>18</v>
      </c>
      <c r="FJ51" s="87">
        <f t="shared" si="30"/>
        <v>19</v>
      </c>
      <c r="FK51" s="87">
        <f t="shared" si="30"/>
        <v>20</v>
      </c>
      <c r="FL51" s="87">
        <f t="shared" si="30"/>
        <v>21</v>
      </c>
      <c r="FM51" s="87">
        <f t="shared" si="30"/>
        <v>22</v>
      </c>
      <c r="FN51" s="87">
        <f t="shared" si="30"/>
        <v>23</v>
      </c>
      <c r="FO51" s="22"/>
      <c r="FP51" s="87">
        <f>FN51+1</f>
        <v>24</v>
      </c>
      <c r="FQ51" s="87">
        <f>FP51+1</f>
        <v>25</v>
      </c>
      <c r="FR51" s="87">
        <f t="shared" si="31"/>
        <v>25</v>
      </c>
      <c r="FS51" s="87">
        <f t="shared" si="31"/>
        <v>26</v>
      </c>
      <c r="FT51" s="87">
        <f t="shared" si="31"/>
        <v>26</v>
      </c>
      <c r="FU51" s="87">
        <f t="shared" si="31"/>
        <v>27</v>
      </c>
      <c r="FV51" s="87">
        <f t="shared" si="32"/>
        <v>28</v>
      </c>
      <c r="FW51" s="87">
        <f t="shared" si="32"/>
        <v>29</v>
      </c>
      <c r="FX51" s="87">
        <f t="shared" si="32"/>
        <v>30</v>
      </c>
      <c r="FY51" s="87">
        <f t="shared" si="32"/>
        <v>31</v>
      </c>
      <c r="FZ51" s="87">
        <f t="shared" si="32"/>
        <v>32</v>
      </c>
      <c r="GA51" s="87">
        <f t="shared" si="32"/>
        <v>33</v>
      </c>
      <c r="GB51" s="87">
        <f t="shared" si="32"/>
        <v>34</v>
      </c>
      <c r="GC51" s="23"/>
      <c r="GU51" s="142"/>
      <c r="GV51" s="142"/>
      <c r="GW51" s="142"/>
      <c r="HO51" s="142"/>
      <c r="HP51" s="140"/>
      <c r="IU51" s="142"/>
      <c r="IV51" s="142"/>
      <c r="IW51" s="142"/>
      <c r="IX51"/>
      <c r="IY51"/>
      <c r="IZ51"/>
      <c r="JA51"/>
      <c r="JB51"/>
      <c r="JC51"/>
      <c r="JD51"/>
      <c r="JE51"/>
      <c r="JF51"/>
      <c r="JG51"/>
      <c r="JH51"/>
      <c r="JI51"/>
      <c r="JJ51"/>
      <c r="JO51" s="142"/>
      <c r="JP51" s="140"/>
      <c r="KN51" s="252"/>
      <c r="KO51" s="252"/>
      <c r="KP51" s="252"/>
      <c r="KQ51" s="252"/>
      <c r="KR51" s="252"/>
      <c r="KS51" s="252"/>
      <c r="KT51" s="252"/>
      <c r="KU51" s="142"/>
      <c r="KV51" s="142"/>
      <c r="KW51" s="142"/>
      <c r="KX51" s="252"/>
      <c r="KY51" s="252"/>
      <c r="KZ51" s="252"/>
      <c r="LA51" s="252"/>
      <c r="LB51" s="252"/>
      <c r="LO51" s="145"/>
      <c r="MN51" s="252"/>
      <c r="MO51" s="252"/>
      <c r="MP51" s="252"/>
      <c r="MQ51" s="252"/>
      <c r="MR51" s="252"/>
      <c r="MS51" s="252"/>
      <c r="MT51" s="252"/>
      <c r="MU51" s="142"/>
      <c r="MV51" s="142"/>
      <c r="MW51" s="142"/>
      <c r="MX51" s="252"/>
      <c r="MY51" s="252"/>
      <c r="MZ51" s="252"/>
      <c r="NA51" s="252"/>
      <c r="NB51" s="252"/>
      <c r="NO51" s="145"/>
    </row>
    <row r="52" spans="1:379" s="141" customFormat="1" ht="29.45" hidden="1" thickBot="1">
      <c r="A52" s="251" t="s">
        <v>224</v>
      </c>
      <c r="B52" s="255" t="s">
        <v>241</v>
      </c>
      <c r="C52" s="246" t="s">
        <v>174</v>
      </c>
      <c r="D52" s="246" t="s">
        <v>168</v>
      </c>
      <c r="E52" s="256" t="s">
        <v>242</v>
      </c>
      <c r="G52" s="257"/>
      <c r="H52" s="224"/>
      <c r="I52" s="258"/>
      <c r="J52" s="257"/>
      <c r="K52" s="224">
        <v>450</v>
      </c>
      <c r="L52" s="66">
        <f t="shared" si="23"/>
        <v>450</v>
      </c>
      <c r="M52" s="106"/>
      <c r="N52" s="259" t="s">
        <v>243</v>
      </c>
      <c r="O52" s="260" t="s">
        <v>244</v>
      </c>
      <c r="P52" s="140"/>
      <c r="AU52" s="142"/>
      <c r="AV52" s="142"/>
      <c r="AW52" s="142"/>
      <c r="BO52" s="142"/>
      <c r="BP52" s="140"/>
      <c r="CU52" s="142"/>
      <c r="CV52" s="142"/>
      <c r="CW52" s="142"/>
      <c r="DO52" s="142"/>
      <c r="DP52" s="140"/>
      <c r="EU52" s="142"/>
      <c r="EV52" s="142"/>
      <c r="EW52" s="142"/>
      <c r="FO52" s="145"/>
      <c r="GU52" s="142"/>
      <c r="GV52" s="142"/>
      <c r="GW52" s="142"/>
      <c r="HO52" s="142"/>
      <c r="HP52" s="140"/>
      <c r="IU52" s="142"/>
      <c r="IV52" s="142"/>
      <c r="IW52" s="142"/>
      <c r="JO52" s="142"/>
      <c r="JP52" s="101">
        <v>1</v>
      </c>
      <c r="JQ52" s="102">
        <f t="shared" ref="JQ52:KF52" si="33">JP52+1</f>
        <v>2</v>
      </c>
      <c r="JR52" s="102">
        <f t="shared" si="33"/>
        <v>3</v>
      </c>
      <c r="JS52" s="102">
        <f t="shared" si="33"/>
        <v>4</v>
      </c>
      <c r="JT52" s="102">
        <f t="shared" si="33"/>
        <v>5</v>
      </c>
      <c r="JU52" s="102">
        <f t="shared" si="33"/>
        <v>6</v>
      </c>
      <c r="JV52" s="102">
        <f t="shared" si="33"/>
        <v>7</v>
      </c>
      <c r="JW52" s="102">
        <f t="shared" si="33"/>
        <v>8</v>
      </c>
      <c r="JX52" s="102">
        <f t="shared" si="33"/>
        <v>9</v>
      </c>
      <c r="JY52" s="102">
        <f t="shared" si="33"/>
        <v>10</v>
      </c>
      <c r="JZ52" s="102">
        <f t="shared" si="33"/>
        <v>11</v>
      </c>
      <c r="KA52" s="102">
        <f t="shared" si="33"/>
        <v>12</v>
      </c>
      <c r="KB52" s="102">
        <f t="shared" si="33"/>
        <v>13</v>
      </c>
      <c r="KC52" s="102">
        <f t="shared" si="33"/>
        <v>14</v>
      </c>
      <c r="KD52" s="102">
        <f t="shared" si="33"/>
        <v>15</v>
      </c>
      <c r="KE52" s="102">
        <f t="shared" si="33"/>
        <v>16</v>
      </c>
      <c r="KF52" s="102">
        <f t="shared" si="33"/>
        <v>17</v>
      </c>
      <c r="KG52" s="102">
        <f t="shared" ref="JW52:KL53" si="34">KF52+1</f>
        <v>18</v>
      </c>
      <c r="KH52" s="102">
        <f t="shared" si="34"/>
        <v>19</v>
      </c>
      <c r="KN52" s="252"/>
      <c r="KO52" s="252"/>
      <c r="KP52" s="252"/>
      <c r="KQ52" s="252"/>
      <c r="KR52" s="252"/>
      <c r="KS52" s="252"/>
      <c r="KT52" s="252"/>
      <c r="KU52" s="142"/>
      <c r="KV52" s="142"/>
      <c r="KW52" s="142"/>
      <c r="KX52" s="252"/>
      <c r="KY52" s="252"/>
      <c r="KZ52" s="252"/>
      <c r="LA52" s="252"/>
      <c r="LB52" s="252"/>
      <c r="LO52" s="145"/>
      <c r="MN52" s="252"/>
      <c r="MO52" s="252"/>
      <c r="MP52" s="252"/>
      <c r="MQ52" s="252"/>
      <c r="MR52" s="252"/>
      <c r="MS52" s="252"/>
      <c r="MT52" s="252"/>
      <c r="MU52" s="142"/>
      <c r="MV52" s="142"/>
      <c r="MW52" s="142"/>
      <c r="MX52" s="252"/>
      <c r="MY52" s="252"/>
      <c r="MZ52" s="252"/>
      <c r="NA52" s="252"/>
      <c r="NB52" s="252"/>
      <c r="NO52" s="145"/>
    </row>
    <row r="53" spans="1:379" s="141" customFormat="1" ht="29.45" hidden="1" thickBot="1">
      <c r="A53" s="261" t="s">
        <v>224</v>
      </c>
      <c r="B53" s="262" t="s">
        <v>245</v>
      </c>
      <c r="C53" s="263" t="s">
        <v>174</v>
      </c>
      <c r="D53" s="263" t="s">
        <v>168</v>
      </c>
      <c r="E53" s="264" t="s">
        <v>246</v>
      </c>
      <c r="F53" s="264" t="s">
        <v>246</v>
      </c>
      <c r="G53" s="265"/>
      <c r="H53" s="265"/>
      <c r="I53" s="265"/>
      <c r="J53" s="265"/>
      <c r="K53" s="265">
        <v>450</v>
      </c>
      <c r="L53" s="66">
        <f t="shared" si="23"/>
        <v>450</v>
      </c>
      <c r="M53" s="106"/>
      <c r="N53" s="266" t="s">
        <v>247</v>
      </c>
      <c r="O53" s="267" t="s">
        <v>244</v>
      </c>
      <c r="P53" s="140"/>
      <c r="AU53" s="142"/>
      <c r="AV53" s="142"/>
      <c r="AW53" s="142"/>
      <c r="BO53" s="142"/>
      <c r="BP53" s="140"/>
      <c r="CU53" s="142"/>
      <c r="CV53" s="142"/>
      <c r="CW53" s="142"/>
      <c r="DO53" s="142"/>
      <c r="DP53" s="140"/>
      <c r="EU53" s="142"/>
      <c r="EV53" s="142"/>
      <c r="EW53" s="142"/>
      <c r="FO53" s="268"/>
      <c r="FP53" s="269"/>
      <c r="FQ53" s="269"/>
      <c r="FR53" s="269"/>
      <c r="FS53" s="269"/>
      <c r="FT53" s="269"/>
      <c r="FU53" s="269"/>
      <c r="FV53" s="269"/>
      <c r="FW53" s="269"/>
      <c r="FX53" s="269"/>
      <c r="FY53" s="269"/>
      <c r="FZ53" s="269"/>
      <c r="GA53" s="269"/>
      <c r="GB53" s="269"/>
      <c r="GC53" s="269"/>
      <c r="GD53" s="269"/>
      <c r="GE53" s="269"/>
      <c r="GF53" s="269"/>
      <c r="GG53" s="269"/>
      <c r="GH53" s="269"/>
      <c r="GI53" s="269"/>
      <c r="GJ53" s="269"/>
      <c r="GK53" s="269"/>
      <c r="GL53" s="269"/>
      <c r="GM53" s="269"/>
      <c r="GN53" s="269"/>
      <c r="GO53" s="269"/>
      <c r="GP53" s="269"/>
      <c r="GQ53" s="269"/>
      <c r="GR53" s="269"/>
      <c r="GS53" s="269"/>
      <c r="GT53" s="269"/>
      <c r="GU53" s="270"/>
      <c r="GV53" s="270"/>
      <c r="GW53" s="270"/>
      <c r="GX53" s="269"/>
      <c r="GY53" s="269"/>
      <c r="GZ53" s="269"/>
      <c r="HA53" s="269"/>
      <c r="HB53" s="269"/>
      <c r="HC53" s="269"/>
      <c r="HD53" s="269"/>
      <c r="HE53" s="269"/>
      <c r="HF53" s="269"/>
      <c r="HG53" s="269"/>
      <c r="HH53" s="269"/>
      <c r="HI53" s="269"/>
      <c r="HJ53" s="269"/>
      <c r="HK53" s="269"/>
      <c r="HL53" s="269"/>
      <c r="HM53" s="269"/>
      <c r="HN53" s="269"/>
      <c r="HO53" s="270"/>
      <c r="HP53" s="271"/>
      <c r="HQ53" s="269"/>
      <c r="HR53" s="269"/>
      <c r="HS53" s="269"/>
      <c r="HT53" s="269"/>
      <c r="HU53" s="269"/>
      <c r="HV53" s="269"/>
      <c r="HW53" s="269"/>
      <c r="HX53" s="269"/>
      <c r="HY53" s="269"/>
      <c r="HZ53" s="269"/>
      <c r="IA53" s="269"/>
      <c r="IB53" s="269"/>
      <c r="IC53" s="269"/>
      <c r="ID53" s="269"/>
      <c r="IE53" s="269"/>
      <c r="IF53" s="269"/>
      <c r="IG53" s="269"/>
      <c r="IH53" s="269"/>
      <c r="II53" s="269"/>
      <c r="IJ53" s="269"/>
      <c r="IK53" s="269"/>
      <c r="IL53" s="269"/>
      <c r="IM53" s="269"/>
      <c r="IN53" s="269"/>
      <c r="IO53" s="269"/>
      <c r="IP53" s="269"/>
      <c r="IQ53" s="269"/>
      <c r="IR53" s="269"/>
      <c r="IS53" s="269"/>
      <c r="IT53" s="269"/>
      <c r="IU53" s="142"/>
      <c r="IV53" s="142"/>
      <c r="IW53" s="142"/>
      <c r="IX53" s="269"/>
      <c r="IY53" s="269"/>
      <c r="IZ53" s="269"/>
      <c r="JA53" s="269"/>
      <c r="JB53" s="269"/>
      <c r="JC53" s="269"/>
      <c r="JD53" s="269"/>
      <c r="JE53" s="269"/>
      <c r="JF53" s="269"/>
      <c r="JG53" s="269"/>
      <c r="JH53" s="269"/>
      <c r="JI53" s="269"/>
      <c r="JJ53" s="269"/>
      <c r="JK53" s="269"/>
      <c r="JL53" s="269"/>
      <c r="JM53" s="269"/>
      <c r="JN53" s="269"/>
      <c r="JO53" s="270"/>
      <c r="JP53" s="271"/>
      <c r="JQ53" s="269"/>
      <c r="JR53" s="269"/>
      <c r="JS53" s="269"/>
      <c r="JT53" s="269"/>
      <c r="JU53" s="269"/>
      <c r="JV53" s="272">
        <v>1</v>
      </c>
      <c r="JW53" s="272">
        <f t="shared" si="34"/>
        <v>2</v>
      </c>
      <c r="JX53" s="272">
        <f t="shared" si="34"/>
        <v>3</v>
      </c>
      <c r="JY53" s="272">
        <f t="shared" si="34"/>
        <v>4</v>
      </c>
      <c r="JZ53" s="272">
        <f t="shared" si="34"/>
        <v>5</v>
      </c>
      <c r="KA53" s="272">
        <f t="shared" si="34"/>
        <v>6</v>
      </c>
      <c r="KB53" s="272">
        <f t="shared" si="34"/>
        <v>7</v>
      </c>
      <c r="KC53" s="272">
        <f t="shared" si="34"/>
        <v>8</v>
      </c>
      <c r="KD53" s="272">
        <f t="shared" si="34"/>
        <v>9</v>
      </c>
      <c r="KE53" s="272">
        <f t="shared" si="34"/>
        <v>10</v>
      </c>
      <c r="KF53" s="272">
        <f t="shared" si="34"/>
        <v>11</v>
      </c>
      <c r="KG53" s="272">
        <f t="shared" si="34"/>
        <v>12</v>
      </c>
      <c r="KH53" s="272">
        <f t="shared" si="34"/>
        <v>13</v>
      </c>
      <c r="KI53" s="272">
        <f t="shared" si="34"/>
        <v>14</v>
      </c>
      <c r="KJ53" s="272">
        <f t="shared" si="34"/>
        <v>15</v>
      </c>
      <c r="KK53" s="272">
        <f t="shared" si="34"/>
        <v>16</v>
      </c>
      <c r="KL53" s="272">
        <f t="shared" si="34"/>
        <v>17</v>
      </c>
      <c r="KM53" s="272">
        <f t="shared" ref="KM53:KN53" si="35">KL53+1</f>
        <v>18</v>
      </c>
      <c r="KN53" s="272">
        <f t="shared" si="35"/>
        <v>19</v>
      </c>
      <c r="KO53" s="273"/>
      <c r="KP53" s="273"/>
      <c r="KQ53" s="273"/>
      <c r="KR53" s="273"/>
      <c r="KS53" s="273"/>
      <c r="KT53" s="273"/>
      <c r="KU53" s="270"/>
      <c r="KV53" s="270"/>
      <c r="KW53" s="270"/>
      <c r="KX53" s="273"/>
      <c r="KY53" s="273"/>
      <c r="KZ53" s="273"/>
      <c r="LA53" s="273"/>
      <c r="LB53" s="273"/>
      <c r="LC53" s="269"/>
      <c r="LD53" s="269"/>
      <c r="LE53" s="269"/>
      <c r="LF53" s="269"/>
      <c r="LG53" s="269"/>
      <c r="LH53" s="269"/>
      <c r="LI53" s="269"/>
      <c r="LJ53" s="269"/>
      <c r="LK53" s="269"/>
      <c r="LL53" s="269"/>
      <c r="LM53" s="269"/>
      <c r="LN53" s="269"/>
      <c r="LO53" s="268"/>
      <c r="LP53" s="269"/>
      <c r="LQ53" s="269"/>
      <c r="LR53" s="269"/>
      <c r="LS53" s="269"/>
      <c r="LT53" s="269"/>
      <c r="LU53" s="269"/>
      <c r="LV53" s="269"/>
      <c r="LW53" s="269"/>
      <c r="LX53" s="269"/>
      <c r="LY53" s="269"/>
      <c r="LZ53" s="269"/>
      <c r="MA53" s="269"/>
      <c r="MB53" s="269"/>
      <c r="MC53" s="269"/>
      <c r="MD53" s="269"/>
      <c r="ME53" s="269"/>
      <c r="MF53" s="269"/>
      <c r="MG53" s="269"/>
      <c r="MH53" s="269"/>
      <c r="MI53" s="269"/>
      <c r="MJ53" s="269"/>
      <c r="MK53" s="269"/>
      <c r="ML53" s="269"/>
      <c r="MM53" s="269"/>
      <c r="MN53" s="273"/>
      <c r="MO53" s="273"/>
      <c r="MP53" s="273"/>
      <c r="MQ53" s="273"/>
      <c r="MR53" s="273"/>
      <c r="MS53" s="273"/>
      <c r="MT53" s="273"/>
      <c r="MU53" s="270"/>
      <c r="MV53" s="270"/>
      <c r="MW53" s="270"/>
      <c r="MX53" s="273"/>
      <c r="MY53" s="273"/>
      <c r="MZ53" s="273"/>
      <c r="NA53" s="273"/>
      <c r="NB53" s="273"/>
      <c r="NC53" s="269"/>
      <c r="ND53" s="269"/>
      <c r="NE53" s="269"/>
      <c r="NF53" s="269"/>
      <c r="NG53" s="269"/>
      <c r="NH53" s="269"/>
      <c r="NI53" s="269"/>
      <c r="NJ53" s="269"/>
      <c r="NK53" s="269"/>
      <c r="NL53" s="269"/>
      <c r="NM53" s="269"/>
      <c r="NN53" s="269"/>
      <c r="NO53" s="268"/>
    </row>
    <row r="54" spans="1:379" ht="15" thickBot="1">
      <c r="A54" s="274" t="s">
        <v>248</v>
      </c>
      <c r="B54" s="275"/>
      <c r="C54" s="275"/>
      <c r="D54" s="275"/>
      <c r="E54" s="275"/>
      <c r="F54" s="199"/>
      <c r="G54" s="200"/>
      <c r="H54" s="200"/>
      <c r="I54" s="200"/>
      <c r="J54" s="200"/>
      <c r="K54" s="200"/>
      <c r="L54" s="204"/>
      <c r="M54" s="276"/>
      <c r="N54" s="202"/>
      <c r="O54" s="203" t="s">
        <v>138</v>
      </c>
      <c r="P54" s="204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34"/>
      <c r="AV54" s="34"/>
      <c r="AW54" s="34"/>
      <c r="AX54" s="205"/>
      <c r="AY54" s="205"/>
      <c r="AZ54" s="205"/>
      <c r="BA54" s="205"/>
      <c r="BB54" s="205"/>
      <c r="BC54" s="205"/>
      <c r="BD54" s="205"/>
      <c r="BE54" s="205"/>
      <c r="BF54" s="205"/>
      <c r="BG54" s="205"/>
      <c r="BH54" s="205"/>
      <c r="BI54" s="205"/>
      <c r="BJ54" s="205"/>
      <c r="BK54" s="205"/>
      <c r="BL54" s="205"/>
      <c r="BM54" s="205"/>
      <c r="BN54" s="205"/>
      <c r="BO54" s="34"/>
      <c r="BP54" s="204"/>
      <c r="BQ54" s="205"/>
      <c r="BR54" s="205"/>
      <c r="BS54" s="205"/>
      <c r="BT54" s="205"/>
      <c r="BU54" s="205"/>
      <c r="BV54" s="205"/>
      <c r="BW54" s="205"/>
      <c r="BX54" s="205"/>
      <c r="BY54" s="205"/>
      <c r="BZ54" s="205"/>
      <c r="CA54" s="205"/>
      <c r="CB54" s="205"/>
      <c r="CC54" s="205"/>
      <c r="CD54" s="205"/>
      <c r="CE54" s="205"/>
      <c r="CF54" s="205"/>
      <c r="CG54" s="205"/>
      <c r="CH54" s="205"/>
      <c r="CI54" s="205"/>
      <c r="CJ54" s="205"/>
      <c r="CK54" s="205"/>
      <c r="CL54" s="205"/>
      <c r="CM54" s="205"/>
      <c r="CN54" s="205"/>
      <c r="CO54" s="205"/>
      <c r="CP54" s="205"/>
      <c r="CQ54" s="205"/>
      <c r="CR54" s="205"/>
      <c r="CS54" s="205"/>
      <c r="CT54" s="205"/>
      <c r="CU54" s="34"/>
      <c r="CV54" s="34"/>
      <c r="CW54" s="34"/>
      <c r="CX54" s="205"/>
      <c r="CY54" s="205"/>
      <c r="CZ54" s="205"/>
      <c r="DA54" s="205"/>
      <c r="DB54" s="205"/>
      <c r="DC54" s="205"/>
      <c r="DD54" s="205"/>
      <c r="DE54" s="205"/>
      <c r="DF54" s="205"/>
      <c r="DG54" s="205"/>
      <c r="DH54" s="205"/>
      <c r="DI54" s="205"/>
      <c r="DJ54" s="205"/>
      <c r="DK54" s="205"/>
      <c r="DL54" s="205"/>
      <c r="DM54" s="205"/>
      <c r="DN54" s="205"/>
      <c r="DO54" s="34"/>
      <c r="DP54" s="204"/>
      <c r="DQ54" s="205"/>
      <c r="DR54" s="205"/>
      <c r="DS54" s="205"/>
      <c r="DT54" s="205"/>
      <c r="DU54" s="205"/>
      <c r="DV54" s="205"/>
      <c r="DW54" s="205"/>
      <c r="DX54" s="205"/>
      <c r="DY54" s="205"/>
      <c r="DZ54" s="205"/>
      <c r="EA54" s="205"/>
      <c r="EB54" s="205"/>
      <c r="EC54" s="205"/>
      <c r="ED54" s="205"/>
      <c r="EE54" s="205"/>
      <c r="EF54" s="205"/>
      <c r="EG54" s="205"/>
      <c r="EH54" s="205"/>
      <c r="EI54" s="205"/>
      <c r="EJ54" s="205"/>
      <c r="EK54" s="205"/>
      <c r="EL54" s="205"/>
      <c r="EM54" s="205"/>
      <c r="EN54" s="205"/>
      <c r="EO54" s="205"/>
      <c r="EP54" s="205"/>
      <c r="EQ54" s="205"/>
      <c r="ER54" s="205"/>
      <c r="ES54" s="205"/>
      <c r="ET54" s="205"/>
      <c r="EU54" s="34"/>
      <c r="EV54" s="34"/>
      <c r="EW54" s="34"/>
      <c r="EX54" s="205"/>
      <c r="EY54" s="205"/>
      <c r="EZ54" s="205"/>
      <c r="FA54" s="205"/>
      <c r="FB54" s="205"/>
      <c r="FC54" s="205"/>
      <c r="FD54" s="205"/>
      <c r="FE54" s="205"/>
      <c r="FF54" s="205"/>
      <c r="FG54" s="205"/>
      <c r="FH54" s="205"/>
      <c r="FI54" s="205"/>
      <c r="FJ54" s="205"/>
      <c r="FK54" s="205"/>
      <c r="FL54" s="205"/>
      <c r="FM54" s="205"/>
      <c r="FN54" s="205"/>
      <c r="FO54" s="34"/>
      <c r="FP54" s="206"/>
      <c r="FQ54" s="207"/>
      <c r="FR54" s="207"/>
      <c r="FS54" s="207"/>
      <c r="FT54" s="207"/>
      <c r="FU54" s="207"/>
      <c r="FV54" s="207"/>
      <c r="FW54" s="207"/>
      <c r="FX54" s="207"/>
      <c r="FY54" s="207"/>
      <c r="FZ54" s="207"/>
      <c r="GA54" s="207"/>
      <c r="GB54" s="207"/>
      <c r="GC54" s="207"/>
      <c r="GD54" s="207"/>
      <c r="GE54" s="207"/>
      <c r="GF54" s="207"/>
      <c r="GG54" s="207"/>
      <c r="GH54" s="207"/>
      <c r="GI54" s="207"/>
      <c r="GJ54" s="207"/>
      <c r="GK54" s="207"/>
      <c r="GL54" s="207"/>
      <c r="GM54" s="207"/>
      <c r="GN54" s="207"/>
      <c r="GO54" s="207"/>
      <c r="GP54" s="207"/>
      <c r="GQ54" s="207"/>
      <c r="GR54" s="207"/>
      <c r="GS54" s="207"/>
      <c r="GT54" s="207"/>
      <c r="GU54" s="208"/>
      <c r="GV54" s="208"/>
      <c r="GW54" s="208"/>
      <c r="GX54" s="207"/>
      <c r="GY54" s="207"/>
      <c r="GZ54" s="207"/>
      <c r="HA54" s="207"/>
      <c r="HB54" s="207"/>
      <c r="HC54" s="207"/>
      <c r="HD54" s="207"/>
      <c r="HE54" s="207"/>
      <c r="HF54" s="207"/>
      <c r="HG54" s="207"/>
      <c r="HH54" s="207"/>
      <c r="HI54" s="207"/>
      <c r="HJ54" s="207"/>
      <c r="HK54" s="207"/>
      <c r="HL54" s="207"/>
      <c r="HM54" s="207"/>
      <c r="HN54" s="207"/>
      <c r="HO54" s="208"/>
      <c r="HP54" s="206"/>
      <c r="HQ54" s="207"/>
      <c r="HR54" s="207"/>
      <c r="HS54" s="207"/>
      <c r="HT54" s="207"/>
      <c r="HU54" s="207"/>
      <c r="HV54" s="207"/>
      <c r="HW54" s="207"/>
      <c r="HX54" s="207"/>
      <c r="HY54" s="207"/>
      <c r="HZ54" s="207"/>
      <c r="IA54" s="207"/>
      <c r="IB54" s="207"/>
      <c r="IC54" s="207"/>
      <c r="ID54" s="207"/>
      <c r="IE54" s="207"/>
      <c r="IF54" s="207"/>
      <c r="IG54" s="207"/>
      <c r="IH54" s="207"/>
      <c r="II54" s="207"/>
      <c r="IJ54" s="207"/>
      <c r="IK54" s="207"/>
      <c r="IL54" s="207"/>
      <c r="IM54" s="207"/>
      <c r="IN54" s="207"/>
      <c r="IO54" s="207"/>
      <c r="IP54" s="207"/>
      <c r="IQ54" s="207"/>
      <c r="IR54" s="207"/>
      <c r="IS54" s="207"/>
      <c r="IT54" s="207"/>
      <c r="IU54" s="208"/>
      <c r="IV54" s="208"/>
      <c r="IW54" s="208"/>
      <c r="IX54" s="207"/>
      <c r="IY54" s="207"/>
      <c r="IZ54" s="207"/>
      <c r="JA54" s="207"/>
      <c r="JB54" s="207"/>
      <c r="JC54" s="207"/>
      <c r="JD54" s="207"/>
      <c r="JE54" s="207"/>
      <c r="JF54" s="207"/>
      <c r="JG54" s="207"/>
      <c r="JH54" s="207"/>
      <c r="JI54" s="207"/>
      <c r="JJ54" s="207"/>
      <c r="JK54" s="207"/>
      <c r="JL54" s="207"/>
      <c r="JM54" s="207"/>
      <c r="JN54" s="207"/>
      <c r="JO54" s="208"/>
      <c r="JP54" s="206"/>
      <c r="JQ54" s="207"/>
      <c r="JR54" s="207"/>
      <c r="JS54" s="207"/>
      <c r="JT54" s="207"/>
      <c r="JU54" s="207"/>
      <c r="JV54" s="207"/>
      <c r="JW54" s="207"/>
      <c r="JX54" s="207"/>
      <c r="JY54" s="207"/>
      <c r="JZ54" s="207"/>
      <c r="KA54" s="207"/>
      <c r="KB54" s="207"/>
      <c r="KC54" s="207"/>
      <c r="KD54" s="207"/>
      <c r="KE54" s="207"/>
      <c r="KF54" s="207"/>
      <c r="KG54" s="207"/>
      <c r="KH54" s="207"/>
      <c r="KI54" s="207"/>
      <c r="KJ54" s="207"/>
      <c r="KK54" s="207"/>
      <c r="KL54" s="207"/>
      <c r="KM54" s="207"/>
      <c r="KN54" s="207"/>
      <c r="KO54" s="207"/>
      <c r="KP54" s="207"/>
      <c r="KQ54" s="207"/>
      <c r="KR54" s="207"/>
      <c r="KS54" s="207"/>
      <c r="KT54" s="207"/>
      <c r="KU54" s="208"/>
      <c r="KV54" s="208"/>
      <c r="KW54" s="208"/>
      <c r="KX54" s="207"/>
      <c r="KY54" s="207"/>
      <c r="KZ54" s="207"/>
      <c r="LA54" s="207"/>
      <c r="LB54" s="207"/>
      <c r="LC54" s="207"/>
      <c r="LD54" s="207"/>
      <c r="LE54" s="207"/>
      <c r="LF54" s="207"/>
      <c r="LG54" s="207"/>
      <c r="LH54" s="207"/>
      <c r="LI54" s="207"/>
      <c r="LJ54" s="207"/>
      <c r="LK54" s="207"/>
      <c r="LL54" s="207"/>
      <c r="LM54" s="207"/>
      <c r="LN54" s="207"/>
      <c r="LO54" s="209"/>
      <c r="LP54" s="207"/>
      <c r="LQ54" s="207"/>
      <c r="LR54" s="207"/>
      <c r="LS54" s="207"/>
      <c r="LT54" s="207"/>
      <c r="LU54" s="207"/>
      <c r="LV54" s="207"/>
      <c r="LW54" s="207"/>
      <c r="LX54" s="207"/>
      <c r="LY54" s="207"/>
      <c r="LZ54" s="207"/>
      <c r="MA54" s="207"/>
      <c r="MB54" s="207"/>
      <c r="MC54" s="207"/>
      <c r="MD54" s="207"/>
      <c r="ME54" s="207"/>
      <c r="MF54" s="207"/>
      <c r="MG54" s="207"/>
      <c r="MH54" s="207"/>
      <c r="MI54" s="207"/>
      <c r="MJ54" s="207"/>
      <c r="MK54" s="207"/>
      <c r="ML54" s="207"/>
      <c r="MM54" s="207"/>
      <c r="MN54" s="207"/>
      <c r="MO54" s="207"/>
      <c r="MP54" s="207"/>
      <c r="MQ54" s="207"/>
      <c r="MR54" s="207"/>
      <c r="MS54" s="207"/>
      <c r="MT54" s="207"/>
      <c r="MU54" s="208"/>
      <c r="MV54" s="208"/>
      <c r="MW54" s="208"/>
      <c r="MX54" s="207"/>
      <c r="MY54" s="207"/>
      <c r="MZ54" s="207"/>
      <c r="NA54" s="207"/>
      <c r="NB54" s="207"/>
      <c r="NC54" s="207"/>
      <c r="ND54" s="207"/>
      <c r="NE54" s="207"/>
      <c r="NF54" s="207"/>
      <c r="NG54" s="207"/>
      <c r="NH54" s="207"/>
      <c r="NI54" s="207"/>
      <c r="NJ54" s="207"/>
      <c r="NK54" s="207"/>
      <c r="NL54" s="207"/>
      <c r="NM54" s="207"/>
      <c r="NN54" s="207"/>
      <c r="NO54" s="208"/>
    </row>
    <row r="55" spans="1:379" ht="41.1" hidden="1" customHeight="1">
      <c r="A55" s="106" t="s">
        <v>249</v>
      </c>
      <c r="B55" s="60" t="s">
        <v>250</v>
      </c>
      <c r="C55" s="105" t="s">
        <v>207</v>
      </c>
      <c r="D55" s="105"/>
      <c r="E55" s="155" t="s">
        <v>251</v>
      </c>
      <c r="F55" s="277"/>
      <c r="G55" s="117">
        <v>25</v>
      </c>
      <c r="H55" s="117">
        <v>10</v>
      </c>
      <c r="I55" s="117"/>
      <c r="J55" s="117">
        <v>30</v>
      </c>
      <c r="K55" s="117"/>
      <c r="L55" s="66">
        <f>SUM(G55:K55)</f>
        <v>65</v>
      </c>
      <c r="M55" s="66"/>
      <c r="N55" s="168" t="s">
        <v>252</v>
      </c>
      <c r="O55" s="121" t="s">
        <v>232</v>
      </c>
      <c r="P55" s="20"/>
      <c r="BP55" s="20"/>
      <c r="DP55" s="20"/>
      <c r="FP55" s="20"/>
      <c r="HP55" s="20"/>
      <c r="JP55" s="20"/>
      <c r="KU55" s="21"/>
      <c r="KV55" s="21"/>
      <c r="KW55" s="21"/>
      <c r="LO55" s="22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 s="21"/>
      <c r="MV55" s="21"/>
      <c r="MW55" s="21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 s="21"/>
    </row>
    <row r="56" spans="1:379" ht="41.1" hidden="1" customHeight="1" thickBot="1">
      <c r="A56" s="106" t="s">
        <v>249</v>
      </c>
      <c r="B56" s="154" t="s">
        <v>250</v>
      </c>
      <c r="C56" s="105" t="s">
        <v>207</v>
      </c>
      <c r="D56" s="105"/>
      <c r="E56" s="158" t="s">
        <v>251</v>
      </c>
      <c r="F56" s="106"/>
      <c r="G56" s="176">
        <v>25</v>
      </c>
      <c r="H56" s="176">
        <v>10</v>
      </c>
      <c r="I56" s="176"/>
      <c r="J56" s="176">
        <v>30</v>
      </c>
      <c r="K56" s="176"/>
      <c r="L56" s="66">
        <f>SUM(G56:K56)</f>
        <v>65</v>
      </c>
      <c r="M56" s="106"/>
      <c r="N56" s="178" t="s">
        <v>252</v>
      </c>
      <c r="O56" s="95" t="s">
        <v>233</v>
      </c>
      <c r="P56" s="20"/>
      <c r="BP56" s="20"/>
      <c r="DP56" s="20"/>
      <c r="FP56" s="20"/>
      <c r="HP56" s="20"/>
      <c r="JP56" s="20"/>
      <c r="KU56" s="21"/>
      <c r="KV56" s="21"/>
      <c r="KW56" s="21"/>
      <c r="LO56" s="22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 s="21"/>
      <c r="MV56" s="21"/>
      <c r="MW56" s="21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 s="21"/>
    </row>
    <row r="57" spans="1:379" ht="36.6" customHeight="1" thickBot="1">
      <c r="A57" s="278" t="s">
        <v>253</v>
      </c>
      <c r="B57" s="279"/>
      <c r="C57" s="280" t="s">
        <v>138</v>
      </c>
      <c r="D57" s="280"/>
      <c r="E57" s="201"/>
      <c r="F57" s="276"/>
      <c r="G57" s="281"/>
      <c r="H57" s="282"/>
      <c r="I57" s="282"/>
      <c r="J57" s="282"/>
      <c r="K57" s="282"/>
      <c r="L57" s="283"/>
      <c r="M57" s="201"/>
      <c r="N57" s="75"/>
      <c r="O57" s="284" t="s">
        <v>138</v>
      </c>
      <c r="P57" s="204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34"/>
      <c r="AV57" s="34"/>
      <c r="AW57" s="34"/>
      <c r="AX57" s="205"/>
      <c r="AY57" s="205"/>
      <c r="AZ57" s="205"/>
      <c r="BA57" s="205"/>
      <c r="BB57" s="205"/>
      <c r="BC57" s="205"/>
      <c r="BD57" s="205"/>
      <c r="BE57" s="205"/>
      <c r="BF57" s="205"/>
      <c r="BG57" s="205"/>
      <c r="BH57" s="205"/>
      <c r="BI57" s="205"/>
      <c r="BJ57" s="205"/>
      <c r="BK57" s="205"/>
      <c r="BL57" s="205"/>
      <c r="BM57" s="205"/>
      <c r="BN57" s="205"/>
      <c r="BO57" s="34"/>
      <c r="BP57" s="204"/>
      <c r="BQ57" s="205"/>
      <c r="BR57" s="205"/>
      <c r="BS57" s="205"/>
      <c r="BT57" s="205"/>
      <c r="BU57" s="205"/>
      <c r="BV57" s="205"/>
      <c r="BW57" s="205"/>
      <c r="BX57" s="205"/>
      <c r="BY57" s="205"/>
      <c r="BZ57" s="205"/>
      <c r="CA57" s="205"/>
      <c r="CB57" s="205"/>
      <c r="CC57" s="205"/>
      <c r="CD57" s="205"/>
      <c r="CE57" s="205"/>
      <c r="CF57" s="205"/>
      <c r="CG57" s="205"/>
      <c r="CH57" s="205"/>
      <c r="CI57" s="205"/>
      <c r="CJ57" s="205"/>
      <c r="CK57" s="205"/>
      <c r="CL57" s="205"/>
      <c r="CM57" s="205"/>
      <c r="CN57" s="205"/>
      <c r="CO57" s="205"/>
      <c r="CP57" s="205"/>
      <c r="CQ57" s="205"/>
      <c r="CR57" s="205"/>
      <c r="CS57" s="205"/>
      <c r="CT57" s="205"/>
      <c r="CU57" s="34"/>
      <c r="CV57" s="34"/>
      <c r="CW57" s="34"/>
      <c r="CX57" s="205"/>
      <c r="CY57" s="205"/>
      <c r="CZ57" s="205"/>
      <c r="DA57" s="205"/>
      <c r="DB57" s="205"/>
      <c r="DC57" s="205"/>
      <c r="DD57" s="205"/>
      <c r="DE57" s="205"/>
      <c r="DF57" s="205"/>
      <c r="DG57" s="205"/>
      <c r="DH57" s="205"/>
      <c r="DI57" s="205"/>
      <c r="DJ57" s="205"/>
      <c r="DK57" s="205"/>
      <c r="DL57" s="205"/>
      <c r="DM57" s="205"/>
      <c r="DN57" s="205"/>
      <c r="DO57" s="34"/>
      <c r="DP57" s="204"/>
      <c r="DQ57" s="205"/>
      <c r="DR57" s="205"/>
      <c r="DS57" s="205"/>
      <c r="DT57" s="205"/>
      <c r="DU57" s="205"/>
      <c r="DV57" s="205"/>
      <c r="DW57" s="205"/>
      <c r="DX57" s="205"/>
      <c r="DY57" s="205"/>
      <c r="DZ57" s="205"/>
      <c r="EA57" s="205"/>
      <c r="EB57" s="205"/>
      <c r="EC57" s="205"/>
      <c r="ED57" s="205"/>
      <c r="EE57" s="205"/>
      <c r="EF57" s="205"/>
      <c r="EG57" s="205"/>
      <c r="EH57" s="205"/>
      <c r="EI57" s="205"/>
      <c r="EJ57" s="205"/>
      <c r="EK57" s="205"/>
      <c r="EL57" s="205"/>
      <c r="EM57" s="205"/>
      <c r="EN57" s="205"/>
      <c r="EO57" s="205"/>
      <c r="EP57" s="205"/>
      <c r="EQ57" s="205"/>
      <c r="ER57" s="205"/>
      <c r="ES57" s="205"/>
      <c r="ET57" s="205"/>
      <c r="EU57" s="34"/>
      <c r="EV57" s="34"/>
      <c r="EW57" s="34"/>
      <c r="EX57" s="205"/>
      <c r="EY57" s="205"/>
      <c r="EZ57" s="205"/>
      <c r="FA57" s="205"/>
      <c r="FB57" s="205"/>
      <c r="FC57" s="205"/>
      <c r="FD57" s="205"/>
      <c r="FE57" s="205"/>
      <c r="FF57" s="205"/>
      <c r="FG57" s="205"/>
      <c r="FH57" s="205"/>
      <c r="FI57" s="205"/>
      <c r="FJ57" s="205"/>
      <c r="FK57" s="205"/>
      <c r="FL57" s="205"/>
      <c r="FM57" s="205"/>
      <c r="FN57" s="205"/>
      <c r="FO57" s="34"/>
      <c r="FP57" s="204"/>
      <c r="FQ57" s="205"/>
      <c r="FR57" s="205"/>
      <c r="FS57" s="205"/>
      <c r="FT57" s="205"/>
      <c r="FU57" s="205"/>
      <c r="FV57" s="205"/>
      <c r="FW57" s="205"/>
      <c r="FX57" s="205"/>
      <c r="FY57" s="205"/>
      <c r="FZ57" s="205"/>
      <c r="GA57" s="205"/>
      <c r="GB57" s="205"/>
      <c r="GC57" s="205"/>
      <c r="GD57" s="205"/>
      <c r="GE57" s="205"/>
      <c r="GF57" s="205"/>
      <c r="GG57" s="205"/>
      <c r="GH57" s="205"/>
      <c r="GI57" s="205"/>
      <c r="GJ57" s="205"/>
      <c r="GK57" s="205"/>
      <c r="GL57" s="205"/>
      <c r="GM57" s="205"/>
      <c r="GN57" s="205"/>
      <c r="GO57" s="205"/>
      <c r="GP57" s="205"/>
      <c r="GQ57" s="205"/>
      <c r="GR57" s="205"/>
      <c r="GS57" s="205"/>
      <c r="GT57" s="205"/>
      <c r="GU57" s="34"/>
      <c r="GV57" s="34"/>
      <c r="GW57" s="34"/>
      <c r="GX57" s="205"/>
      <c r="GY57" s="205"/>
      <c r="GZ57" s="205"/>
      <c r="HA57" s="205"/>
      <c r="HB57" s="205"/>
      <c r="HC57" s="205"/>
      <c r="HD57" s="205"/>
      <c r="HE57" s="205"/>
      <c r="HF57" s="205"/>
      <c r="HG57" s="205"/>
      <c r="HH57" s="205"/>
      <c r="HI57" s="205"/>
      <c r="HJ57" s="205"/>
      <c r="HK57" s="205"/>
      <c r="HL57" s="205"/>
      <c r="HM57" s="205"/>
      <c r="HN57" s="205"/>
      <c r="HO57" s="34"/>
      <c r="HP57" s="204"/>
      <c r="HQ57" s="205"/>
      <c r="HR57" s="205"/>
      <c r="HS57" s="205"/>
      <c r="HT57" s="205"/>
      <c r="HU57" s="205"/>
      <c r="HV57" s="205"/>
      <c r="HW57" s="205"/>
      <c r="HX57" s="205"/>
      <c r="HY57" s="205"/>
      <c r="HZ57" s="205"/>
      <c r="IA57" s="205"/>
      <c r="IB57" s="205"/>
      <c r="IC57" s="205"/>
      <c r="ID57" s="205"/>
      <c r="IE57" s="205"/>
      <c r="IF57" s="205"/>
      <c r="IG57" s="205"/>
      <c r="IH57" s="205"/>
      <c r="II57" s="205"/>
      <c r="IJ57" s="205"/>
      <c r="IK57" s="205"/>
      <c r="IL57" s="205"/>
      <c r="IM57" s="205"/>
      <c r="IN57" s="205"/>
      <c r="IO57" s="205"/>
      <c r="IP57" s="205"/>
      <c r="IQ57" s="205"/>
      <c r="IR57" s="205"/>
      <c r="IS57" s="205"/>
      <c r="IT57" s="205"/>
      <c r="IU57" s="34"/>
      <c r="IV57" s="34"/>
      <c r="IW57" s="34"/>
      <c r="IX57" s="205"/>
      <c r="IY57" s="205"/>
      <c r="IZ57" s="205"/>
      <c r="JA57" s="205"/>
      <c r="JB57" s="205"/>
      <c r="JC57" s="205"/>
      <c r="JD57" s="205"/>
      <c r="JE57" s="205"/>
      <c r="JF57" s="205"/>
      <c r="JG57" s="205"/>
      <c r="JH57" s="205"/>
      <c r="JI57" s="205"/>
      <c r="JJ57" s="205"/>
      <c r="JK57" s="205"/>
      <c r="JL57" s="205"/>
      <c r="JM57" s="205"/>
      <c r="JN57" s="205"/>
      <c r="JO57" s="34"/>
      <c r="JP57" s="204"/>
      <c r="JQ57" s="205"/>
      <c r="JR57" s="205"/>
      <c r="JS57" s="205"/>
      <c r="JT57" s="205"/>
      <c r="JU57" s="205"/>
      <c r="JV57" s="205"/>
      <c r="JW57" s="205"/>
      <c r="JX57" s="205"/>
      <c r="JY57" s="205"/>
      <c r="JZ57" s="205"/>
      <c r="KA57" s="205"/>
      <c r="KB57" s="205"/>
      <c r="KC57" s="205"/>
      <c r="KD57" s="205"/>
      <c r="KE57" s="205"/>
      <c r="KF57" s="205"/>
      <c r="KG57" s="205"/>
      <c r="KH57" s="205"/>
      <c r="KI57" s="205"/>
      <c r="KJ57" s="205"/>
      <c r="KK57" s="205"/>
      <c r="KL57" s="205"/>
      <c r="KM57" s="205"/>
      <c r="KN57" s="205"/>
      <c r="KO57" s="205"/>
      <c r="KP57" s="205"/>
      <c r="KQ57" s="205"/>
      <c r="KR57" s="205"/>
      <c r="KS57" s="205"/>
      <c r="KT57" s="205"/>
      <c r="KU57" s="34"/>
      <c r="KV57" s="34"/>
      <c r="KW57" s="34"/>
      <c r="KX57" s="205"/>
      <c r="KY57" s="205"/>
      <c r="KZ57" s="205"/>
      <c r="LA57" s="205"/>
      <c r="LB57" s="205"/>
      <c r="LC57" s="205"/>
      <c r="LD57" s="205"/>
      <c r="LE57" s="205"/>
      <c r="LF57" s="205"/>
      <c r="LG57" s="205"/>
      <c r="LH57" s="205"/>
      <c r="LI57" s="205"/>
      <c r="LJ57" s="205"/>
      <c r="LK57" s="205"/>
      <c r="LL57" s="205"/>
      <c r="LM57" s="205"/>
      <c r="LN57" s="205"/>
      <c r="LO57" s="35"/>
      <c r="LP57" s="205"/>
      <c r="LQ57" s="205"/>
      <c r="LR57" s="205"/>
      <c r="LS57" s="205"/>
      <c r="LT57" s="205"/>
      <c r="LU57" s="205"/>
      <c r="LV57" s="205"/>
      <c r="LW57" s="205"/>
      <c r="LX57" s="205"/>
      <c r="LY57" s="205"/>
      <c r="LZ57" s="205"/>
      <c r="MA57" s="205"/>
      <c r="MB57" s="205"/>
      <c r="MC57" s="205"/>
      <c r="MD57" s="205"/>
      <c r="ME57" s="205"/>
      <c r="MF57" s="205"/>
      <c r="MG57" s="205"/>
      <c r="MH57" s="205"/>
      <c r="MI57" s="205"/>
      <c r="MJ57" s="205"/>
      <c r="MK57" s="205"/>
      <c r="ML57" s="205"/>
      <c r="MM57" s="205"/>
      <c r="MN57" s="205"/>
      <c r="MO57" s="205"/>
      <c r="MP57" s="205"/>
      <c r="MQ57" s="205"/>
      <c r="MR57" s="205"/>
      <c r="MS57" s="205"/>
      <c r="MT57" s="205"/>
      <c r="MU57" s="34"/>
      <c r="MV57" s="34"/>
      <c r="MW57" s="34"/>
      <c r="MX57" s="205"/>
      <c r="MY57" s="205"/>
      <c r="MZ57" s="205"/>
      <c r="NA57" s="205"/>
      <c r="NB57" s="205"/>
      <c r="NC57" s="205"/>
      <c r="ND57" s="205"/>
      <c r="NE57" s="205"/>
      <c r="NF57" s="205"/>
      <c r="NG57" s="205"/>
      <c r="NH57" s="205"/>
      <c r="NI57" s="205"/>
      <c r="NJ57" s="205"/>
      <c r="NK57" s="205"/>
      <c r="NL57" s="205"/>
      <c r="NM57" s="205"/>
      <c r="NN57" s="205"/>
      <c r="NO57" s="34"/>
    </row>
    <row r="58" spans="1:379" ht="40.35" customHeight="1" thickBot="1">
      <c r="A58" s="285" t="s">
        <v>254</v>
      </c>
      <c r="B58" s="225" t="s">
        <v>255</v>
      </c>
      <c r="C58" s="286" t="s">
        <v>162</v>
      </c>
      <c r="D58" s="287" t="s">
        <v>168</v>
      </c>
      <c r="E58" s="288" t="s">
        <v>256</v>
      </c>
      <c r="F58" s="219"/>
      <c r="G58" s="117">
        <v>150</v>
      </c>
      <c r="H58" s="289"/>
      <c r="I58" s="117">
        <v>0</v>
      </c>
      <c r="J58" s="118">
        <v>270</v>
      </c>
      <c r="K58" s="118">
        <v>500</v>
      </c>
      <c r="L58" s="119">
        <f>SUM(G58:K58)</f>
        <v>920</v>
      </c>
      <c r="M58" s="221"/>
      <c r="N58" s="290" t="s">
        <v>257</v>
      </c>
      <c r="O58" s="291" t="s">
        <v>258</v>
      </c>
      <c r="P58" s="20"/>
      <c r="BP58" s="20"/>
      <c r="DP58" s="20"/>
      <c r="FP58" s="20"/>
      <c r="HP58" s="20"/>
      <c r="JP58" s="20"/>
      <c r="KP58" s="292">
        <v>1</v>
      </c>
      <c r="KQ58" s="292">
        <f>KP58+1</f>
        <v>2</v>
      </c>
      <c r="KR58" s="292">
        <f>KQ58+1</f>
        <v>3</v>
      </c>
      <c r="KS58" s="292">
        <f>KR58+1</f>
        <v>4</v>
      </c>
      <c r="KT58" s="292">
        <f>KS58+1</f>
        <v>5</v>
      </c>
      <c r="KU58" s="122"/>
      <c r="KV58" s="122"/>
      <c r="KW58" s="122"/>
      <c r="KX58" s="292">
        <f>KT58+1</f>
        <v>6</v>
      </c>
      <c r="KY58" s="292">
        <f t="shared" ref="KY58:LI59" si="36">KX58+1</f>
        <v>7</v>
      </c>
      <c r="KZ58" s="292">
        <f t="shared" si="36"/>
        <v>8</v>
      </c>
      <c r="LA58" s="292">
        <f t="shared" si="36"/>
        <v>9</v>
      </c>
      <c r="LB58" s="292">
        <f t="shared" si="36"/>
        <v>10</v>
      </c>
      <c r="LC58" s="292">
        <f t="shared" si="36"/>
        <v>11</v>
      </c>
      <c r="LD58" s="292">
        <f t="shared" si="36"/>
        <v>12</v>
      </c>
      <c r="LE58" s="292">
        <f t="shared" si="36"/>
        <v>13</v>
      </c>
      <c r="LF58" s="292">
        <f t="shared" si="36"/>
        <v>14</v>
      </c>
      <c r="LG58" s="292">
        <f t="shared" si="36"/>
        <v>15</v>
      </c>
      <c r="LH58" s="292">
        <f t="shared" si="36"/>
        <v>16</v>
      </c>
      <c r="LI58" s="292">
        <f t="shared" si="36"/>
        <v>17</v>
      </c>
      <c r="LO58" s="22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 s="21"/>
      <c r="MV58" s="21"/>
      <c r="MW58" s="21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 s="21"/>
    </row>
    <row r="59" spans="1:379" ht="15" hidden="1" thickBot="1">
      <c r="A59" s="125" t="s">
        <v>259</v>
      </c>
      <c r="B59" s="59"/>
      <c r="C59" s="293" t="s">
        <v>174</v>
      </c>
      <c r="D59" s="293" t="s">
        <v>168</v>
      </c>
      <c r="E59" s="285" t="s">
        <v>256</v>
      </c>
      <c r="F59" s="285"/>
      <c r="G59" s="1">
        <v>50</v>
      </c>
      <c r="H59" s="176">
        <v>10</v>
      </c>
      <c r="I59" s="176"/>
      <c r="J59" s="118">
        <v>270</v>
      </c>
      <c r="K59" s="294">
        <v>0</v>
      </c>
      <c r="L59" s="66">
        <f>SUM(G59:K59)</f>
        <v>330</v>
      </c>
      <c r="M59" s="20"/>
      <c r="N59" s="295"/>
      <c r="O59" s="296" t="s">
        <v>260</v>
      </c>
      <c r="P59" s="20"/>
      <c r="BP59" s="20"/>
      <c r="DP59" s="20"/>
      <c r="FP59" s="20"/>
      <c r="HP59" s="20"/>
      <c r="JP59" s="20"/>
      <c r="KT59" s="292">
        <v>1</v>
      </c>
      <c r="KU59" s="122"/>
      <c r="KV59" s="122"/>
      <c r="KW59" s="122"/>
      <c r="KX59" s="292">
        <f>KT59+1</f>
        <v>2</v>
      </c>
      <c r="KY59" s="292">
        <f t="shared" si="36"/>
        <v>3</v>
      </c>
      <c r="KZ59" s="292">
        <f t="shared" si="36"/>
        <v>4</v>
      </c>
      <c r="LA59" s="292">
        <f t="shared" si="36"/>
        <v>5</v>
      </c>
      <c r="LB59" s="292">
        <f t="shared" si="36"/>
        <v>6</v>
      </c>
      <c r="LC59" s="292">
        <f t="shared" si="36"/>
        <v>7</v>
      </c>
      <c r="LD59" s="292">
        <f t="shared" si="36"/>
        <v>8</v>
      </c>
      <c r="LE59" s="292">
        <f t="shared" si="36"/>
        <v>9</v>
      </c>
      <c r="LF59" s="292">
        <f t="shared" si="36"/>
        <v>10</v>
      </c>
      <c r="LG59" s="292">
        <f t="shared" si="36"/>
        <v>11</v>
      </c>
      <c r="LH59" s="292">
        <f t="shared" si="36"/>
        <v>12</v>
      </c>
      <c r="LI59" s="292">
        <f t="shared" si="36"/>
        <v>13</v>
      </c>
      <c r="LJ59" s="292">
        <f>LI59+1</f>
        <v>14</v>
      </c>
      <c r="LK59" s="292">
        <f>LJ59+1</f>
        <v>15</v>
      </c>
      <c r="LL59" s="292">
        <f>LK59+1</f>
        <v>16</v>
      </c>
      <c r="LM59" s="292">
        <f>LL59+1</f>
        <v>17</v>
      </c>
      <c r="LO59" s="22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 s="21"/>
      <c r="MV59" s="21"/>
      <c r="MW59" s="21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 s="21"/>
    </row>
    <row r="60" spans="1:379" s="49" customFormat="1" ht="49.35" customHeight="1" thickBot="1">
      <c r="A60" s="188" t="s">
        <v>261</v>
      </c>
      <c r="B60" s="297"/>
      <c r="C60" s="298" t="s">
        <v>138</v>
      </c>
      <c r="D60" s="298"/>
      <c r="E60" s="299"/>
      <c r="F60" s="299"/>
      <c r="G60" s="39"/>
      <c r="H60" s="39"/>
      <c r="I60" s="39"/>
      <c r="J60" s="39"/>
      <c r="K60" s="39"/>
      <c r="L60" s="300"/>
      <c r="M60" s="189"/>
      <c r="N60" s="301"/>
      <c r="O60" s="302" t="s">
        <v>138</v>
      </c>
      <c r="P60" s="303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303"/>
      <c r="BQ60" s="194"/>
      <c r="BR60" s="194"/>
      <c r="BS60" s="194"/>
      <c r="BT60" s="194"/>
      <c r="BU60" s="194"/>
      <c r="BV60" s="194"/>
      <c r="BW60" s="194"/>
      <c r="BX60" s="194"/>
      <c r="BY60" s="194"/>
      <c r="BZ60" s="194"/>
      <c r="CA60" s="194"/>
      <c r="CB60" s="194"/>
      <c r="CC60" s="194"/>
      <c r="CD60" s="194"/>
      <c r="CE60" s="194"/>
      <c r="CF60" s="194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  <c r="CV60" s="194"/>
      <c r="CW60" s="194"/>
      <c r="CX60" s="194"/>
      <c r="CY60" s="194"/>
      <c r="CZ60" s="194"/>
      <c r="DA60" s="194"/>
      <c r="DB60" s="194"/>
      <c r="DC60" s="194"/>
      <c r="DD60" s="194"/>
      <c r="DE60" s="194"/>
      <c r="DF60" s="194"/>
      <c r="DG60" s="194"/>
      <c r="DH60" s="194"/>
      <c r="DI60" s="194"/>
      <c r="DJ60" s="194"/>
      <c r="DK60" s="194"/>
      <c r="DL60" s="194"/>
      <c r="DM60" s="194"/>
      <c r="DN60" s="194"/>
      <c r="DO60" s="194"/>
      <c r="DP60" s="303"/>
      <c r="DQ60" s="194"/>
      <c r="DR60" s="194"/>
      <c r="DS60" s="194"/>
      <c r="DT60" s="194"/>
      <c r="DU60" s="194"/>
      <c r="DV60" s="194"/>
      <c r="DW60" s="194"/>
      <c r="DX60" s="194"/>
      <c r="DY60" s="194"/>
      <c r="DZ60" s="194"/>
      <c r="EA60" s="194"/>
      <c r="EB60" s="194"/>
      <c r="EC60" s="194"/>
      <c r="ED60" s="194"/>
      <c r="EE60" s="194"/>
      <c r="EF60" s="194"/>
      <c r="EG60" s="194"/>
      <c r="EH60" s="194"/>
      <c r="EI60" s="194"/>
      <c r="EJ60" s="194"/>
      <c r="EK60" s="194"/>
      <c r="EL60" s="194"/>
      <c r="EM60" s="194"/>
      <c r="EN60" s="194"/>
      <c r="EO60" s="194"/>
      <c r="EP60" s="194"/>
      <c r="EQ60" s="194"/>
      <c r="ER60" s="194"/>
      <c r="ES60" s="194"/>
      <c r="ET60" s="194"/>
      <c r="EU60" s="194"/>
      <c r="EV60" s="194"/>
      <c r="EW60" s="194"/>
      <c r="EX60" s="194"/>
      <c r="EY60" s="194"/>
      <c r="EZ60" s="194"/>
      <c r="FA60" s="194"/>
      <c r="FB60" s="194"/>
      <c r="FC60" s="194"/>
      <c r="FD60" s="194"/>
      <c r="FE60" s="194"/>
      <c r="FF60" s="194"/>
      <c r="FG60" s="194"/>
      <c r="FH60" s="194"/>
      <c r="FI60" s="194"/>
      <c r="FJ60" s="194"/>
      <c r="FK60" s="194"/>
      <c r="FL60" s="194"/>
      <c r="FM60" s="194"/>
      <c r="FN60" s="194"/>
      <c r="FO60" s="194"/>
      <c r="FP60" s="303"/>
      <c r="FQ60" s="194"/>
      <c r="FR60" s="194"/>
      <c r="FS60" s="194"/>
      <c r="FT60" s="194"/>
      <c r="FU60" s="194"/>
      <c r="FV60" s="194"/>
      <c r="FW60" s="194"/>
      <c r="FX60" s="194" t="s">
        <v>262</v>
      </c>
      <c r="FY60" s="194"/>
      <c r="FZ60" s="194"/>
      <c r="GA60" s="194"/>
      <c r="GB60" s="194"/>
      <c r="GC60" s="194"/>
      <c r="GD60" s="194"/>
      <c r="GE60" s="194"/>
      <c r="GF60" s="194"/>
      <c r="GG60" s="194"/>
      <c r="GH60" s="194"/>
      <c r="GI60" s="194"/>
      <c r="GJ60" s="194"/>
      <c r="GK60" s="194"/>
      <c r="GL60" s="194"/>
      <c r="GM60" s="194"/>
      <c r="GN60" s="194"/>
      <c r="GO60" s="194"/>
      <c r="GP60" s="194"/>
      <c r="GQ60" s="194"/>
      <c r="GR60" s="194"/>
      <c r="GS60" s="194"/>
      <c r="GT60" s="194"/>
      <c r="GU60" s="194"/>
      <c r="GV60" s="194"/>
      <c r="GW60" s="194"/>
      <c r="GX60" s="194"/>
      <c r="GY60" s="194"/>
      <c r="GZ60" s="194"/>
      <c r="HA60" s="194"/>
      <c r="HB60" s="194"/>
      <c r="HC60" s="194"/>
      <c r="HD60" s="194"/>
      <c r="HE60" s="194"/>
      <c r="HF60" s="194"/>
      <c r="HG60" s="194"/>
      <c r="HH60" s="194"/>
      <c r="HI60" s="194"/>
      <c r="HJ60" s="194"/>
      <c r="HK60" s="194"/>
      <c r="HL60" s="194"/>
      <c r="HM60" s="194"/>
      <c r="HN60" s="194"/>
      <c r="HO60" s="194"/>
      <c r="HP60" s="303" t="s">
        <v>141</v>
      </c>
      <c r="HQ60" s="194"/>
      <c r="HR60" s="194"/>
      <c r="HS60" s="194"/>
      <c r="HT60" s="194"/>
      <c r="HU60" s="194"/>
      <c r="HV60" s="194"/>
      <c r="HW60" s="194"/>
      <c r="HX60" s="194"/>
      <c r="HY60" s="194"/>
      <c r="HZ60" s="194"/>
      <c r="IA60" s="194"/>
      <c r="IB60" s="194"/>
      <c r="IC60" s="194"/>
      <c r="ID60" s="194"/>
      <c r="IE60" s="194"/>
      <c r="IF60" s="194"/>
      <c r="IG60" s="194"/>
      <c r="IH60" s="194"/>
      <c r="II60" s="194"/>
      <c r="IJ60" s="194"/>
      <c r="IK60" s="194"/>
      <c r="IL60" s="194"/>
      <c r="IM60" s="194"/>
      <c r="IN60" s="194"/>
      <c r="IO60" s="194"/>
      <c r="IP60" s="194"/>
      <c r="IQ60" s="194"/>
      <c r="IR60" s="194"/>
      <c r="IS60" s="194"/>
      <c r="IT60" s="194"/>
      <c r="IU60" s="194"/>
      <c r="IV60" s="194"/>
      <c r="IW60" s="194"/>
      <c r="IX60" s="194"/>
      <c r="IY60" s="194"/>
      <c r="IZ60" s="194"/>
      <c r="JA60" s="194"/>
      <c r="JB60" s="194"/>
      <c r="JC60" s="194"/>
      <c r="JD60" s="194"/>
      <c r="JE60" s="194"/>
      <c r="JF60" s="194"/>
      <c r="JG60" s="194"/>
      <c r="JH60" s="194"/>
      <c r="JI60" s="194"/>
      <c r="JJ60" s="194"/>
      <c r="JK60" s="194"/>
      <c r="JL60" s="194"/>
      <c r="JM60" s="194"/>
      <c r="JN60" s="194"/>
      <c r="JO60" s="194"/>
      <c r="JP60" s="303"/>
      <c r="JQ60" s="194"/>
      <c r="JR60" s="194"/>
      <c r="JS60" s="194"/>
      <c r="JT60" s="194"/>
      <c r="JU60" s="194"/>
      <c r="JV60" s="194"/>
      <c r="JW60" s="194"/>
      <c r="JX60" s="194"/>
      <c r="JY60" s="194"/>
      <c r="JZ60" s="194"/>
      <c r="KA60" s="194"/>
      <c r="KB60" s="194"/>
      <c r="KC60" s="194"/>
      <c r="KD60" s="194"/>
      <c r="KE60" s="194"/>
      <c r="KF60" s="194"/>
      <c r="KG60" s="194"/>
      <c r="KH60" s="194"/>
      <c r="KI60" s="194"/>
      <c r="KJ60" s="194"/>
      <c r="KK60" s="194"/>
      <c r="KL60" s="194"/>
      <c r="KM60" s="194"/>
      <c r="KN60" s="194"/>
      <c r="KO60" s="194"/>
      <c r="KP60" s="194"/>
      <c r="KQ60" s="194"/>
      <c r="KR60" s="194"/>
      <c r="KS60" s="194"/>
      <c r="KT60" s="194"/>
      <c r="KU60" s="194"/>
      <c r="KV60" s="194"/>
      <c r="KW60" s="194"/>
      <c r="KX60" s="194"/>
      <c r="KY60" s="194"/>
      <c r="KZ60" s="194"/>
      <c r="LA60" s="194"/>
      <c r="LB60" s="194"/>
      <c r="LC60" s="194"/>
      <c r="LD60" s="194"/>
      <c r="LE60" s="194"/>
      <c r="LF60" s="194"/>
      <c r="LG60" s="194"/>
      <c r="LH60" s="194"/>
      <c r="LI60" s="194"/>
      <c r="LJ60" s="194"/>
      <c r="LK60" s="194"/>
      <c r="LL60" s="194"/>
      <c r="LM60" s="194"/>
      <c r="LN60" s="194"/>
      <c r="LO60" s="193"/>
      <c r="LP60" s="194"/>
      <c r="LQ60" s="194"/>
      <c r="LR60" s="194"/>
      <c r="LS60" s="194"/>
      <c r="LT60" s="194"/>
      <c r="LU60" s="194"/>
      <c r="LV60" s="194"/>
      <c r="LW60" s="194"/>
      <c r="LX60" s="194"/>
      <c r="LY60" s="194"/>
      <c r="LZ60" s="194"/>
      <c r="MA60" s="194"/>
      <c r="MB60" s="194"/>
      <c r="MC60" s="194"/>
      <c r="MD60" s="194"/>
      <c r="ME60" s="194"/>
      <c r="MF60" s="194"/>
      <c r="MG60" s="194"/>
      <c r="MH60" s="194"/>
      <c r="MI60" s="194"/>
      <c r="MJ60" s="194"/>
      <c r="MK60" s="194"/>
      <c r="ML60" s="194"/>
      <c r="MM60" s="194"/>
      <c r="MN60" s="194"/>
      <c r="MO60" s="194"/>
      <c r="MP60" s="194"/>
      <c r="MQ60" s="194"/>
      <c r="MR60" s="194"/>
      <c r="MS60" s="194"/>
      <c r="MT60" s="194"/>
      <c r="MU60" s="194"/>
      <c r="MV60" s="194"/>
      <c r="MW60" s="194"/>
      <c r="MX60" s="194"/>
      <c r="MY60" s="194"/>
      <c r="MZ60" s="194"/>
      <c r="NA60" s="194"/>
      <c r="NB60" s="194"/>
      <c r="NC60" s="194"/>
      <c r="ND60" s="194"/>
      <c r="NE60" s="194"/>
      <c r="NF60" s="194"/>
      <c r="NG60" s="194"/>
      <c r="NH60" s="194"/>
      <c r="NI60" s="194"/>
      <c r="NJ60" s="194"/>
      <c r="NK60" s="194"/>
      <c r="NL60" s="194"/>
      <c r="NM60" s="194"/>
      <c r="NN60" s="194"/>
      <c r="NO60" s="194"/>
    </row>
    <row r="61" spans="1:379" ht="15" thickBot="1">
      <c r="A61" s="304" t="s">
        <v>263</v>
      </c>
      <c r="B61" s="305"/>
      <c r="C61" s="305"/>
      <c r="D61" s="305"/>
      <c r="E61" s="305"/>
      <c r="F61" s="305"/>
      <c r="G61" s="306"/>
      <c r="H61" s="306"/>
      <c r="I61" s="306"/>
      <c r="J61" s="306"/>
      <c r="K61" s="306"/>
      <c r="L61" s="305"/>
      <c r="M61" s="305"/>
      <c r="N61" s="307"/>
      <c r="O61" s="308" t="s">
        <v>138</v>
      </c>
      <c r="P61" s="309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310"/>
      <c r="AF61" s="310"/>
      <c r="AG61" s="310"/>
      <c r="AH61" s="310"/>
      <c r="AI61" s="310"/>
      <c r="AJ61" s="310"/>
      <c r="AK61" s="310"/>
      <c r="AL61" s="310"/>
      <c r="AM61" s="310"/>
      <c r="AN61" s="310"/>
      <c r="AO61" s="310"/>
      <c r="AP61" s="310"/>
      <c r="AQ61" s="310"/>
      <c r="AR61" s="310"/>
      <c r="AS61" s="310"/>
      <c r="AT61" s="310"/>
      <c r="AU61" s="310"/>
      <c r="AV61" s="310"/>
      <c r="AW61" s="310"/>
      <c r="AX61" s="310"/>
      <c r="AY61" s="310"/>
      <c r="AZ61" s="310"/>
      <c r="BA61" s="310"/>
      <c r="BB61" s="310"/>
      <c r="BC61" s="310"/>
      <c r="BD61" s="310"/>
      <c r="BE61" s="310"/>
      <c r="BF61" s="310"/>
      <c r="BG61" s="310"/>
      <c r="BH61" s="310"/>
      <c r="BI61" s="310"/>
      <c r="BJ61" s="310"/>
      <c r="BK61" s="310"/>
      <c r="BL61" s="310"/>
      <c r="BM61" s="310"/>
      <c r="BN61" s="310"/>
      <c r="BO61" s="311"/>
      <c r="BP61" s="309"/>
      <c r="BQ61" s="310"/>
      <c r="BR61" s="310"/>
      <c r="BS61" s="310"/>
      <c r="BT61" s="310"/>
      <c r="BU61" s="310"/>
      <c r="BV61" s="310"/>
      <c r="BW61" s="310"/>
      <c r="BX61" s="310"/>
      <c r="BY61" s="310"/>
      <c r="BZ61" s="310"/>
      <c r="CA61" s="310"/>
      <c r="CB61" s="310"/>
      <c r="CC61" s="310"/>
      <c r="CD61" s="310"/>
      <c r="CE61" s="310"/>
      <c r="CF61" s="310"/>
      <c r="CG61" s="310"/>
      <c r="CH61" s="310"/>
      <c r="CI61" s="310"/>
      <c r="CJ61" s="310"/>
      <c r="CK61" s="310"/>
      <c r="CL61" s="310"/>
      <c r="CM61" s="310"/>
      <c r="CN61" s="310"/>
      <c r="CO61" s="310"/>
      <c r="CP61" s="310"/>
      <c r="CQ61" s="310"/>
      <c r="CR61" s="310"/>
      <c r="CS61" s="310"/>
      <c r="CT61" s="310"/>
      <c r="CU61" s="310"/>
      <c r="CV61" s="310"/>
      <c r="CW61" s="310"/>
      <c r="CX61" s="310"/>
      <c r="CY61" s="310"/>
      <c r="CZ61" s="310"/>
      <c r="DA61" s="310"/>
      <c r="DB61" s="310"/>
      <c r="DC61" s="310"/>
      <c r="DD61" s="310"/>
      <c r="DE61" s="310"/>
      <c r="DF61" s="310"/>
      <c r="DG61" s="310"/>
      <c r="DH61" s="310"/>
      <c r="DI61" s="310"/>
      <c r="DJ61" s="310"/>
      <c r="DK61" s="310"/>
      <c r="DL61" s="310"/>
      <c r="DM61" s="310"/>
      <c r="DN61" s="310"/>
      <c r="DO61" s="311"/>
      <c r="DP61" s="309"/>
      <c r="DQ61" s="310"/>
      <c r="DR61" s="310"/>
      <c r="DS61" s="310"/>
      <c r="DT61" s="310"/>
      <c r="DU61" s="310"/>
      <c r="DV61" s="310"/>
      <c r="DW61" s="310"/>
      <c r="DX61" s="310"/>
      <c r="DY61" s="310"/>
      <c r="DZ61" s="310"/>
      <c r="EA61" s="310"/>
      <c r="EB61" s="310"/>
      <c r="EC61" s="310"/>
      <c r="ED61" s="310"/>
      <c r="EE61" s="310"/>
      <c r="EF61" s="310"/>
      <c r="EG61" s="310"/>
      <c r="EH61" s="310"/>
      <c r="EI61" s="310"/>
      <c r="EJ61" s="310"/>
      <c r="EK61" s="310"/>
      <c r="EL61" s="310"/>
      <c r="EM61" s="310"/>
      <c r="EN61" s="310"/>
      <c r="EO61" s="310"/>
      <c r="EP61" s="310"/>
      <c r="EQ61" s="310"/>
      <c r="ER61" s="310"/>
      <c r="ES61" s="310"/>
      <c r="ET61" s="310"/>
      <c r="EU61" s="310"/>
      <c r="EV61" s="310"/>
      <c r="EW61" s="310"/>
      <c r="EX61" s="310"/>
      <c r="EY61" s="310"/>
      <c r="EZ61" s="310"/>
      <c r="FA61" s="310"/>
      <c r="FB61" s="310"/>
      <c r="FC61" s="310"/>
      <c r="FD61" s="310"/>
      <c r="FE61" s="310"/>
      <c r="FF61" s="310"/>
      <c r="FG61" s="310"/>
      <c r="FH61" s="310"/>
      <c r="FI61" s="310"/>
      <c r="FJ61" s="310"/>
      <c r="FK61" s="310"/>
      <c r="FL61" s="310"/>
      <c r="FM61" s="310"/>
      <c r="FN61" s="310"/>
      <c r="FO61" s="311"/>
      <c r="FP61" s="312"/>
      <c r="FQ61" s="313"/>
      <c r="FR61" s="313"/>
      <c r="FS61" s="313"/>
      <c r="FT61" s="313"/>
      <c r="FU61" s="313"/>
      <c r="FV61" s="313"/>
      <c r="FW61" s="313"/>
      <c r="FX61" s="313"/>
      <c r="FY61" s="313"/>
      <c r="FZ61" s="313"/>
      <c r="GA61" s="313"/>
      <c r="GB61" s="313"/>
      <c r="GC61" s="313"/>
      <c r="GD61" s="313"/>
      <c r="GE61" s="313"/>
      <c r="GF61" s="313"/>
      <c r="GG61" s="313"/>
      <c r="GH61" s="313"/>
      <c r="GI61" s="313"/>
      <c r="GJ61" s="313"/>
      <c r="GK61" s="313"/>
      <c r="GL61" s="313"/>
      <c r="GM61" s="313"/>
      <c r="GN61" s="313"/>
      <c r="GO61" s="313"/>
      <c r="GP61" s="313"/>
      <c r="GQ61" s="313"/>
      <c r="GR61" s="313"/>
      <c r="GS61" s="313"/>
      <c r="GT61" s="313"/>
      <c r="GU61" s="313"/>
      <c r="GV61" s="313"/>
      <c r="GW61" s="313"/>
      <c r="GX61" s="313"/>
      <c r="GY61" s="313"/>
      <c r="GZ61" s="313"/>
      <c r="HA61" s="313"/>
      <c r="HB61" s="313"/>
      <c r="HC61" s="313"/>
      <c r="HD61" s="313"/>
      <c r="HE61" s="313"/>
      <c r="HF61" s="313"/>
      <c r="HG61" s="313"/>
      <c r="HH61" s="313"/>
      <c r="HI61" s="313"/>
      <c r="HJ61" s="313"/>
      <c r="HK61" s="313"/>
      <c r="HL61" s="313"/>
      <c r="HM61" s="313"/>
      <c r="HN61" s="313"/>
      <c r="HO61" s="314"/>
      <c r="HP61" s="312"/>
      <c r="HQ61" s="313"/>
      <c r="HR61" s="313"/>
      <c r="HS61" s="313"/>
      <c r="HT61" s="313"/>
      <c r="HU61" s="313"/>
      <c r="HV61" s="313"/>
      <c r="HW61" s="313"/>
      <c r="HX61" s="313"/>
      <c r="HY61" s="313"/>
      <c r="HZ61" s="313"/>
      <c r="IA61" s="313"/>
      <c r="IB61" s="313"/>
      <c r="IC61" s="313"/>
      <c r="ID61" s="313"/>
      <c r="IE61" s="313"/>
      <c r="IF61" s="313"/>
      <c r="IG61" s="313"/>
      <c r="IH61" s="313"/>
      <c r="II61" s="313"/>
      <c r="IJ61" s="313"/>
      <c r="IK61" s="313"/>
      <c r="IL61" s="313"/>
      <c r="IM61" s="313"/>
      <c r="IN61" s="313"/>
      <c r="IO61" s="313"/>
      <c r="IP61" s="313"/>
      <c r="IQ61" s="313"/>
      <c r="IR61" s="313"/>
      <c r="IS61" s="313"/>
      <c r="IT61" s="313"/>
      <c r="IU61" s="313"/>
      <c r="IV61" s="313"/>
      <c r="IW61" s="313"/>
      <c r="IX61" s="313"/>
      <c r="IY61" s="313"/>
      <c r="IZ61" s="313"/>
      <c r="JA61" s="313"/>
      <c r="JB61" s="313"/>
      <c r="JC61" s="313"/>
      <c r="JD61" s="313"/>
      <c r="JE61" s="313"/>
      <c r="JF61" s="313"/>
      <c r="JG61" s="313"/>
      <c r="JH61" s="313"/>
      <c r="JI61" s="313"/>
      <c r="JJ61" s="313"/>
      <c r="JK61" s="313"/>
      <c r="JL61" s="313"/>
      <c r="JM61" s="313"/>
      <c r="JN61" s="313"/>
      <c r="JO61" s="314"/>
      <c r="JP61" s="312"/>
      <c r="JQ61" s="313"/>
      <c r="JR61" s="313"/>
      <c r="JS61" s="313"/>
      <c r="JT61" s="313"/>
      <c r="JU61" s="313"/>
      <c r="JV61" s="313"/>
      <c r="JW61" s="313"/>
      <c r="JX61" s="313"/>
      <c r="JY61" s="313"/>
      <c r="JZ61" s="313"/>
      <c r="KA61" s="313"/>
      <c r="KB61" s="313"/>
      <c r="KC61" s="313"/>
      <c r="KD61" s="313"/>
      <c r="KE61" s="313"/>
      <c r="KF61" s="313"/>
      <c r="KG61" s="313"/>
      <c r="KH61" s="313"/>
      <c r="KI61" s="313"/>
      <c r="KJ61" s="313"/>
      <c r="KK61" s="313"/>
      <c r="KL61" s="313"/>
      <c r="KM61" s="313"/>
      <c r="KN61" s="313"/>
      <c r="KO61" s="313"/>
      <c r="KP61" s="313"/>
      <c r="KQ61" s="313"/>
      <c r="KR61" s="313"/>
      <c r="KS61" s="313"/>
      <c r="KT61" s="313"/>
      <c r="KU61" s="313"/>
      <c r="KV61" s="313"/>
      <c r="KW61" s="313"/>
      <c r="KX61" s="313"/>
      <c r="KY61" s="313"/>
      <c r="KZ61" s="313"/>
      <c r="LA61" s="313"/>
      <c r="LB61" s="313"/>
      <c r="LC61" s="313"/>
      <c r="LD61" s="313"/>
      <c r="LE61" s="313"/>
      <c r="LF61" s="313"/>
      <c r="LG61" s="313"/>
      <c r="LH61" s="313"/>
      <c r="LI61" s="313"/>
      <c r="LJ61" s="313"/>
      <c r="LK61" s="313"/>
      <c r="LL61" s="313"/>
      <c r="LM61" s="313"/>
      <c r="LN61" s="313"/>
      <c r="LO61" s="314"/>
      <c r="LP61" s="313"/>
      <c r="LQ61" s="313"/>
      <c r="LR61" s="313"/>
      <c r="LS61" s="313"/>
      <c r="LT61" s="313"/>
      <c r="LU61" s="313"/>
      <c r="LV61" s="313"/>
      <c r="LW61" s="313"/>
      <c r="LX61" s="313"/>
      <c r="LY61" s="313"/>
      <c r="LZ61" s="313"/>
      <c r="MA61" s="313"/>
      <c r="MB61" s="313"/>
      <c r="MC61" s="313"/>
      <c r="MD61" s="313"/>
      <c r="ME61" s="313"/>
      <c r="MF61" s="313"/>
      <c r="MG61" s="313"/>
      <c r="MH61" s="313"/>
      <c r="MI61" s="313"/>
      <c r="MJ61" s="313"/>
      <c r="MK61" s="313"/>
      <c r="ML61" s="313"/>
      <c r="MM61" s="313"/>
      <c r="MN61" s="313"/>
      <c r="MO61" s="313"/>
      <c r="MP61" s="313"/>
      <c r="MQ61" s="313"/>
      <c r="MR61" s="313"/>
      <c r="MS61" s="313"/>
      <c r="MT61" s="313"/>
      <c r="MU61" s="313"/>
      <c r="MV61" s="313"/>
      <c r="MW61" s="313"/>
      <c r="MX61" s="313"/>
      <c r="MY61" s="313"/>
      <c r="MZ61" s="313"/>
      <c r="NA61" s="313"/>
      <c r="NB61" s="313"/>
      <c r="NC61" s="313"/>
      <c r="ND61" s="313"/>
      <c r="NE61" s="313"/>
      <c r="NF61" s="313"/>
      <c r="NG61" s="313"/>
      <c r="NH61" s="313"/>
      <c r="NI61" s="313"/>
      <c r="NJ61" s="313"/>
      <c r="NK61" s="313"/>
      <c r="NL61" s="313"/>
      <c r="NM61" s="313"/>
      <c r="NN61" s="313"/>
      <c r="NO61" s="313"/>
    </row>
    <row r="62" spans="1:379" ht="47.45" customHeight="1" thickBot="1">
      <c r="A62" s="315" t="s">
        <v>264</v>
      </c>
      <c r="B62" s="316" t="s">
        <v>265</v>
      </c>
      <c r="C62" s="174" t="s">
        <v>150</v>
      </c>
      <c r="D62" s="174" t="s">
        <v>168</v>
      </c>
      <c r="E62" s="315" t="s">
        <v>266</v>
      </c>
      <c r="F62" s="317"/>
      <c r="G62" s="224">
        <v>800</v>
      </c>
      <c r="H62" s="229">
        <v>80</v>
      </c>
      <c r="I62" s="318">
        <v>0</v>
      </c>
      <c r="J62" s="65">
        <v>450</v>
      </c>
      <c r="K62" s="224">
        <v>0</v>
      </c>
      <c r="L62" s="66">
        <f t="shared" ref="L62:L68" si="37">SUM(G62:K62)</f>
        <v>1330</v>
      </c>
      <c r="M62" s="106"/>
      <c r="N62" s="319" t="s">
        <v>267</v>
      </c>
      <c r="O62" s="320" t="s">
        <v>268</v>
      </c>
      <c r="P62" s="20"/>
      <c r="BP62" s="84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P62" s="20"/>
      <c r="DV62" s="87">
        <v>1</v>
      </c>
      <c r="DW62" s="87">
        <f>DV62+1</f>
        <v>2</v>
      </c>
      <c r="DX62" s="87">
        <f t="shared" ref="DX62:ET62" si="38">DW62+1</f>
        <v>3</v>
      </c>
      <c r="DY62" s="87">
        <f t="shared" si="38"/>
        <v>4</v>
      </c>
      <c r="DZ62" s="87">
        <f t="shared" si="38"/>
        <v>5</v>
      </c>
      <c r="EA62" s="87">
        <f t="shared" si="38"/>
        <v>6</v>
      </c>
      <c r="EB62" s="87">
        <f t="shared" si="38"/>
        <v>7</v>
      </c>
      <c r="EC62" s="87">
        <f t="shared" si="38"/>
        <v>8</v>
      </c>
      <c r="ED62" s="87">
        <f t="shared" si="38"/>
        <v>9</v>
      </c>
      <c r="EE62" s="396">
        <f t="shared" si="38"/>
        <v>10</v>
      </c>
      <c r="EF62" s="87">
        <f t="shared" si="38"/>
        <v>11</v>
      </c>
      <c r="EG62" s="87">
        <f t="shared" si="38"/>
        <v>12</v>
      </c>
      <c r="EH62" s="87">
        <f t="shared" si="38"/>
        <v>13</v>
      </c>
      <c r="EI62" s="87">
        <f t="shared" si="38"/>
        <v>14</v>
      </c>
      <c r="EJ62" s="87">
        <f t="shared" si="38"/>
        <v>15</v>
      </c>
      <c r="EK62" s="87">
        <f t="shared" si="38"/>
        <v>16</v>
      </c>
      <c r="EL62" s="87">
        <f t="shared" si="38"/>
        <v>17</v>
      </c>
      <c r="EM62" s="87">
        <f t="shared" si="38"/>
        <v>18</v>
      </c>
      <c r="EN62" s="87">
        <f t="shared" si="38"/>
        <v>19</v>
      </c>
      <c r="EO62" s="87">
        <f t="shared" si="38"/>
        <v>20</v>
      </c>
      <c r="EP62" s="87">
        <f t="shared" si="38"/>
        <v>21</v>
      </c>
      <c r="EQ62" s="87">
        <f t="shared" si="38"/>
        <v>22</v>
      </c>
      <c r="ER62" s="87">
        <f t="shared" si="38"/>
        <v>23</v>
      </c>
      <c r="ES62" s="87">
        <f t="shared" si="38"/>
        <v>24</v>
      </c>
      <c r="ET62" s="87">
        <f t="shared" si="38"/>
        <v>25</v>
      </c>
      <c r="EX62" s="87">
        <f>ET62+1</f>
        <v>26</v>
      </c>
      <c r="EY62" s="87">
        <f t="shared" ref="EY62:FN64" si="39">EX62+1</f>
        <v>27</v>
      </c>
      <c r="EZ62" s="87">
        <f t="shared" si="39"/>
        <v>28</v>
      </c>
      <c r="FA62" s="87">
        <f t="shared" si="39"/>
        <v>29</v>
      </c>
      <c r="FB62" s="87">
        <f t="shared" si="39"/>
        <v>30</v>
      </c>
      <c r="FC62" s="87">
        <f t="shared" si="39"/>
        <v>31</v>
      </c>
      <c r="FD62" s="87">
        <f t="shared" si="39"/>
        <v>32</v>
      </c>
      <c r="FE62" s="87">
        <f t="shared" si="39"/>
        <v>33</v>
      </c>
      <c r="FF62" s="87">
        <f t="shared" si="39"/>
        <v>34</v>
      </c>
      <c r="FG62" s="89"/>
      <c r="FH62" s="89"/>
      <c r="FI62" s="89"/>
      <c r="FJ62" s="89"/>
      <c r="FK62" s="89"/>
      <c r="FL62" s="89"/>
      <c r="FM62" s="89"/>
      <c r="FN62" s="89"/>
      <c r="FP62" s="20"/>
      <c r="HP62" s="20"/>
      <c r="JP62" s="20"/>
      <c r="KU62" s="21"/>
      <c r="KV62" s="21"/>
      <c r="KW62" s="21"/>
      <c r="LO62" s="2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 s="21"/>
      <c r="MV62" s="21"/>
      <c r="MW62" s="21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 s="21"/>
    </row>
    <row r="63" spans="1:379" s="141" customFormat="1" ht="15" hidden="1" thickBot="1">
      <c r="A63" s="111" t="s">
        <v>264</v>
      </c>
      <c r="B63" s="321"/>
      <c r="C63" s="246" t="s">
        <v>207</v>
      </c>
      <c r="D63" s="246"/>
      <c r="E63" s="111" t="s">
        <v>266</v>
      </c>
      <c r="F63" s="322"/>
      <c r="G63" s="65"/>
      <c r="H63" s="65"/>
      <c r="I63" s="323"/>
      <c r="J63" s="65"/>
      <c r="K63" s="65"/>
      <c r="L63" s="138"/>
      <c r="M63" s="324"/>
      <c r="N63" s="325" t="s">
        <v>269</v>
      </c>
      <c r="O63" s="296" t="s">
        <v>268</v>
      </c>
      <c r="P63" s="140"/>
      <c r="AU63" s="142"/>
      <c r="AV63" s="142"/>
      <c r="AW63" s="142"/>
      <c r="BO63" s="142"/>
      <c r="BP63" s="251"/>
      <c r="BQ63" s="252"/>
      <c r="BR63" s="252"/>
      <c r="BS63" s="252"/>
      <c r="BT63" s="252"/>
      <c r="BU63" s="252"/>
      <c r="BV63" s="252"/>
      <c r="BW63" s="252"/>
      <c r="BX63" s="252"/>
      <c r="BY63" s="252"/>
      <c r="BZ63" s="252"/>
      <c r="CA63" s="252"/>
      <c r="CB63" s="252"/>
      <c r="CC63" s="252"/>
      <c r="CD63" s="252"/>
      <c r="CE63" s="252"/>
      <c r="CF63" s="252"/>
      <c r="CG63" s="252"/>
      <c r="CH63" s="252"/>
      <c r="CI63" s="252"/>
      <c r="CJ63" s="252"/>
      <c r="CK63" s="252"/>
      <c r="CL63" s="252"/>
      <c r="CM63" s="252"/>
      <c r="CN63" s="252"/>
      <c r="CO63" s="252"/>
      <c r="CP63" s="252"/>
      <c r="CQ63" s="252"/>
      <c r="CR63" s="252"/>
      <c r="CS63" s="252"/>
      <c r="CT63" s="252"/>
      <c r="CU63" s="142"/>
      <c r="CV63" s="142"/>
      <c r="CW63" s="142"/>
      <c r="CX63" s="252"/>
      <c r="CY63" s="252"/>
      <c r="CZ63" s="252"/>
      <c r="DA63" s="252"/>
      <c r="DB63" s="252"/>
      <c r="DC63" s="252"/>
      <c r="DD63" s="252"/>
      <c r="DE63" s="252"/>
      <c r="DF63" s="252"/>
      <c r="DG63" s="252"/>
      <c r="DH63" s="252"/>
      <c r="DI63" s="252"/>
      <c r="DJ63" s="252"/>
      <c r="DK63" s="252"/>
      <c r="DL63" s="252"/>
      <c r="DM63" s="252"/>
      <c r="DN63" s="252"/>
      <c r="DO63" s="142"/>
      <c r="DP63" s="140"/>
      <c r="DV63" s="326"/>
      <c r="DW63" s="326"/>
      <c r="DX63" s="326"/>
      <c r="DY63" s="326"/>
      <c r="DZ63" s="326"/>
      <c r="EA63" s="326"/>
      <c r="EB63" s="326"/>
      <c r="EC63" s="326"/>
      <c r="ED63" s="326"/>
      <c r="EE63" s="326"/>
      <c r="EF63" s="326"/>
      <c r="EG63" s="326"/>
      <c r="EH63" s="326"/>
      <c r="EI63" s="326"/>
      <c r="EJ63" s="326"/>
      <c r="EK63" s="326"/>
      <c r="EL63" s="326"/>
      <c r="EM63" s="326"/>
      <c r="EN63" s="326"/>
      <c r="EO63" s="326"/>
      <c r="EP63" s="326"/>
      <c r="EQ63" s="326"/>
      <c r="ER63" s="326"/>
      <c r="ES63" s="326"/>
      <c r="ET63" s="326"/>
      <c r="EU63" s="142"/>
      <c r="EV63" s="142"/>
      <c r="EW63" s="142"/>
      <c r="EX63" s="326"/>
      <c r="EY63" s="326"/>
      <c r="EZ63" s="326"/>
      <c r="FA63" s="326"/>
      <c r="FB63" s="326"/>
      <c r="FC63" s="326"/>
      <c r="FD63" s="326"/>
      <c r="FE63" s="326"/>
      <c r="FF63" s="326"/>
      <c r="FG63" s="327"/>
      <c r="FH63" s="327"/>
      <c r="FI63" s="327"/>
      <c r="FJ63" s="327"/>
      <c r="FK63" s="327"/>
      <c r="FL63" s="327"/>
      <c r="FM63" s="327"/>
      <c r="FN63" s="327"/>
      <c r="FO63" s="142"/>
      <c r="FP63" s="140"/>
      <c r="GU63" s="142"/>
      <c r="GV63" s="142"/>
      <c r="GW63" s="142"/>
      <c r="HO63" s="142"/>
      <c r="HP63" s="144"/>
      <c r="HQ63" s="143"/>
      <c r="HR63" s="143"/>
      <c r="HS63" s="143"/>
      <c r="HT63" s="143"/>
      <c r="HU63" s="143"/>
      <c r="HV63" s="143"/>
      <c r="HW63" s="143"/>
      <c r="HX63" s="143"/>
      <c r="HY63" s="143"/>
      <c r="HZ63" s="143"/>
      <c r="IA63" s="143"/>
      <c r="IB63" s="143"/>
      <c r="IU63" s="142"/>
      <c r="IV63" s="142"/>
      <c r="IW63" s="142"/>
      <c r="JO63" s="142"/>
      <c r="JP63" s="140"/>
      <c r="KU63" s="142"/>
      <c r="KV63" s="142"/>
      <c r="KW63" s="142"/>
      <c r="LO63" s="145"/>
      <c r="MU63" s="142"/>
      <c r="MV63" s="142"/>
      <c r="MW63" s="142"/>
      <c r="NO63" s="142"/>
    </row>
    <row r="64" spans="1:379" ht="20.100000000000001" customHeight="1" thickBot="1">
      <c r="A64" s="315" t="s">
        <v>264</v>
      </c>
      <c r="B64" s="316"/>
      <c r="C64" s="174" t="s">
        <v>150</v>
      </c>
      <c r="D64" s="174" t="s">
        <v>168</v>
      </c>
      <c r="E64" s="315" t="s">
        <v>266</v>
      </c>
      <c r="F64" s="328"/>
      <c r="G64" s="224">
        <v>800</v>
      </c>
      <c r="H64" s="224">
        <v>80</v>
      </c>
      <c r="I64" s="318">
        <v>0</v>
      </c>
      <c r="J64" s="65">
        <v>450</v>
      </c>
      <c r="K64" s="224">
        <v>0</v>
      </c>
      <c r="L64" s="66">
        <f t="shared" si="37"/>
        <v>1330</v>
      </c>
      <c r="M64" s="106"/>
      <c r="N64" s="319" t="s">
        <v>270</v>
      </c>
      <c r="O64" s="320" t="s">
        <v>271</v>
      </c>
      <c r="P64" s="20"/>
      <c r="BP64" s="84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P64" s="20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87">
        <v>1</v>
      </c>
      <c r="EL64" s="87">
        <f>EK64+1</f>
        <v>2</v>
      </c>
      <c r="EM64" s="87">
        <f t="shared" ref="EM64:ET64" si="40">EL64+1</f>
        <v>3</v>
      </c>
      <c r="EN64" s="87">
        <f t="shared" si="40"/>
        <v>4</v>
      </c>
      <c r="EO64" s="87">
        <f t="shared" si="40"/>
        <v>5</v>
      </c>
      <c r="EP64" s="87">
        <f t="shared" si="40"/>
        <v>6</v>
      </c>
      <c r="EQ64" s="87">
        <f t="shared" si="40"/>
        <v>7</v>
      </c>
      <c r="ER64" s="87">
        <f t="shared" si="40"/>
        <v>8</v>
      </c>
      <c r="ES64" s="87">
        <f t="shared" si="40"/>
        <v>9</v>
      </c>
      <c r="ET64" s="87">
        <f t="shared" si="40"/>
        <v>10</v>
      </c>
      <c r="EX64" s="396">
        <f>ET64+1</f>
        <v>11</v>
      </c>
      <c r="EY64" s="87">
        <f t="shared" si="39"/>
        <v>12</v>
      </c>
      <c r="EZ64" s="87">
        <f t="shared" si="39"/>
        <v>13</v>
      </c>
      <c r="FA64" s="87">
        <f t="shared" si="39"/>
        <v>14</v>
      </c>
      <c r="FB64" s="87">
        <f t="shared" si="39"/>
        <v>15</v>
      </c>
      <c r="FC64" s="87">
        <f t="shared" si="39"/>
        <v>16</v>
      </c>
      <c r="FD64" s="87">
        <f t="shared" si="39"/>
        <v>17</v>
      </c>
      <c r="FE64" s="87">
        <f t="shared" si="39"/>
        <v>18</v>
      </c>
      <c r="FF64" s="87">
        <f t="shared" si="39"/>
        <v>19</v>
      </c>
      <c r="FG64" s="87">
        <f t="shared" si="39"/>
        <v>20</v>
      </c>
      <c r="FH64" s="87">
        <f t="shared" si="39"/>
        <v>21</v>
      </c>
      <c r="FI64" s="87">
        <f t="shared" si="39"/>
        <v>22</v>
      </c>
      <c r="FJ64" s="87">
        <f t="shared" si="39"/>
        <v>23</v>
      </c>
      <c r="FK64" s="87">
        <f t="shared" si="39"/>
        <v>24</v>
      </c>
      <c r="FL64" s="87">
        <f t="shared" si="39"/>
        <v>25</v>
      </c>
      <c r="FM64" s="87">
        <f t="shared" si="39"/>
        <v>26</v>
      </c>
      <c r="FN64" s="87">
        <f t="shared" si="39"/>
        <v>27</v>
      </c>
      <c r="FP64" s="88">
        <f>FN64+1</f>
        <v>28</v>
      </c>
      <c r="FQ64" s="87">
        <f>FP64+1</f>
        <v>29</v>
      </c>
      <c r="FR64" s="89"/>
      <c r="FS64" s="89"/>
      <c r="FT64" s="89"/>
      <c r="FU64" s="89"/>
      <c r="FV64" s="89"/>
      <c r="FW64" s="89"/>
      <c r="FX64" s="89"/>
      <c r="FY64" s="89"/>
      <c r="GC64" s="90"/>
      <c r="GD64" s="90"/>
      <c r="GE64" s="90"/>
      <c r="GF64" s="90"/>
      <c r="GG64" s="90"/>
      <c r="GH64" s="90"/>
      <c r="GI64" s="90"/>
      <c r="GJ64" s="90"/>
      <c r="GK64" s="90"/>
      <c r="GL64" s="90"/>
      <c r="GM64" s="90"/>
      <c r="GN64" s="90"/>
      <c r="GO64" s="90"/>
      <c r="GP64" s="90"/>
      <c r="GQ64" s="90"/>
      <c r="GR64" s="90"/>
      <c r="GS64" s="90"/>
      <c r="GT64" s="90"/>
      <c r="GX64" s="90"/>
      <c r="GY64" s="90"/>
      <c r="GZ64" s="90"/>
      <c r="HA64" s="90"/>
      <c r="HB64" s="90"/>
      <c r="HC64" s="90"/>
      <c r="HD64" s="90"/>
      <c r="HE64" s="90"/>
      <c r="HF64" s="90"/>
      <c r="HG64" s="90"/>
      <c r="HH64" s="90"/>
      <c r="HI64" s="90"/>
      <c r="HJ64" s="90"/>
      <c r="HP64" s="20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P64" s="20"/>
      <c r="KU64" s="21"/>
      <c r="KV64" s="21"/>
      <c r="KW64" s="21"/>
      <c r="LO64" s="22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 s="21"/>
      <c r="MV64" s="21"/>
      <c r="MW64" s="21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 s="21"/>
    </row>
    <row r="65" spans="1:379" ht="15" thickBot="1">
      <c r="A65" s="315" t="s">
        <v>264</v>
      </c>
      <c r="B65" s="316"/>
      <c r="C65" s="174" t="s">
        <v>162</v>
      </c>
      <c r="D65" s="174" t="s">
        <v>168</v>
      </c>
      <c r="E65" s="315" t="s">
        <v>266</v>
      </c>
      <c r="F65" s="329"/>
      <c r="G65" s="257">
        <v>500</v>
      </c>
      <c r="H65" s="224">
        <v>80</v>
      </c>
      <c r="I65" s="258"/>
      <c r="J65" s="330">
        <v>450</v>
      </c>
      <c r="K65" s="257">
        <v>0</v>
      </c>
      <c r="L65" s="66">
        <f t="shared" si="37"/>
        <v>1030</v>
      </c>
      <c r="M65" s="106"/>
      <c r="N65" s="319" t="s">
        <v>272</v>
      </c>
      <c r="O65" s="320" t="s">
        <v>273</v>
      </c>
      <c r="P65" s="20"/>
      <c r="BP65" s="20"/>
      <c r="DP65" s="20"/>
      <c r="FP65" s="20"/>
      <c r="GX65" s="396">
        <v>1</v>
      </c>
      <c r="GY65" s="292">
        <f t="shared" ref="GY65:HN65" si="41">GX65+1</f>
        <v>2</v>
      </c>
      <c r="GZ65" s="292">
        <f t="shared" si="41"/>
        <v>3</v>
      </c>
      <c r="HA65" s="292">
        <f t="shared" si="41"/>
        <v>4</v>
      </c>
      <c r="HB65" s="292">
        <f t="shared" si="41"/>
        <v>5</v>
      </c>
      <c r="HC65" s="292">
        <f t="shared" si="41"/>
        <v>6</v>
      </c>
      <c r="HD65" s="292">
        <f t="shared" si="41"/>
        <v>7</v>
      </c>
      <c r="HE65" s="292">
        <f t="shared" si="41"/>
        <v>8</v>
      </c>
      <c r="HF65" s="292">
        <f t="shared" si="41"/>
        <v>9</v>
      </c>
      <c r="HG65" s="292">
        <f t="shared" si="41"/>
        <v>10</v>
      </c>
      <c r="HH65" s="292">
        <f t="shared" si="41"/>
        <v>11</v>
      </c>
      <c r="HI65" s="292">
        <f t="shared" si="41"/>
        <v>12</v>
      </c>
      <c r="HJ65" s="292">
        <f t="shared" si="41"/>
        <v>13</v>
      </c>
      <c r="HK65" s="292">
        <f t="shared" si="41"/>
        <v>14</v>
      </c>
      <c r="HL65" s="292">
        <f t="shared" si="41"/>
        <v>15</v>
      </c>
      <c r="HM65" s="292">
        <f t="shared" si="41"/>
        <v>16</v>
      </c>
      <c r="HN65" s="292">
        <f t="shared" si="41"/>
        <v>17</v>
      </c>
      <c r="HP65" s="331"/>
      <c r="HQ65" s="89"/>
      <c r="HR65" s="89"/>
      <c r="JP65" s="20"/>
      <c r="KU65" s="21"/>
      <c r="KV65" s="21"/>
      <c r="KW65" s="21"/>
      <c r="LO65" s="22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 s="21"/>
      <c r="MV65" s="21"/>
      <c r="MW65" s="21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 s="21"/>
    </row>
    <row r="66" spans="1:379" ht="15" hidden="1" thickBot="1">
      <c r="A66" s="315" t="s">
        <v>264</v>
      </c>
      <c r="B66" s="316"/>
      <c r="C66" s="174" t="s">
        <v>174</v>
      </c>
      <c r="D66" s="174" t="s">
        <v>168</v>
      </c>
      <c r="E66" s="315" t="s">
        <v>266</v>
      </c>
      <c r="F66" s="332"/>
      <c r="G66" s="257">
        <v>50</v>
      </c>
      <c r="H66" s="224">
        <v>20</v>
      </c>
      <c r="I66" s="258"/>
      <c r="J66" s="330">
        <v>270</v>
      </c>
      <c r="K66" s="257">
        <v>0</v>
      </c>
      <c r="L66" s="66">
        <f t="shared" si="37"/>
        <v>340</v>
      </c>
      <c r="M66" s="106"/>
      <c r="N66" s="319" t="s">
        <v>274</v>
      </c>
      <c r="O66" s="320" t="s">
        <v>275</v>
      </c>
      <c r="P66" s="20"/>
      <c r="BP66" s="20"/>
      <c r="DP66" s="20"/>
      <c r="FP66" s="20"/>
      <c r="HO66" s="22"/>
      <c r="JH66" s="292">
        <v>1</v>
      </c>
      <c r="JI66" s="292">
        <f t="shared" ref="JI66:JN66" si="42">JH66+1</f>
        <v>2</v>
      </c>
      <c r="JJ66" s="292">
        <f t="shared" si="42"/>
        <v>3</v>
      </c>
      <c r="JK66" s="292">
        <f t="shared" si="42"/>
        <v>4</v>
      </c>
      <c r="JL66" s="292">
        <f t="shared" si="42"/>
        <v>5</v>
      </c>
      <c r="JM66" s="292">
        <f t="shared" si="42"/>
        <v>6</v>
      </c>
      <c r="JN66" s="292">
        <f t="shared" si="42"/>
        <v>7</v>
      </c>
      <c r="JP66" s="333">
        <f>JN66+1</f>
        <v>8</v>
      </c>
      <c r="JQ66" s="292">
        <f t="shared" ref="JQ66:JY67" si="43">JP66+1</f>
        <v>9</v>
      </c>
      <c r="JR66" s="292">
        <f t="shared" si="43"/>
        <v>10</v>
      </c>
      <c r="JS66" s="292">
        <f t="shared" si="43"/>
        <v>11</v>
      </c>
      <c r="JT66" s="292">
        <f t="shared" si="43"/>
        <v>12</v>
      </c>
      <c r="JU66" s="292">
        <f t="shared" si="43"/>
        <v>13</v>
      </c>
      <c r="JV66" s="292">
        <f t="shared" si="43"/>
        <v>14</v>
      </c>
      <c r="JW66" s="292">
        <f t="shared" si="43"/>
        <v>15</v>
      </c>
      <c r="JX66" s="292">
        <f t="shared" si="43"/>
        <v>16</v>
      </c>
      <c r="JY66" s="292">
        <f t="shared" si="43"/>
        <v>17</v>
      </c>
      <c r="KU66" s="21"/>
      <c r="KV66" s="21"/>
      <c r="KW66" s="21"/>
      <c r="LO66" s="22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 s="21"/>
      <c r="MV66" s="21"/>
      <c r="MW66" s="21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 s="21"/>
    </row>
    <row r="67" spans="1:379" ht="15" hidden="1" thickBot="1">
      <c r="A67" s="334" t="s">
        <v>259</v>
      </c>
      <c r="B67" s="316"/>
      <c r="C67" s="174" t="s">
        <v>174</v>
      </c>
      <c r="D67" s="174" t="s">
        <v>168</v>
      </c>
      <c r="E67" s="315"/>
      <c r="F67" s="332"/>
      <c r="G67" s="257">
        <v>50</v>
      </c>
      <c r="H67" s="224">
        <v>20</v>
      </c>
      <c r="I67" s="258"/>
      <c r="J67" s="330">
        <v>270</v>
      </c>
      <c r="K67" s="257">
        <v>0</v>
      </c>
      <c r="L67" s="66">
        <f t="shared" si="37"/>
        <v>340</v>
      </c>
      <c r="M67" s="106"/>
      <c r="N67" s="319" t="s">
        <v>276</v>
      </c>
      <c r="O67" s="320" t="s">
        <v>277</v>
      </c>
      <c r="P67" s="20"/>
      <c r="BP67" s="20"/>
      <c r="DP67" s="20"/>
      <c r="FP67" s="20"/>
      <c r="HO67" s="22"/>
      <c r="JK67" s="292">
        <v>1</v>
      </c>
      <c r="JL67" s="292">
        <f>JK67+1</f>
        <v>2</v>
      </c>
      <c r="JM67" s="292">
        <f>JL67+1</f>
        <v>3</v>
      </c>
      <c r="JN67" s="292">
        <f>JM67+1</f>
        <v>4</v>
      </c>
      <c r="JP67" s="333">
        <f>JN67+1</f>
        <v>5</v>
      </c>
      <c r="JQ67" s="292">
        <f t="shared" si="43"/>
        <v>6</v>
      </c>
      <c r="JR67" s="292">
        <f t="shared" si="43"/>
        <v>7</v>
      </c>
      <c r="JS67" s="292">
        <f t="shared" si="43"/>
        <v>8</v>
      </c>
      <c r="JT67" s="292">
        <f t="shared" si="43"/>
        <v>9</v>
      </c>
      <c r="JU67" s="292">
        <f t="shared" si="43"/>
        <v>10</v>
      </c>
      <c r="JV67" s="292">
        <f t="shared" si="43"/>
        <v>11</v>
      </c>
      <c r="JW67" s="292">
        <f t="shared" si="43"/>
        <v>12</v>
      </c>
      <c r="JX67" s="292">
        <f t="shared" si="43"/>
        <v>13</v>
      </c>
      <c r="JY67" s="292">
        <f t="shared" si="43"/>
        <v>14</v>
      </c>
      <c r="JZ67" s="292">
        <f>JY67+1</f>
        <v>15</v>
      </c>
      <c r="KA67" s="292">
        <f>JZ67+1</f>
        <v>16</v>
      </c>
      <c r="KB67" s="292">
        <f>KA67+1</f>
        <v>17</v>
      </c>
      <c r="KU67" s="21"/>
      <c r="KV67" s="21"/>
      <c r="KW67" s="21"/>
      <c r="LO67" s="22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 s="21"/>
      <c r="MV67" s="21"/>
      <c r="MW67" s="21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 s="21"/>
    </row>
    <row r="68" spans="1:379" ht="42.6" customHeight="1" thickBot="1">
      <c r="A68" s="92" t="s">
        <v>278</v>
      </c>
      <c r="B68" s="335" t="s">
        <v>279</v>
      </c>
      <c r="C68" s="336" t="s">
        <v>162</v>
      </c>
      <c r="D68" s="336" t="s">
        <v>168</v>
      </c>
      <c r="E68" s="132" t="s">
        <v>280</v>
      </c>
      <c r="F68" s="337"/>
      <c r="G68" s="257">
        <v>50</v>
      </c>
      <c r="H68" s="224">
        <v>20</v>
      </c>
      <c r="I68" s="258"/>
      <c r="J68" s="257">
        <v>200</v>
      </c>
      <c r="K68" s="224">
        <v>400</v>
      </c>
      <c r="L68" s="95">
        <f t="shared" si="37"/>
        <v>670</v>
      </c>
      <c r="M68" s="64">
        <f>-L68</f>
        <v>-670</v>
      </c>
      <c r="N68" s="338" t="s">
        <v>281</v>
      </c>
      <c r="O68" s="339" t="s">
        <v>200</v>
      </c>
      <c r="P68" s="20"/>
      <c r="BP68" s="20"/>
      <c r="DP68" s="20"/>
      <c r="FP68" s="20"/>
      <c r="HM68" s="396">
        <v>1</v>
      </c>
      <c r="HN68" s="292">
        <f>HM68+1</f>
        <v>2</v>
      </c>
      <c r="HP68" s="292">
        <f>HN68+1</f>
        <v>3</v>
      </c>
      <c r="HQ68" s="292">
        <f>HP68+1</f>
        <v>4</v>
      </c>
      <c r="HR68" s="292">
        <f t="shared" ref="HR68:II68" si="44">HQ68+1</f>
        <v>5</v>
      </c>
      <c r="HS68" s="292">
        <f t="shared" si="44"/>
        <v>6</v>
      </c>
      <c r="HT68" s="292">
        <f t="shared" si="44"/>
        <v>7</v>
      </c>
      <c r="HU68" s="292">
        <f t="shared" si="44"/>
        <v>8</v>
      </c>
      <c r="HV68" s="292">
        <f t="shared" si="44"/>
        <v>9</v>
      </c>
      <c r="HW68" s="292">
        <f t="shared" si="44"/>
        <v>10</v>
      </c>
      <c r="HX68" s="292">
        <f t="shared" si="44"/>
        <v>11</v>
      </c>
      <c r="HY68" s="292">
        <f t="shared" si="44"/>
        <v>12</v>
      </c>
      <c r="HZ68" s="292">
        <f t="shared" si="44"/>
        <v>13</v>
      </c>
      <c r="IA68" s="292">
        <f t="shared" si="44"/>
        <v>14</v>
      </c>
      <c r="IB68" s="292">
        <f t="shared" si="44"/>
        <v>15</v>
      </c>
      <c r="IC68" s="292">
        <f t="shared" si="44"/>
        <v>16</v>
      </c>
      <c r="ID68" s="292">
        <f t="shared" si="44"/>
        <v>17</v>
      </c>
      <c r="IE68" s="292">
        <f t="shared" si="44"/>
        <v>18</v>
      </c>
      <c r="IF68" s="292">
        <f t="shared" si="44"/>
        <v>19</v>
      </c>
      <c r="IG68" s="292">
        <f t="shared" si="44"/>
        <v>20</v>
      </c>
      <c r="IH68" s="292">
        <f t="shared" si="44"/>
        <v>21</v>
      </c>
      <c r="II68" s="292">
        <f t="shared" si="44"/>
        <v>22</v>
      </c>
      <c r="JP68" s="20"/>
      <c r="KU68" s="21"/>
      <c r="KV68" s="21"/>
      <c r="KW68" s="21"/>
      <c r="LO68" s="22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 s="21"/>
      <c r="MV68" s="21"/>
      <c r="MW68" s="21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 s="21"/>
    </row>
    <row r="69" spans="1:379" ht="15" thickBot="1">
      <c r="A69" s="278" t="s">
        <v>282</v>
      </c>
      <c r="B69" s="340"/>
      <c r="C69" s="341" t="s">
        <v>138</v>
      </c>
      <c r="D69" s="341"/>
      <c r="E69" s="342"/>
      <c r="F69" s="342"/>
      <c r="G69" s="343"/>
      <c r="H69" s="343"/>
      <c r="I69" s="344"/>
      <c r="J69" s="343"/>
      <c r="K69" s="343"/>
      <c r="L69" s="345"/>
      <c r="M69" s="345"/>
      <c r="N69" s="346"/>
      <c r="O69" s="347" t="s">
        <v>138</v>
      </c>
      <c r="P69" s="348"/>
      <c r="Q69" s="346"/>
      <c r="R69" s="346"/>
      <c r="S69" s="346"/>
      <c r="T69" s="346"/>
      <c r="U69" s="346"/>
      <c r="V69" s="346"/>
      <c r="W69" s="346"/>
      <c r="X69" s="346"/>
      <c r="Y69" s="346"/>
      <c r="Z69" s="346"/>
      <c r="AA69" s="346"/>
      <c r="AB69" s="346"/>
      <c r="AC69" s="346"/>
      <c r="AD69" s="346"/>
      <c r="AE69" s="346"/>
      <c r="AF69" s="346"/>
      <c r="AG69" s="346"/>
      <c r="AH69" s="346"/>
      <c r="AI69" s="346"/>
      <c r="AJ69" s="346"/>
      <c r="AK69" s="346"/>
      <c r="AL69" s="346"/>
      <c r="AM69" s="346"/>
      <c r="AN69" s="346"/>
      <c r="AO69" s="346"/>
      <c r="AP69" s="346"/>
      <c r="AQ69" s="346"/>
      <c r="AR69" s="346"/>
      <c r="AS69" s="346"/>
      <c r="AT69" s="346"/>
      <c r="AU69" s="34"/>
      <c r="AV69" s="34"/>
      <c r="AW69" s="34"/>
      <c r="AX69" s="346"/>
      <c r="AY69" s="346"/>
      <c r="AZ69" s="346"/>
      <c r="BA69" s="346"/>
      <c r="BB69" s="346"/>
      <c r="BC69" s="346"/>
      <c r="BD69" s="346"/>
      <c r="BE69" s="346"/>
      <c r="BF69" s="346"/>
      <c r="BG69" s="346"/>
      <c r="BH69" s="346"/>
      <c r="BI69" s="346"/>
      <c r="BJ69" s="346"/>
      <c r="BK69" s="346"/>
      <c r="BL69" s="346"/>
      <c r="BM69" s="346"/>
      <c r="BN69" s="346"/>
      <c r="BO69" s="34"/>
      <c r="BP69" s="348"/>
      <c r="BQ69" s="346"/>
      <c r="BR69" s="346"/>
      <c r="BS69" s="346"/>
      <c r="BT69" s="346"/>
      <c r="BU69" s="346"/>
      <c r="BV69" s="346"/>
      <c r="BW69" s="346"/>
      <c r="BX69" s="346"/>
      <c r="BY69" s="346"/>
      <c r="BZ69" s="346"/>
      <c r="CA69" s="346"/>
      <c r="CB69" s="346"/>
      <c r="CC69" s="346"/>
      <c r="CD69" s="346"/>
      <c r="CE69" s="346"/>
      <c r="CF69" s="346"/>
      <c r="CG69" s="346"/>
      <c r="CH69" s="346"/>
      <c r="CI69" s="346"/>
      <c r="CJ69" s="346"/>
      <c r="CK69" s="346"/>
      <c r="CL69" s="346"/>
      <c r="CM69" s="346"/>
      <c r="CN69" s="346"/>
      <c r="CO69" s="346"/>
      <c r="CP69" s="346"/>
      <c r="CQ69" s="346"/>
      <c r="CR69" s="346"/>
      <c r="CS69" s="346"/>
      <c r="CT69" s="346"/>
      <c r="CU69" s="34"/>
      <c r="CV69" s="34"/>
      <c r="CW69" s="34"/>
      <c r="CX69" s="346"/>
      <c r="CY69" s="346"/>
      <c r="CZ69" s="346"/>
      <c r="DA69" s="346"/>
      <c r="DB69" s="346"/>
      <c r="DC69" s="346"/>
      <c r="DD69" s="346"/>
      <c r="DE69" s="346"/>
      <c r="DF69" s="346"/>
      <c r="DG69" s="346"/>
      <c r="DH69" s="346"/>
      <c r="DI69" s="346"/>
      <c r="DJ69" s="346"/>
      <c r="DK69" s="346"/>
      <c r="DL69" s="346"/>
      <c r="DM69" s="346"/>
      <c r="DN69" s="346"/>
      <c r="DO69" s="34"/>
      <c r="DP69" s="348"/>
      <c r="DQ69" s="346"/>
      <c r="DR69" s="346"/>
      <c r="DS69" s="346"/>
      <c r="DT69" s="346"/>
      <c r="DU69" s="346"/>
      <c r="DV69" s="346"/>
      <c r="DW69" s="346"/>
      <c r="DX69" s="346"/>
      <c r="DY69" s="346"/>
      <c r="DZ69" s="346"/>
      <c r="EA69" s="346"/>
      <c r="EB69" s="346"/>
      <c r="EC69" s="346"/>
      <c r="ED69" s="346"/>
      <c r="EE69" s="346"/>
      <c r="EF69" s="346"/>
      <c r="EG69" s="346"/>
      <c r="EH69" s="346"/>
      <c r="EI69" s="346"/>
      <c r="EJ69" s="346"/>
      <c r="EK69" s="346"/>
      <c r="EL69" s="346"/>
      <c r="EM69" s="346"/>
      <c r="EN69" s="346"/>
      <c r="EO69" s="346"/>
      <c r="EP69" s="346"/>
      <c r="EQ69" s="346"/>
      <c r="ER69" s="346"/>
      <c r="ES69" s="346"/>
      <c r="ET69" s="346"/>
      <c r="EU69" s="34"/>
      <c r="EV69" s="34"/>
      <c r="EW69" s="34"/>
      <c r="EX69" s="346"/>
      <c r="EY69" s="346"/>
      <c r="EZ69" s="346"/>
      <c r="FA69" s="346"/>
      <c r="FB69" s="346"/>
      <c r="FC69" s="346"/>
      <c r="FD69" s="346"/>
      <c r="FE69" s="346"/>
      <c r="FF69" s="346"/>
      <c r="FG69" s="346"/>
      <c r="FH69" s="346"/>
      <c r="FI69" s="346"/>
      <c r="FJ69" s="346"/>
      <c r="FK69" s="346"/>
      <c r="FL69" s="346"/>
      <c r="FM69" s="346"/>
      <c r="FN69" s="346"/>
      <c r="FO69" s="34"/>
      <c r="FP69" s="348"/>
      <c r="FQ69" s="346"/>
      <c r="FR69" s="346"/>
      <c r="FS69" s="346"/>
      <c r="FT69" s="346"/>
      <c r="FU69" s="346"/>
      <c r="FV69" s="346"/>
      <c r="FW69" s="346"/>
      <c r="FX69" s="346"/>
      <c r="FY69" s="346"/>
      <c r="FZ69" s="346"/>
      <c r="GA69" s="346"/>
      <c r="GB69" s="346"/>
      <c r="GC69" s="346"/>
      <c r="GD69" s="346"/>
      <c r="GE69" s="346"/>
      <c r="GF69" s="346"/>
      <c r="GG69" s="346"/>
      <c r="GH69" s="346"/>
      <c r="GI69" s="346"/>
      <c r="GJ69" s="346"/>
      <c r="GK69" s="346"/>
      <c r="GL69" s="346"/>
      <c r="GM69" s="346"/>
      <c r="GN69" s="346"/>
      <c r="GO69" s="346"/>
      <c r="GP69" s="346"/>
      <c r="GQ69" s="346"/>
      <c r="GR69" s="346"/>
      <c r="GS69" s="346"/>
      <c r="GT69" s="346"/>
      <c r="GU69" s="34"/>
      <c r="GV69" s="34"/>
      <c r="GW69" s="34"/>
      <c r="GX69" s="346"/>
      <c r="GY69" s="346"/>
      <c r="GZ69" s="346"/>
      <c r="HA69" s="346"/>
      <c r="HB69" s="346"/>
      <c r="HC69" s="346"/>
      <c r="HD69" s="346"/>
      <c r="HE69" s="346"/>
      <c r="HF69" s="346"/>
      <c r="HG69" s="346"/>
      <c r="HH69" s="346"/>
      <c r="HI69" s="346"/>
      <c r="HJ69" s="346"/>
      <c r="HK69" s="346"/>
      <c r="HL69" s="346"/>
      <c r="HM69" s="346"/>
      <c r="HN69" s="346"/>
      <c r="HO69" s="34"/>
      <c r="HP69" s="348"/>
      <c r="HQ69" s="346"/>
      <c r="HR69" s="346"/>
      <c r="HS69" s="346"/>
      <c r="HT69" s="346"/>
      <c r="HU69" s="346"/>
      <c r="HV69" s="346"/>
      <c r="HW69" s="346"/>
      <c r="HX69" s="346"/>
      <c r="HY69" s="346"/>
      <c r="HZ69" s="346"/>
      <c r="IA69" s="346"/>
      <c r="IB69" s="346"/>
      <c r="IC69" s="346"/>
      <c r="ID69" s="346"/>
      <c r="IE69" s="346"/>
      <c r="IF69" s="346"/>
      <c r="IG69" s="346"/>
      <c r="IH69" s="346"/>
      <c r="II69" s="346"/>
      <c r="IJ69" s="346"/>
      <c r="IK69" s="346"/>
      <c r="IL69" s="346"/>
      <c r="IM69" s="346"/>
      <c r="IN69" s="346"/>
      <c r="IO69" s="346"/>
      <c r="IP69" s="346"/>
      <c r="IQ69" s="346"/>
      <c r="IR69" s="346"/>
      <c r="IS69" s="346"/>
      <c r="IT69" s="346"/>
      <c r="IU69" s="34"/>
      <c r="IV69" s="34"/>
      <c r="IW69" s="34"/>
      <c r="IX69" s="346"/>
      <c r="IY69" s="346"/>
      <c r="IZ69" s="346"/>
      <c r="JA69" s="346"/>
      <c r="JB69" s="346"/>
      <c r="JC69" s="346"/>
      <c r="JD69" s="346"/>
      <c r="JE69" s="346"/>
      <c r="JF69" s="346"/>
      <c r="JG69" s="346"/>
      <c r="JH69" s="346"/>
      <c r="JI69" s="346"/>
      <c r="JJ69" s="346"/>
      <c r="JK69" s="346"/>
      <c r="JL69" s="346"/>
      <c r="JM69" s="346"/>
      <c r="JN69" s="346"/>
      <c r="JO69" s="34"/>
      <c r="JP69" s="348"/>
      <c r="JQ69" s="346"/>
      <c r="JR69" s="346"/>
      <c r="JS69" s="346"/>
      <c r="JT69" s="346"/>
      <c r="JU69" s="346"/>
      <c r="JV69" s="346"/>
      <c r="JW69" s="346"/>
      <c r="JX69" s="346"/>
      <c r="JY69" s="346"/>
      <c r="JZ69" s="346"/>
      <c r="KA69" s="346"/>
      <c r="KB69" s="346"/>
      <c r="KC69" s="346"/>
      <c r="KD69" s="346"/>
      <c r="KE69" s="346"/>
      <c r="KF69" s="346"/>
      <c r="KG69" s="346"/>
      <c r="KH69" s="346"/>
      <c r="KI69" s="346"/>
      <c r="KJ69" s="346"/>
      <c r="KK69" s="346"/>
      <c r="KL69" s="346"/>
      <c r="KM69" s="346"/>
      <c r="KN69" s="346"/>
      <c r="KO69" s="346"/>
      <c r="KP69" s="346"/>
      <c r="KQ69" s="346"/>
      <c r="KR69" s="346"/>
      <c r="KS69" s="346"/>
      <c r="KT69" s="346"/>
      <c r="KU69" s="34"/>
      <c r="KV69" s="34"/>
      <c r="KW69" s="34"/>
      <c r="KX69" s="346"/>
      <c r="KY69" s="346"/>
      <c r="KZ69" s="346"/>
      <c r="LA69" s="346"/>
      <c r="LB69" s="346"/>
      <c r="LC69" s="346"/>
      <c r="LD69" s="346"/>
      <c r="LE69" s="346"/>
      <c r="LF69" s="346"/>
      <c r="LG69" s="346"/>
      <c r="LH69" s="346"/>
      <c r="LI69" s="346"/>
      <c r="LJ69" s="346"/>
      <c r="LK69" s="346"/>
      <c r="LL69" s="346"/>
      <c r="LM69" s="346"/>
      <c r="LN69" s="346"/>
      <c r="LO69" s="35"/>
      <c r="LP69" s="346"/>
      <c r="LQ69" s="346"/>
      <c r="LR69" s="346"/>
      <c r="LS69" s="346"/>
      <c r="LT69" s="346"/>
      <c r="LU69" s="346"/>
      <c r="LV69" s="346"/>
      <c r="LW69" s="346"/>
      <c r="LX69" s="346"/>
      <c r="LY69" s="346"/>
      <c r="LZ69" s="346"/>
      <c r="MA69" s="346"/>
      <c r="MB69" s="346"/>
      <c r="MC69" s="346"/>
      <c r="MD69" s="346"/>
      <c r="ME69" s="346"/>
      <c r="MF69" s="346"/>
      <c r="MG69" s="346"/>
      <c r="MH69" s="346"/>
      <c r="MI69" s="346"/>
      <c r="MJ69" s="346"/>
      <c r="MK69" s="346"/>
      <c r="ML69" s="346"/>
      <c r="MM69" s="346"/>
      <c r="MN69" s="346"/>
      <c r="MO69" s="346"/>
      <c r="MP69" s="346"/>
      <c r="MQ69" s="346"/>
      <c r="MR69" s="346"/>
      <c r="MS69" s="346"/>
      <c r="MT69" s="346"/>
      <c r="MU69" s="34"/>
      <c r="MV69" s="34"/>
      <c r="MW69" s="34"/>
      <c r="MX69" s="346"/>
      <c r="MY69" s="346"/>
      <c r="MZ69" s="346"/>
      <c r="NA69" s="346"/>
      <c r="NB69" s="346"/>
      <c r="NC69" s="346"/>
      <c r="ND69" s="346"/>
      <c r="NE69" s="346"/>
      <c r="NF69" s="346"/>
      <c r="NG69" s="346"/>
      <c r="NH69" s="346"/>
      <c r="NI69" s="346"/>
      <c r="NJ69" s="346"/>
      <c r="NK69" s="346"/>
      <c r="NL69" s="346"/>
      <c r="NM69" s="346"/>
      <c r="NN69" s="346"/>
      <c r="NO69" s="34"/>
    </row>
    <row r="70" spans="1:379" ht="63.6" hidden="1" customHeight="1">
      <c r="A70" s="58" t="s">
        <v>283</v>
      </c>
      <c r="B70" s="85" t="s">
        <v>284</v>
      </c>
      <c r="C70" s="154" t="s">
        <v>207</v>
      </c>
      <c r="D70" s="154"/>
      <c r="E70" s="58" t="s">
        <v>285</v>
      </c>
      <c r="F70" s="349"/>
      <c r="G70" s="117">
        <v>25</v>
      </c>
      <c r="H70" s="117">
        <v>10</v>
      </c>
      <c r="I70" s="117"/>
      <c r="J70" s="117">
        <v>30</v>
      </c>
      <c r="K70" s="121"/>
      <c r="L70" s="119">
        <f>SUM(G70:K70)</f>
        <v>65</v>
      </c>
      <c r="M70" s="155"/>
      <c r="N70" s="178" t="s">
        <v>286</v>
      </c>
      <c r="O70" s="350" t="s">
        <v>275</v>
      </c>
      <c r="P70" s="20"/>
      <c r="BP70" s="20"/>
      <c r="DP70" s="20"/>
      <c r="FP70" s="20"/>
      <c r="HP70" s="20"/>
      <c r="JP70" s="20"/>
      <c r="KU70" s="21"/>
      <c r="KV70" s="21"/>
      <c r="KW70" s="21"/>
      <c r="KX70" s="157"/>
      <c r="KY70" s="157"/>
      <c r="KZ70" s="157"/>
      <c r="LA70" s="157"/>
      <c r="LB70" s="157"/>
      <c r="LC70" s="157"/>
      <c r="LD70" s="157"/>
      <c r="LE70" s="157"/>
      <c r="LF70" s="157"/>
      <c r="LG70" s="157"/>
      <c r="LH70" s="157"/>
      <c r="LI70" s="157"/>
      <c r="LJ70" s="157"/>
      <c r="LK70" s="157"/>
      <c r="LL70" s="157"/>
      <c r="LM70" s="157"/>
      <c r="LN70" s="157"/>
      <c r="LO70" s="22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 s="21"/>
      <c r="MV70" s="21"/>
      <c r="MW70" s="21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 s="21"/>
    </row>
    <row r="71" spans="1:379" ht="63.6" hidden="1" customHeight="1" thickBot="1">
      <c r="A71" s="58" t="s">
        <v>283</v>
      </c>
      <c r="B71" s="85" t="s">
        <v>284</v>
      </c>
      <c r="C71" s="154" t="s">
        <v>207</v>
      </c>
      <c r="D71" s="154"/>
      <c r="E71" s="58" t="s">
        <v>285</v>
      </c>
      <c r="F71" s="58"/>
      <c r="G71" s="176">
        <v>25</v>
      </c>
      <c r="H71" s="176">
        <v>10</v>
      </c>
      <c r="I71" s="176"/>
      <c r="J71" s="176">
        <v>30</v>
      </c>
      <c r="K71" s="146"/>
      <c r="L71" s="351">
        <f>SUM(G71:K71)</f>
        <v>65</v>
      </c>
      <c r="M71" s="158"/>
      <c r="N71" s="178" t="s">
        <v>286</v>
      </c>
      <c r="O71" s="352" t="s">
        <v>277</v>
      </c>
      <c r="P71" s="20"/>
      <c r="BP71" s="20"/>
      <c r="DP71" s="20"/>
      <c r="FP71" s="20"/>
      <c r="HP71" s="20"/>
      <c r="JP71" s="20"/>
      <c r="KU71" s="21"/>
      <c r="KV71" s="21"/>
      <c r="KW71" s="21"/>
      <c r="KX71" s="157"/>
      <c r="KY71" s="157"/>
      <c r="KZ71" s="157"/>
      <c r="LA71" s="157"/>
      <c r="LB71" s="157"/>
      <c r="LC71" s="157"/>
      <c r="LD71" s="157"/>
      <c r="LE71" s="157"/>
      <c r="LF71" s="157"/>
      <c r="LG71" s="157"/>
      <c r="LH71" s="157"/>
      <c r="LI71" s="157"/>
      <c r="LJ71" s="157"/>
      <c r="LK71" s="157"/>
      <c r="LL71" s="157"/>
      <c r="LM71" s="157"/>
      <c r="LN71" s="157"/>
      <c r="LO71" s="22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 s="21"/>
      <c r="MV71" s="21"/>
      <c r="MW71" s="2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 s="21"/>
    </row>
    <row r="72" spans="1:379" ht="15" thickBot="1">
      <c r="A72" s="278" t="s">
        <v>287</v>
      </c>
      <c r="B72" s="340"/>
      <c r="C72" s="341" t="s">
        <v>138</v>
      </c>
      <c r="D72" s="341"/>
      <c r="E72" s="342"/>
      <c r="F72" s="342"/>
      <c r="G72" s="343"/>
      <c r="H72" s="343"/>
      <c r="I72" s="343"/>
      <c r="J72" s="343"/>
      <c r="K72" s="343"/>
      <c r="L72" s="353"/>
      <c r="M72" s="354"/>
      <c r="N72" s="355"/>
      <c r="O72" s="356" t="s">
        <v>138</v>
      </c>
      <c r="P72" s="357"/>
      <c r="Q72" s="355"/>
      <c r="R72" s="355"/>
      <c r="S72" s="355"/>
      <c r="T72" s="355"/>
      <c r="U72" s="355"/>
      <c r="V72" s="355"/>
      <c r="W72" s="355"/>
      <c r="X72" s="355"/>
      <c r="Y72" s="355"/>
      <c r="Z72" s="355"/>
      <c r="AA72" s="355"/>
      <c r="AB72" s="355"/>
      <c r="AC72" s="355"/>
      <c r="AD72" s="355"/>
      <c r="AE72" s="355"/>
      <c r="AF72" s="355"/>
      <c r="AG72" s="355"/>
      <c r="AH72" s="355"/>
      <c r="AI72" s="355"/>
      <c r="AJ72" s="355"/>
      <c r="AK72" s="355"/>
      <c r="AL72" s="355"/>
      <c r="AM72" s="355"/>
      <c r="AN72" s="355"/>
      <c r="AO72" s="355"/>
      <c r="AP72" s="355"/>
      <c r="AQ72" s="355"/>
      <c r="AR72" s="355"/>
      <c r="AS72" s="355"/>
      <c r="AT72" s="355"/>
      <c r="AU72" s="220"/>
      <c r="AV72" s="220"/>
      <c r="AW72" s="220"/>
      <c r="AX72" s="355"/>
      <c r="AY72" s="355"/>
      <c r="AZ72" s="355"/>
      <c r="BA72" s="355"/>
      <c r="BB72" s="355"/>
      <c r="BC72" s="355"/>
      <c r="BD72" s="355"/>
      <c r="BE72" s="355"/>
      <c r="BF72" s="355"/>
      <c r="BG72" s="355"/>
      <c r="BH72" s="355"/>
      <c r="BI72" s="355"/>
      <c r="BJ72" s="355"/>
      <c r="BK72" s="355"/>
      <c r="BL72" s="355"/>
      <c r="BM72" s="355"/>
      <c r="BN72" s="355"/>
      <c r="BO72" s="220"/>
      <c r="BP72" s="357"/>
      <c r="BQ72" s="355"/>
      <c r="BR72" s="355"/>
      <c r="BS72" s="355"/>
      <c r="BT72" s="355"/>
      <c r="BU72" s="355"/>
      <c r="BV72" s="355"/>
      <c r="BW72" s="355"/>
      <c r="BX72" s="355"/>
      <c r="BY72" s="355"/>
      <c r="BZ72" s="355"/>
      <c r="CA72" s="355"/>
      <c r="CB72" s="355"/>
      <c r="CC72" s="355"/>
      <c r="CD72" s="355"/>
      <c r="CE72" s="355"/>
      <c r="CF72" s="355"/>
      <c r="CG72" s="355"/>
      <c r="CH72" s="355"/>
      <c r="CI72" s="355"/>
      <c r="CJ72" s="355"/>
      <c r="CK72" s="355"/>
      <c r="CL72" s="355"/>
      <c r="CM72" s="355"/>
      <c r="CN72" s="355"/>
      <c r="CO72" s="355"/>
      <c r="CP72" s="355"/>
      <c r="CQ72" s="355"/>
      <c r="CR72" s="355"/>
      <c r="CS72" s="355"/>
      <c r="CT72" s="355"/>
      <c r="CU72" s="220"/>
      <c r="CV72" s="220"/>
      <c r="CW72" s="220"/>
      <c r="CX72" s="355"/>
      <c r="CY72" s="355"/>
      <c r="CZ72" s="355"/>
      <c r="DA72" s="355"/>
      <c r="DB72" s="355"/>
      <c r="DC72" s="355"/>
      <c r="DD72" s="355"/>
      <c r="DE72" s="355"/>
      <c r="DF72" s="355"/>
      <c r="DG72" s="355"/>
      <c r="DH72" s="355"/>
      <c r="DI72" s="355"/>
      <c r="DJ72" s="355"/>
      <c r="DK72" s="355"/>
      <c r="DL72" s="355"/>
      <c r="DM72" s="355"/>
      <c r="DN72" s="355"/>
      <c r="DO72" s="220"/>
      <c r="DP72" s="357"/>
      <c r="DQ72" s="355"/>
      <c r="DR72" s="355"/>
      <c r="DS72" s="355"/>
      <c r="DT72" s="355"/>
      <c r="DU72" s="355"/>
      <c r="DV72" s="355"/>
      <c r="DW72" s="355"/>
      <c r="DX72" s="355"/>
      <c r="DY72" s="355"/>
      <c r="DZ72" s="355"/>
      <c r="EA72" s="355"/>
      <c r="EB72" s="355"/>
      <c r="EC72" s="355"/>
      <c r="ED72" s="355"/>
      <c r="EE72" s="355"/>
      <c r="EF72" s="355"/>
      <c r="EG72" s="355"/>
      <c r="EH72" s="355"/>
      <c r="EI72" s="355"/>
      <c r="EJ72" s="355"/>
      <c r="EK72" s="355"/>
      <c r="EL72" s="355"/>
      <c r="EM72" s="355"/>
      <c r="EN72" s="355"/>
      <c r="EO72" s="355"/>
      <c r="EP72" s="355"/>
      <c r="EQ72" s="355"/>
      <c r="ER72" s="355"/>
      <c r="ES72" s="355"/>
      <c r="ET72" s="355"/>
      <c r="EU72" s="220"/>
      <c r="EV72" s="220"/>
      <c r="EW72" s="220"/>
      <c r="EX72" s="355"/>
      <c r="EY72" s="355"/>
      <c r="EZ72" s="355"/>
      <c r="FA72" s="355"/>
      <c r="FB72" s="355"/>
      <c r="FC72" s="355"/>
      <c r="FD72" s="355"/>
      <c r="FE72" s="355"/>
      <c r="FF72" s="355"/>
      <c r="FG72" s="355"/>
      <c r="FH72" s="355"/>
      <c r="FI72" s="355"/>
      <c r="FJ72" s="355"/>
      <c r="FK72" s="355"/>
      <c r="FL72" s="355"/>
      <c r="FM72" s="355"/>
      <c r="FN72" s="355"/>
      <c r="FO72" s="220"/>
      <c r="FP72" s="357"/>
      <c r="FQ72" s="355"/>
      <c r="FR72" s="355"/>
      <c r="FS72" s="355"/>
      <c r="FT72" s="355"/>
      <c r="FU72" s="355"/>
      <c r="FV72" s="355"/>
      <c r="FW72" s="355"/>
      <c r="FX72" s="355"/>
      <c r="FY72" s="355"/>
      <c r="FZ72" s="355"/>
      <c r="GA72" s="355"/>
      <c r="GB72" s="355"/>
      <c r="GC72" s="355"/>
      <c r="GD72" s="355"/>
      <c r="GE72" s="355"/>
      <c r="GF72" s="355"/>
      <c r="GG72" s="355"/>
      <c r="GH72" s="355"/>
      <c r="GI72" s="355"/>
      <c r="GJ72" s="355"/>
      <c r="GK72" s="355"/>
      <c r="GL72" s="355"/>
      <c r="GM72" s="355"/>
      <c r="GN72" s="355"/>
      <c r="GO72" s="355"/>
      <c r="GP72" s="355"/>
      <c r="GQ72" s="355"/>
      <c r="GR72" s="355"/>
      <c r="GS72" s="355"/>
      <c r="GT72" s="355"/>
      <c r="GU72" s="220"/>
      <c r="GV72" s="220"/>
      <c r="GW72" s="220"/>
      <c r="GX72" s="355"/>
      <c r="GY72" s="355"/>
      <c r="GZ72" s="355"/>
      <c r="HA72" s="355"/>
      <c r="HB72" s="355"/>
      <c r="HC72" s="355"/>
      <c r="HD72" s="355"/>
      <c r="HE72" s="355"/>
      <c r="HF72" s="355"/>
      <c r="HG72" s="355"/>
      <c r="HH72" s="355"/>
      <c r="HI72" s="355"/>
      <c r="HJ72" s="355"/>
      <c r="HK72" s="355"/>
      <c r="HL72" s="355"/>
      <c r="HM72" s="355"/>
      <c r="HN72" s="355"/>
      <c r="HO72" s="220"/>
      <c r="HP72" s="357"/>
      <c r="HQ72" s="355"/>
      <c r="HR72" s="355"/>
      <c r="HS72" s="355"/>
      <c r="HT72" s="355"/>
      <c r="HU72" s="355"/>
      <c r="HV72" s="355"/>
      <c r="HW72" s="355"/>
      <c r="HX72" s="355"/>
      <c r="HY72" s="355"/>
      <c r="HZ72" s="355"/>
      <c r="IA72" s="355"/>
      <c r="IB72" s="355"/>
      <c r="IC72" s="355"/>
      <c r="ID72" s="355"/>
      <c r="IE72" s="355"/>
      <c r="IF72" s="355"/>
      <c r="IG72" s="355"/>
      <c r="IH72" s="355"/>
      <c r="II72" s="355"/>
      <c r="IJ72" s="355"/>
      <c r="IK72" s="355"/>
      <c r="IL72" s="355"/>
      <c r="IM72" s="355"/>
      <c r="IN72" s="355"/>
      <c r="IO72" s="355"/>
      <c r="IP72" s="355"/>
      <c r="IQ72" s="355"/>
      <c r="IR72" s="355"/>
      <c r="IS72" s="355"/>
      <c r="IT72" s="355"/>
      <c r="IU72" s="220"/>
      <c r="IV72" s="220"/>
      <c r="IW72" s="220"/>
      <c r="IX72" s="355"/>
      <c r="IY72" s="355"/>
      <c r="IZ72" s="355"/>
      <c r="JA72" s="355"/>
      <c r="JB72" s="355"/>
      <c r="JC72" s="355"/>
      <c r="JD72" s="355"/>
      <c r="JE72" s="355"/>
      <c r="JF72" s="355"/>
      <c r="JG72" s="355"/>
      <c r="JH72" s="355"/>
      <c r="JI72" s="355"/>
      <c r="JJ72" s="355"/>
      <c r="JK72" s="355"/>
      <c r="JL72" s="355"/>
      <c r="JM72" s="355"/>
      <c r="JN72" s="355"/>
      <c r="JO72" s="220"/>
      <c r="JP72" s="357"/>
      <c r="JQ72" s="355"/>
      <c r="JR72" s="355"/>
      <c r="JS72" s="355"/>
      <c r="JT72" s="355"/>
      <c r="JU72" s="355"/>
      <c r="JV72" s="355"/>
      <c r="JW72" s="355"/>
      <c r="JX72" s="355"/>
      <c r="JY72" s="355"/>
      <c r="JZ72" s="355"/>
      <c r="KA72" s="355"/>
      <c r="KB72" s="355"/>
      <c r="KC72" s="355"/>
      <c r="KD72" s="355"/>
      <c r="KE72" s="355"/>
      <c r="KF72" s="355"/>
      <c r="KG72" s="355"/>
      <c r="KH72" s="355"/>
      <c r="KI72" s="355"/>
      <c r="KJ72" s="355"/>
      <c r="KK72" s="355"/>
      <c r="KL72" s="355"/>
      <c r="KM72" s="355"/>
      <c r="KN72" s="355"/>
      <c r="KO72" s="355"/>
      <c r="KP72" s="355"/>
      <c r="KQ72" s="355"/>
      <c r="KR72" s="355"/>
      <c r="KS72" s="355"/>
      <c r="KT72" s="355"/>
      <c r="KU72" s="220"/>
      <c r="KV72" s="220"/>
      <c r="KW72" s="220"/>
      <c r="KX72" s="355"/>
      <c r="KY72" s="355"/>
      <c r="KZ72" s="355"/>
      <c r="LA72" s="355"/>
      <c r="LB72" s="355"/>
      <c r="LC72" s="355"/>
      <c r="LD72" s="355"/>
      <c r="LE72" s="355"/>
      <c r="LF72" s="355"/>
      <c r="LG72" s="355"/>
      <c r="LH72" s="355"/>
      <c r="LI72" s="355"/>
      <c r="LJ72" s="355"/>
      <c r="LK72" s="355"/>
      <c r="LL72" s="355"/>
      <c r="LM72" s="355"/>
      <c r="LN72" s="355"/>
      <c r="LO72" s="222"/>
      <c r="LP72" s="355"/>
      <c r="LQ72" s="355"/>
      <c r="LR72" s="355"/>
      <c r="LS72" s="355"/>
      <c r="LT72" s="355"/>
      <c r="LU72" s="355"/>
      <c r="LV72" s="355"/>
      <c r="LW72" s="355"/>
      <c r="LX72" s="355"/>
      <c r="LY72" s="355"/>
      <c r="LZ72" s="355"/>
      <c r="MA72" s="355"/>
      <c r="MB72" s="355"/>
      <c r="MC72" s="355"/>
      <c r="MD72" s="355"/>
      <c r="ME72" s="355"/>
      <c r="MF72" s="355"/>
      <c r="MG72" s="355"/>
      <c r="MH72" s="355"/>
      <c r="MI72" s="355"/>
      <c r="MJ72" s="355"/>
      <c r="MK72" s="355"/>
      <c r="ML72" s="355"/>
      <c r="MM72" s="355"/>
      <c r="MN72" s="355"/>
      <c r="MO72" s="355"/>
      <c r="MP72" s="355"/>
      <c r="MQ72" s="355"/>
      <c r="MR72" s="355"/>
      <c r="MS72" s="355"/>
      <c r="MT72" s="355"/>
      <c r="MU72" s="220"/>
      <c r="MV72" s="220"/>
      <c r="MW72" s="220"/>
      <c r="MX72" s="355"/>
      <c r="MY72" s="355"/>
      <c r="MZ72" s="355"/>
      <c r="NA72" s="355"/>
      <c r="NB72" s="355"/>
      <c r="NC72" s="355"/>
      <c r="ND72" s="355"/>
      <c r="NE72" s="355"/>
      <c r="NF72" s="355"/>
      <c r="NG72" s="355"/>
      <c r="NH72" s="355"/>
      <c r="NI72" s="355"/>
      <c r="NJ72" s="355"/>
      <c r="NK72" s="355"/>
      <c r="NL72" s="355"/>
      <c r="NM72" s="355"/>
      <c r="NN72" s="355"/>
      <c r="NO72" s="220"/>
    </row>
    <row r="73" spans="1:379" ht="29.45" thickBot="1">
      <c r="A73" s="58" t="s">
        <v>288</v>
      </c>
      <c r="B73" s="358" t="s">
        <v>289</v>
      </c>
      <c r="C73" s="359" t="s">
        <v>150</v>
      </c>
      <c r="D73" s="360" t="s">
        <v>168</v>
      </c>
      <c r="E73" s="361" t="s">
        <v>290</v>
      </c>
      <c r="F73" s="362"/>
      <c r="G73" s="117">
        <v>150</v>
      </c>
      <c r="H73" s="289"/>
      <c r="I73" s="117">
        <v>0</v>
      </c>
      <c r="J73" s="363">
        <v>270</v>
      </c>
      <c r="K73" s="118">
        <v>500</v>
      </c>
      <c r="L73" s="119">
        <f>SUM(G73:K73)</f>
        <v>920</v>
      </c>
      <c r="M73" s="221"/>
      <c r="N73" s="155" t="s">
        <v>291</v>
      </c>
      <c r="O73" s="364" t="s">
        <v>292</v>
      </c>
      <c r="P73" s="221"/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19"/>
      <c r="AD73" s="219"/>
      <c r="AE73" s="219"/>
      <c r="AF73" s="219"/>
      <c r="AG73" s="219"/>
      <c r="AH73" s="219"/>
      <c r="AI73" s="219"/>
      <c r="AJ73" s="219"/>
      <c r="AK73" s="219"/>
      <c r="AL73" s="219"/>
      <c r="AM73" s="219"/>
      <c r="AN73" s="219"/>
      <c r="AO73" s="219"/>
      <c r="AP73" s="219"/>
      <c r="AQ73" s="219"/>
      <c r="AR73" s="219"/>
      <c r="AS73" s="219"/>
      <c r="AT73" s="219"/>
      <c r="AU73" s="220"/>
      <c r="AV73" s="220"/>
      <c r="AW73" s="220"/>
      <c r="AX73" s="219"/>
      <c r="AY73" s="219"/>
      <c r="AZ73" s="219"/>
      <c r="BA73" s="219"/>
      <c r="BB73" s="219"/>
      <c r="BC73" s="219"/>
      <c r="BD73" s="219"/>
      <c r="BE73" s="219"/>
      <c r="BF73" s="219"/>
      <c r="BG73" s="219"/>
      <c r="BH73" s="219"/>
      <c r="BI73" s="219"/>
      <c r="BJ73" s="219"/>
      <c r="BK73" s="219"/>
      <c r="BL73" s="219"/>
      <c r="BM73" s="219"/>
      <c r="BN73" s="219"/>
      <c r="BO73" s="220"/>
      <c r="BP73" s="221"/>
      <c r="BQ73" s="219"/>
      <c r="BR73" s="219"/>
      <c r="BS73" s="219"/>
      <c r="BT73" s="219"/>
      <c r="BU73" s="219"/>
      <c r="BV73" s="219"/>
      <c r="BW73" s="219"/>
      <c r="BX73" s="219"/>
      <c r="BY73" s="219"/>
      <c r="BZ73" s="219"/>
      <c r="CA73" s="219"/>
      <c r="CB73" s="219"/>
      <c r="CC73" s="219"/>
      <c r="CD73" s="219"/>
      <c r="CE73" s="219"/>
      <c r="CF73" s="219"/>
      <c r="CG73" s="219"/>
      <c r="CH73" s="219"/>
      <c r="CI73" s="219"/>
      <c r="CJ73" s="219"/>
      <c r="CK73" s="219"/>
      <c r="CL73" s="219"/>
      <c r="CM73" s="219"/>
      <c r="CN73" s="219"/>
      <c r="CO73" s="219"/>
      <c r="CP73" s="219"/>
      <c r="CQ73" s="219"/>
      <c r="CR73" s="219"/>
      <c r="CS73" s="219"/>
      <c r="CT73" s="219"/>
      <c r="CU73" s="220"/>
      <c r="CV73" s="220"/>
      <c r="CW73" s="220"/>
      <c r="CX73" s="219"/>
      <c r="CY73" s="219"/>
      <c r="CZ73" s="219"/>
      <c r="DA73" s="219"/>
      <c r="DB73" s="219"/>
      <c r="DC73" s="219"/>
      <c r="DD73" s="219"/>
      <c r="DE73" s="219"/>
      <c r="DF73" s="219"/>
      <c r="DG73" s="219"/>
      <c r="DH73" s="219"/>
      <c r="DI73" s="219"/>
      <c r="DJ73" s="219"/>
      <c r="DK73" s="219"/>
      <c r="DL73" s="219"/>
      <c r="DM73" s="219"/>
      <c r="DN73" s="219"/>
      <c r="DO73" s="220"/>
      <c r="DP73" s="221"/>
      <c r="DQ73" s="219"/>
      <c r="DR73" s="219"/>
      <c r="DS73" s="219"/>
      <c r="DT73" s="219"/>
      <c r="DU73" s="219"/>
      <c r="DV73" s="219"/>
      <c r="DW73" s="219"/>
      <c r="DX73" s="219"/>
      <c r="DY73" s="219"/>
      <c r="DZ73" s="219"/>
      <c r="EA73" s="219"/>
      <c r="EB73" s="219"/>
      <c r="EC73" s="219"/>
      <c r="ED73" s="219"/>
      <c r="EE73" s="219"/>
      <c r="EF73" s="219"/>
      <c r="EG73" s="219"/>
      <c r="EH73" s="219"/>
      <c r="EI73" s="219"/>
      <c r="EJ73" s="219"/>
      <c r="EK73" s="219"/>
      <c r="EL73" s="219"/>
      <c r="EM73" s="219"/>
      <c r="EN73" s="219"/>
      <c r="EO73" s="219"/>
      <c r="EP73" s="219"/>
      <c r="EQ73" s="219"/>
      <c r="ER73" s="219"/>
      <c r="ES73" s="219"/>
      <c r="ET73" s="219"/>
      <c r="EU73" s="220"/>
      <c r="EV73" s="220"/>
      <c r="EW73" s="220"/>
      <c r="EX73" s="219"/>
      <c r="EY73" s="219"/>
      <c r="EZ73" s="219"/>
      <c r="FA73" s="219"/>
      <c r="FB73" s="219"/>
      <c r="FC73" s="219"/>
      <c r="FD73" s="219"/>
      <c r="FE73" s="219"/>
      <c r="FF73" s="219"/>
      <c r="FG73" s="219"/>
      <c r="FH73" s="219"/>
      <c r="FI73" s="219"/>
      <c r="FJ73" s="219"/>
      <c r="FK73" s="219"/>
      <c r="FL73" s="219"/>
      <c r="FM73" s="219"/>
      <c r="FN73" s="219"/>
      <c r="FO73" s="220"/>
      <c r="FP73" s="221"/>
      <c r="FQ73" s="219"/>
      <c r="FR73" s="219"/>
      <c r="FS73" s="219"/>
      <c r="FT73" s="219"/>
      <c r="FU73" s="219"/>
      <c r="FV73" s="219"/>
      <c r="FW73" s="219"/>
      <c r="FX73" s="219"/>
      <c r="FY73" s="219"/>
      <c r="FZ73" s="219"/>
      <c r="GA73" s="219"/>
      <c r="GB73" s="219"/>
      <c r="GC73" s="219"/>
      <c r="GD73" s="219"/>
      <c r="GE73" s="219"/>
      <c r="GF73" s="219"/>
      <c r="GG73" s="219"/>
      <c r="GH73" s="219"/>
      <c r="GI73" s="219"/>
      <c r="GJ73" s="219"/>
      <c r="GK73" s="219"/>
      <c r="GL73" s="219"/>
      <c r="GM73" s="219"/>
      <c r="GN73" s="219"/>
      <c r="GO73" s="219"/>
      <c r="GP73" s="219"/>
      <c r="GQ73" s="219"/>
      <c r="GR73" s="219"/>
      <c r="GS73" s="219"/>
      <c r="GT73" s="219"/>
      <c r="GU73" s="220"/>
      <c r="GV73" s="220"/>
      <c r="GW73" s="220"/>
      <c r="GX73" s="219"/>
      <c r="GY73" s="219"/>
      <c r="GZ73" s="219"/>
      <c r="HA73" s="219"/>
      <c r="HB73" s="219"/>
      <c r="HC73" s="219"/>
      <c r="HD73" s="219"/>
      <c r="HE73" s="219"/>
      <c r="HF73" s="219"/>
      <c r="HG73" s="219"/>
      <c r="HH73" s="219"/>
      <c r="HI73" s="219"/>
      <c r="HJ73" s="219"/>
      <c r="HK73" s="219"/>
      <c r="HL73" s="219"/>
      <c r="HM73" s="219"/>
      <c r="HN73" s="219"/>
      <c r="HO73" s="220"/>
      <c r="HP73" s="221"/>
      <c r="HQ73" s="219"/>
      <c r="HR73" s="219"/>
      <c r="HS73" s="219"/>
      <c r="HT73" s="219"/>
      <c r="HU73" s="219"/>
      <c r="HV73" s="219"/>
      <c r="HW73" s="219"/>
      <c r="HX73" s="219"/>
      <c r="HY73" s="219"/>
      <c r="HZ73" s="219"/>
      <c r="IA73" s="219"/>
      <c r="IB73" s="219"/>
      <c r="IC73" s="219"/>
      <c r="ID73" s="219"/>
      <c r="IE73" s="219"/>
      <c r="IF73" s="219"/>
      <c r="IG73" s="219"/>
      <c r="IH73" s="219"/>
      <c r="II73" s="219"/>
      <c r="IJ73" s="219"/>
      <c r="IK73" s="219"/>
      <c r="IL73" s="219"/>
      <c r="IM73" s="219"/>
      <c r="IN73" s="219"/>
      <c r="IO73" s="219"/>
      <c r="IP73" s="219"/>
      <c r="IQ73" s="219"/>
      <c r="IR73" s="219"/>
      <c r="IS73" s="219"/>
      <c r="IT73" s="219"/>
      <c r="IU73" s="220"/>
      <c r="IV73" s="220"/>
      <c r="IW73" s="220"/>
      <c r="IX73" s="219"/>
      <c r="IY73" s="219"/>
      <c r="IZ73" s="219"/>
      <c r="JA73" s="219"/>
      <c r="JB73" s="219"/>
      <c r="JC73" s="219"/>
      <c r="JD73" s="219"/>
      <c r="JE73" s="219"/>
      <c r="JF73" s="219"/>
      <c r="JG73" s="219"/>
      <c r="JH73" s="219"/>
      <c r="JI73" s="219"/>
      <c r="JJ73" s="219"/>
      <c r="JK73" s="219"/>
      <c r="JL73" s="219"/>
      <c r="JM73" s="219"/>
      <c r="JN73" s="219"/>
      <c r="JO73" s="219"/>
      <c r="JP73" s="221"/>
      <c r="JQ73" s="219"/>
      <c r="JR73" s="219"/>
      <c r="JS73" s="219"/>
      <c r="JT73" s="219"/>
      <c r="JU73" s="219"/>
      <c r="JV73" s="219"/>
      <c r="JW73" s="219"/>
      <c r="JX73" s="219"/>
      <c r="JY73" s="219"/>
      <c r="JZ73" s="219"/>
      <c r="KA73" s="219"/>
      <c r="KB73" s="219"/>
      <c r="KC73" s="219"/>
      <c r="KD73" s="219"/>
      <c r="KE73" s="219"/>
      <c r="KF73" s="219"/>
      <c r="KG73" s="219"/>
      <c r="KH73" s="219"/>
      <c r="KI73" s="219"/>
      <c r="KJ73" s="219"/>
      <c r="KK73" s="219"/>
      <c r="KL73" s="219"/>
      <c r="KM73" s="219"/>
      <c r="KN73" s="365">
        <v>1</v>
      </c>
      <c r="KO73" s="365">
        <f t="shared" ref="KO73:KT74" si="45">KN73+1</f>
        <v>2</v>
      </c>
      <c r="KP73" s="365">
        <f t="shared" si="45"/>
        <v>3</v>
      </c>
      <c r="KQ73" s="365">
        <f t="shared" si="45"/>
        <v>4</v>
      </c>
      <c r="KR73" s="365">
        <f t="shared" si="45"/>
        <v>5</v>
      </c>
      <c r="KS73" s="365">
        <f t="shared" si="45"/>
        <v>6</v>
      </c>
      <c r="KT73" s="365">
        <f t="shared" si="45"/>
        <v>7</v>
      </c>
      <c r="KU73" s="366"/>
      <c r="KV73" s="366"/>
      <c r="KW73" s="366"/>
      <c r="KX73" s="365">
        <f>KT73+1</f>
        <v>8</v>
      </c>
      <c r="KY73" s="365">
        <f t="shared" ref="KY73:LH74" si="46">KX73+1</f>
        <v>9</v>
      </c>
      <c r="KZ73" s="365">
        <f t="shared" si="46"/>
        <v>10</v>
      </c>
      <c r="LA73" s="365">
        <f t="shared" si="46"/>
        <v>11</v>
      </c>
      <c r="LB73" s="365">
        <f t="shared" si="46"/>
        <v>12</v>
      </c>
      <c r="LC73" s="365">
        <f t="shared" si="46"/>
        <v>13</v>
      </c>
      <c r="LD73" s="365">
        <f t="shared" si="46"/>
        <v>14</v>
      </c>
      <c r="LE73" s="365">
        <f t="shared" si="46"/>
        <v>15</v>
      </c>
      <c r="LF73" s="365">
        <f t="shared" si="46"/>
        <v>16</v>
      </c>
      <c r="LG73" s="365">
        <f t="shared" si="46"/>
        <v>17</v>
      </c>
      <c r="LH73" s="365">
        <f t="shared" si="46"/>
        <v>18</v>
      </c>
      <c r="LI73" s="73"/>
      <c r="LJ73" s="73"/>
      <c r="LK73" s="73"/>
      <c r="LL73" s="73"/>
      <c r="LM73" s="73"/>
      <c r="LN73" s="73"/>
      <c r="LO73" s="222"/>
      <c r="LP73" s="219"/>
      <c r="LQ73" s="219"/>
      <c r="LR73" s="219"/>
      <c r="LS73" s="219"/>
      <c r="LT73" s="219"/>
      <c r="LU73" s="219"/>
      <c r="LV73" s="219"/>
      <c r="LW73" s="219"/>
      <c r="LX73" s="219"/>
      <c r="LY73" s="219"/>
      <c r="LZ73" s="219"/>
      <c r="MA73" s="219"/>
      <c r="MB73" s="219"/>
      <c r="MC73" s="219"/>
      <c r="MD73" s="219"/>
      <c r="ME73" s="219"/>
      <c r="MF73" s="219"/>
      <c r="MG73" s="219"/>
      <c r="MH73" s="219"/>
      <c r="MI73" s="219"/>
      <c r="MJ73" s="219"/>
      <c r="MK73" s="219"/>
      <c r="ML73" s="219"/>
      <c r="MM73" s="219"/>
      <c r="MN73" s="219"/>
      <c r="MO73" s="219"/>
      <c r="MP73" s="219"/>
      <c r="MQ73" s="219"/>
      <c r="MR73" s="219"/>
      <c r="MS73" s="219"/>
      <c r="MT73" s="219"/>
      <c r="MU73" s="220"/>
      <c r="MV73" s="220"/>
      <c r="MW73" s="220"/>
      <c r="MX73" s="219"/>
      <c r="MY73" s="219"/>
      <c r="MZ73" s="219"/>
      <c r="NA73" s="219"/>
      <c r="NB73" s="219"/>
      <c r="NC73" s="219"/>
      <c r="ND73" s="219"/>
      <c r="NE73" s="219"/>
      <c r="NF73" s="219"/>
      <c r="NG73" s="219"/>
      <c r="NH73" s="219"/>
      <c r="NI73" s="219"/>
      <c r="NJ73" s="219"/>
      <c r="NK73" s="219"/>
      <c r="NL73" s="219"/>
      <c r="NM73" s="219"/>
      <c r="NN73" s="219"/>
      <c r="NO73" s="222"/>
    </row>
    <row r="74" spans="1:379" ht="29.45" hidden="1" thickBot="1">
      <c r="A74" s="367" t="s">
        <v>259</v>
      </c>
      <c r="B74" s="368" t="s">
        <v>289</v>
      </c>
      <c r="C74" s="369" t="s">
        <v>174</v>
      </c>
      <c r="D74" s="369" t="s">
        <v>168</v>
      </c>
      <c r="E74" s="370" t="s">
        <v>290</v>
      </c>
      <c r="F74" s="371"/>
      <c r="G74" s="1">
        <v>50</v>
      </c>
      <c r="H74" s="176">
        <v>10</v>
      </c>
      <c r="I74" s="176"/>
      <c r="J74" s="363">
        <v>270</v>
      </c>
      <c r="K74" s="146">
        <v>0</v>
      </c>
      <c r="L74" s="66">
        <f>SUM(G74:K74)</f>
        <v>330</v>
      </c>
      <c r="M74" s="20"/>
      <c r="N74" s="158" t="s">
        <v>291</v>
      </c>
      <c r="O74" s="364" t="s">
        <v>293</v>
      </c>
      <c r="P74" s="372"/>
      <c r="Q74" s="373"/>
      <c r="R74" s="373"/>
      <c r="S74" s="373"/>
      <c r="T74" s="373"/>
      <c r="U74" s="373"/>
      <c r="V74" s="373"/>
      <c r="W74" s="373"/>
      <c r="X74" s="373"/>
      <c r="Y74" s="373"/>
      <c r="Z74" s="373"/>
      <c r="AA74" s="373"/>
      <c r="AB74" s="373"/>
      <c r="AC74" s="373"/>
      <c r="AD74" s="373"/>
      <c r="AE74" s="373"/>
      <c r="AF74" s="373"/>
      <c r="AG74" s="373"/>
      <c r="AH74" s="373"/>
      <c r="AI74" s="373"/>
      <c r="AJ74" s="373"/>
      <c r="AK74" s="373"/>
      <c r="AL74" s="373"/>
      <c r="AM74" s="373"/>
      <c r="AN74" s="373"/>
      <c r="AO74" s="373"/>
      <c r="AP74" s="373"/>
      <c r="AQ74" s="373"/>
      <c r="AR74" s="373"/>
      <c r="AS74" s="373"/>
      <c r="AT74" s="373"/>
      <c r="AU74" s="208"/>
      <c r="AV74" s="208"/>
      <c r="AW74" s="208"/>
      <c r="AX74" s="373"/>
      <c r="AY74" s="373"/>
      <c r="AZ74" s="373"/>
      <c r="BA74" s="373"/>
      <c r="BB74" s="373"/>
      <c r="BC74" s="373"/>
      <c r="BD74" s="373"/>
      <c r="BE74" s="373"/>
      <c r="BF74" s="373"/>
      <c r="BG74" s="373"/>
      <c r="BH74" s="373"/>
      <c r="BI74" s="373"/>
      <c r="BJ74" s="373"/>
      <c r="BK74" s="373"/>
      <c r="BL74" s="373"/>
      <c r="BM74" s="373"/>
      <c r="BN74" s="373"/>
      <c r="BO74" s="208"/>
      <c r="BP74" s="372"/>
      <c r="BQ74" s="373"/>
      <c r="BR74" s="373"/>
      <c r="BS74" s="373"/>
      <c r="BT74" s="373"/>
      <c r="BU74" s="373"/>
      <c r="BV74" s="373"/>
      <c r="BW74" s="373"/>
      <c r="BX74" s="373"/>
      <c r="BY74" s="373"/>
      <c r="BZ74" s="373"/>
      <c r="CA74" s="373"/>
      <c r="CB74" s="373"/>
      <c r="CC74" s="373"/>
      <c r="CD74" s="373"/>
      <c r="CE74" s="373"/>
      <c r="CF74" s="373"/>
      <c r="CG74" s="373"/>
      <c r="CH74" s="373"/>
      <c r="CI74" s="373"/>
      <c r="CJ74" s="373"/>
      <c r="CK74" s="373"/>
      <c r="CL74" s="373"/>
      <c r="CM74" s="373"/>
      <c r="CN74" s="373"/>
      <c r="CO74" s="373"/>
      <c r="CP74" s="373"/>
      <c r="CQ74" s="373"/>
      <c r="CR74" s="373"/>
      <c r="CS74" s="373"/>
      <c r="CT74" s="373"/>
      <c r="CU74" s="208"/>
      <c r="CV74" s="208"/>
      <c r="CW74" s="208"/>
      <c r="CX74" s="373"/>
      <c r="CY74" s="373"/>
      <c r="CZ74" s="373"/>
      <c r="DA74" s="373"/>
      <c r="DB74" s="373"/>
      <c r="DC74" s="373"/>
      <c r="DD74" s="373"/>
      <c r="DE74" s="373"/>
      <c r="DF74" s="373"/>
      <c r="DG74" s="373"/>
      <c r="DH74" s="373"/>
      <c r="DI74" s="373"/>
      <c r="DJ74" s="373"/>
      <c r="DK74" s="373"/>
      <c r="DL74" s="373"/>
      <c r="DM74" s="373"/>
      <c r="DN74" s="373"/>
      <c r="DO74" s="208"/>
      <c r="DP74" s="372"/>
      <c r="DQ74" s="373"/>
      <c r="DR74" s="373"/>
      <c r="DS74" s="373"/>
      <c r="DT74" s="373"/>
      <c r="DU74" s="373"/>
      <c r="DV74" s="373"/>
      <c r="DW74" s="373"/>
      <c r="DX74" s="373"/>
      <c r="DY74" s="373"/>
      <c r="DZ74" s="373"/>
      <c r="EA74" s="373"/>
      <c r="EB74" s="373"/>
      <c r="EC74" s="373"/>
      <c r="ED74" s="373"/>
      <c r="EE74" s="373"/>
      <c r="EF74" s="373"/>
      <c r="EG74" s="373"/>
      <c r="EH74" s="373"/>
      <c r="EI74" s="373"/>
      <c r="EJ74" s="373"/>
      <c r="EK74" s="373"/>
      <c r="EL74" s="373"/>
      <c r="EM74" s="373"/>
      <c r="EN74" s="373"/>
      <c r="EO74" s="373"/>
      <c r="EP74" s="373"/>
      <c r="EQ74" s="373"/>
      <c r="ER74" s="373"/>
      <c r="ES74" s="373"/>
      <c r="ET74" s="373"/>
      <c r="EU74" s="208"/>
      <c r="EV74" s="208"/>
      <c r="EW74" s="208"/>
      <c r="EX74" s="373"/>
      <c r="EY74" s="373"/>
      <c r="EZ74" s="373"/>
      <c r="FA74" s="373"/>
      <c r="FB74" s="373"/>
      <c r="FC74" s="373"/>
      <c r="FD74" s="373"/>
      <c r="FE74" s="373"/>
      <c r="FF74" s="373"/>
      <c r="FG74" s="373"/>
      <c r="FH74" s="373"/>
      <c r="FI74" s="373"/>
      <c r="FJ74" s="373"/>
      <c r="FK74" s="373"/>
      <c r="FL74" s="373"/>
      <c r="FM74" s="373"/>
      <c r="FN74" s="373"/>
      <c r="FO74" s="208"/>
      <c r="FP74" s="372"/>
      <c r="FQ74" s="373"/>
      <c r="FR74" s="373"/>
      <c r="FS74" s="373"/>
      <c r="FT74" s="373"/>
      <c r="FU74" s="373"/>
      <c r="FV74" s="373"/>
      <c r="FW74" s="373"/>
      <c r="FX74" s="373"/>
      <c r="FY74" s="373"/>
      <c r="FZ74" s="373"/>
      <c r="GA74" s="373"/>
      <c r="GB74" s="373"/>
      <c r="GC74" s="373"/>
      <c r="GD74" s="373"/>
      <c r="GE74" s="373"/>
      <c r="GF74" s="373"/>
      <c r="GG74" s="373"/>
      <c r="GH74" s="373"/>
      <c r="GI74" s="373"/>
      <c r="GJ74" s="373"/>
      <c r="GK74" s="373"/>
      <c r="GL74" s="373"/>
      <c r="GM74" s="373"/>
      <c r="GN74" s="373"/>
      <c r="GO74" s="373"/>
      <c r="GP74" s="373"/>
      <c r="GQ74" s="373"/>
      <c r="GR74" s="373"/>
      <c r="GS74" s="373"/>
      <c r="GT74" s="373"/>
      <c r="GU74" s="208"/>
      <c r="GV74" s="208"/>
      <c r="GW74" s="208"/>
      <c r="GX74" s="373"/>
      <c r="GY74" s="373"/>
      <c r="GZ74" s="373"/>
      <c r="HA74" s="373"/>
      <c r="HB74" s="373"/>
      <c r="HC74" s="373"/>
      <c r="HD74" s="373"/>
      <c r="HE74" s="373"/>
      <c r="HF74" s="373"/>
      <c r="HG74" s="373"/>
      <c r="HH74" s="373"/>
      <c r="HI74" s="373"/>
      <c r="HJ74" s="373"/>
      <c r="HK74" s="373"/>
      <c r="HL74" s="373"/>
      <c r="HM74" s="373"/>
      <c r="HN74" s="373"/>
      <c r="HO74" s="208"/>
      <c r="HP74" s="372"/>
      <c r="HQ74" s="373"/>
      <c r="HR74" s="373"/>
      <c r="HS74" s="373"/>
      <c r="HT74" s="373"/>
      <c r="HU74" s="373"/>
      <c r="HV74" s="373"/>
      <c r="HW74" s="373"/>
      <c r="HX74" s="373"/>
      <c r="HY74" s="373"/>
      <c r="HZ74" s="373"/>
      <c r="IA74" s="373"/>
      <c r="IB74" s="373"/>
      <c r="IC74" s="373"/>
      <c r="ID74" s="373"/>
      <c r="IE74" s="373"/>
      <c r="IF74" s="373"/>
      <c r="IG74" s="373"/>
      <c r="IH74" s="373"/>
      <c r="II74" s="373"/>
      <c r="IJ74" s="373"/>
      <c r="IK74" s="373"/>
      <c r="IL74" s="373"/>
      <c r="IM74" s="373"/>
      <c r="IN74" s="373"/>
      <c r="IO74" s="373"/>
      <c r="IP74" s="373"/>
      <c r="IQ74" s="373"/>
      <c r="IR74" s="373"/>
      <c r="IS74" s="373"/>
      <c r="IT74" s="373"/>
      <c r="IU74" s="208"/>
      <c r="IV74" s="208"/>
      <c r="IW74" s="208"/>
      <c r="IX74" s="373"/>
      <c r="IY74" s="373"/>
      <c r="IZ74" s="373"/>
      <c r="JA74" s="373"/>
      <c r="JB74" s="373"/>
      <c r="JC74" s="373"/>
      <c r="JD74" s="373"/>
      <c r="JE74" s="373"/>
      <c r="JF74" s="373"/>
      <c r="JG74" s="373"/>
      <c r="JH74" s="373"/>
      <c r="JI74" s="373"/>
      <c r="JJ74" s="373"/>
      <c r="JK74" s="373"/>
      <c r="JL74" s="373"/>
      <c r="JM74" s="373"/>
      <c r="JN74" s="373"/>
      <c r="JO74" s="373"/>
      <c r="JP74" s="372"/>
      <c r="JQ74" s="373"/>
      <c r="JR74" s="373"/>
      <c r="JS74" s="373"/>
      <c r="JT74" s="373"/>
      <c r="JU74" s="373"/>
      <c r="JV74" s="373"/>
      <c r="JW74" s="373"/>
      <c r="JX74" s="373"/>
      <c r="JY74" s="373"/>
      <c r="JZ74" s="373"/>
      <c r="KA74" s="373"/>
      <c r="KB74" s="373"/>
      <c r="KC74" s="373"/>
      <c r="KD74" s="373"/>
      <c r="KE74" s="373"/>
      <c r="KF74" s="373"/>
      <c r="KG74" s="373"/>
      <c r="KH74" s="373"/>
      <c r="KI74" s="373"/>
      <c r="KJ74" s="373"/>
      <c r="KK74" s="373"/>
      <c r="KL74" s="373"/>
      <c r="KM74" s="373"/>
      <c r="KN74" s="374">
        <v>1</v>
      </c>
      <c r="KO74" s="374">
        <f t="shared" si="45"/>
        <v>2</v>
      </c>
      <c r="KP74" s="374">
        <f t="shared" si="45"/>
        <v>3</v>
      </c>
      <c r="KQ74" s="374">
        <f t="shared" si="45"/>
        <v>4</v>
      </c>
      <c r="KR74" s="374">
        <f t="shared" si="45"/>
        <v>5</v>
      </c>
      <c r="KS74" s="374">
        <f t="shared" si="45"/>
        <v>6</v>
      </c>
      <c r="KT74" s="374">
        <f t="shared" si="45"/>
        <v>7</v>
      </c>
      <c r="KU74" s="375"/>
      <c r="KV74" s="375"/>
      <c r="KW74" s="375"/>
      <c r="KX74" s="374">
        <f>KT74+1</f>
        <v>8</v>
      </c>
      <c r="KY74" s="374">
        <f t="shared" si="46"/>
        <v>9</v>
      </c>
      <c r="KZ74" s="374">
        <f t="shared" si="46"/>
        <v>10</v>
      </c>
      <c r="LA74" s="374">
        <f t="shared" si="46"/>
        <v>11</v>
      </c>
      <c r="LB74" s="374">
        <f t="shared" si="46"/>
        <v>12</v>
      </c>
      <c r="LC74" s="374">
        <f t="shared" si="46"/>
        <v>13</v>
      </c>
      <c r="LD74" s="374">
        <f t="shared" si="46"/>
        <v>14</v>
      </c>
      <c r="LE74" s="374">
        <f t="shared" si="46"/>
        <v>15</v>
      </c>
      <c r="LF74" s="374">
        <f t="shared" si="46"/>
        <v>16</v>
      </c>
      <c r="LG74" s="374">
        <f t="shared" si="46"/>
        <v>17</v>
      </c>
      <c r="LH74" s="374">
        <f t="shared" si="46"/>
        <v>18</v>
      </c>
      <c r="LI74" s="376"/>
      <c r="LJ74" s="376"/>
      <c r="LK74" s="376"/>
      <c r="LL74" s="376"/>
      <c r="LM74" s="376"/>
      <c r="LN74" s="376"/>
      <c r="LO74" s="209"/>
      <c r="LP74" s="373"/>
      <c r="LQ74" s="373"/>
      <c r="LR74" s="373"/>
      <c r="LS74" s="373"/>
      <c r="LT74" s="373"/>
      <c r="LU74" s="373"/>
      <c r="LV74" s="373"/>
      <c r="LW74" s="373"/>
      <c r="LX74" s="373"/>
      <c r="LY74" s="373"/>
      <c r="LZ74" s="373"/>
      <c r="MA74" s="373"/>
      <c r="MB74" s="373"/>
      <c r="MC74" s="373"/>
      <c r="MD74" s="373"/>
      <c r="ME74" s="373"/>
      <c r="MF74" s="373"/>
      <c r="MG74" s="373"/>
      <c r="MH74" s="373"/>
      <c r="MI74" s="373"/>
      <c r="MJ74" s="373"/>
      <c r="MK74" s="373"/>
      <c r="ML74" s="373"/>
      <c r="MM74" s="373"/>
      <c r="MN74" s="373"/>
      <c r="MO74" s="373"/>
      <c r="MP74" s="373"/>
      <c r="MQ74" s="373"/>
      <c r="MR74" s="373"/>
      <c r="MS74" s="373"/>
      <c r="MT74" s="373"/>
      <c r="MU74" s="208"/>
      <c r="MV74" s="208"/>
      <c r="MW74" s="208"/>
      <c r="MX74" s="373"/>
      <c r="MY74" s="373"/>
      <c r="MZ74" s="373"/>
      <c r="NA74" s="373"/>
      <c r="NB74" s="373"/>
      <c r="NC74" s="373"/>
      <c r="ND74" s="373"/>
      <c r="NE74" s="373"/>
      <c r="NF74" s="373"/>
      <c r="NG74" s="373"/>
      <c r="NH74" s="373"/>
      <c r="NI74" s="373"/>
      <c r="NJ74" s="373"/>
      <c r="NK74" s="373"/>
      <c r="NL74" s="373"/>
      <c r="NM74" s="373"/>
      <c r="NN74" s="373"/>
      <c r="NO74" s="209"/>
    </row>
    <row r="75" spans="1:379" s="49" customFormat="1" ht="49.35" customHeight="1" thickBot="1">
      <c r="A75" s="188" t="s">
        <v>261</v>
      </c>
      <c r="B75" s="297"/>
      <c r="C75" s="298" t="s">
        <v>138</v>
      </c>
      <c r="D75" s="298"/>
      <c r="E75" s="299"/>
      <c r="F75" s="299"/>
      <c r="G75" s="39"/>
      <c r="H75" s="39"/>
      <c r="I75" s="39"/>
      <c r="J75" s="39"/>
      <c r="K75" s="39"/>
      <c r="L75" s="300"/>
      <c r="M75" s="189"/>
      <c r="N75" s="301"/>
      <c r="O75" s="195" t="s">
        <v>138</v>
      </c>
      <c r="P75" s="303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303"/>
      <c r="BQ75" s="194"/>
      <c r="BR75" s="194"/>
      <c r="BS75" s="194"/>
      <c r="BT75" s="194"/>
      <c r="BU75" s="194"/>
      <c r="BV75" s="194"/>
      <c r="BW75" s="194"/>
      <c r="BX75" s="194"/>
      <c r="BY75" s="194"/>
      <c r="BZ75" s="194"/>
      <c r="CA75" s="194"/>
      <c r="CB75" s="194"/>
      <c r="CC75" s="194"/>
      <c r="CD75" s="194"/>
      <c r="CE75" s="194"/>
      <c r="CF75" s="194"/>
      <c r="CG75" s="194"/>
      <c r="CH75" s="194"/>
      <c r="CI75" s="194"/>
      <c r="CJ75" s="194"/>
      <c r="CK75" s="194"/>
      <c r="CL75" s="194"/>
      <c r="CM75" s="194"/>
      <c r="CN75" s="194"/>
      <c r="CO75" s="194"/>
      <c r="CP75" s="194"/>
      <c r="CQ75" s="194"/>
      <c r="CR75" s="194"/>
      <c r="CS75" s="194"/>
      <c r="CT75" s="194"/>
      <c r="CU75" s="194"/>
      <c r="CV75" s="194"/>
      <c r="CW75" s="194"/>
      <c r="CX75" s="194"/>
      <c r="CY75" s="194"/>
      <c r="CZ75" s="194"/>
      <c r="DA75" s="194"/>
      <c r="DB75" s="194"/>
      <c r="DC75" s="194"/>
      <c r="DD75" s="194"/>
      <c r="DE75" s="194"/>
      <c r="DF75" s="194"/>
      <c r="DG75" s="194"/>
      <c r="DH75" s="194"/>
      <c r="DI75" s="194"/>
      <c r="DJ75" s="194"/>
      <c r="DK75" s="194"/>
      <c r="DL75" s="194"/>
      <c r="DM75" s="194"/>
      <c r="DN75" s="194"/>
      <c r="DO75" s="194"/>
      <c r="DP75" s="303"/>
      <c r="DQ75" s="194"/>
      <c r="DR75" s="194"/>
      <c r="DS75" s="194"/>
      <c r="DT75" s="194"/>
      <c r="DU75" s="194"/>
      <c r="DV75" s="194"/>
      <c r="DW75" s="194"/>
      <c r="DX75" s="194"/>
      <c r="DY75" s="194"/>
      <c r="DZ75" s="194"/>
      <c r="EA75" s="194"/>
      <c r="EB75" s="194"/>
      <c r="EC75" s="194"/>
      <c r="ED75" s="194"/>
      <c r="EE75" s="194"/>
      <c r="EF75" s="194"/>
      <c r="EG75" s="194"/>
      <c r="EH75" s="194"/>
      <c r="EI75" s="194"/>
      <c r="EJ75" s="194"/>
      <c r="EK75" s="194"/>
      <c r="EL75" s="194"/>
      <c r="EM75" s="194"/>
      <c r="EN75" s="194"/>
      <c r="EO75" s="194"/>
      <c r="EP75" s="194"/>
      <c r="EQ75" s="194"/>
      <c r="ER75" s="194"/>
      <c r="ES75" s="194"/>
      <c r="ET75" s="194"/>
      <c r="EU75" s="194"/>
      <c r="EV75" s="194"/>
      <c r="EW75" s="194"/>
      <c r="EX75" s="194"/>
      <c r="EY75" s="194"/>
      <c r="EZ75" s="194"/>
      <c r="FA75" s="194"/>
      <c r="FB75" s="194"/>
      <c r="FC75" s="194"/>
      <c r="FD75" s="194"/>
      <c r="FE75" s="194"/>
      <c r="FF75" s="194"/>
      <c r="FG75" s="194"/>
      <c r="FH75" s="194"/>
      <c r="FI75" s="194"/>
      <c r="FJ75" s="194"/>
      <c r="FK75" s="194"/>
      <c r="FL75" s="194"/>
      <c r="FM75" s="194"/>
      <c r="FN75" s="194"/>
      <c r="FO75" s="194"/>
      <c r="FP75" s="303"/>
      <c r="FQ75" s="194"/>
      <c r="FR75" s="194"/>
      <c r="FS75" s="194"/>
      <c r="FT75" s="194"/>
      <c r="FU75" s="194"/>
      <c r="FV75" s="194"/>
      <c r="FW75" s="194"/>
      <c r="FX75" s="194" t="s">
        <v>262</v>
      </c>
      <c r="FY75" s="194"/>
      <c r="FZ75" s="194"/>
      <c r="GA75" s="194"/>
      <c r="GB75" s="194"/>
      <c r="GC75" s="194"/>
      <c r="GD75" s="194"/>
      <c r="GE75" s="194"/>
      <c r="GF75" s="194"/>
      <c r="GG75" s="194"/>
      <c r="GH75" s="194"/>
      <c r="GI75" s="194"/>
      <c r="GJ75" s="194"/>
      <c r="GK75" s="194"/>
      <c r="GL75" s="194"/>
      <c r="GM75" s="194"/>
      <c r="GN75" s="194"/>
      <c r="GO75" s="194"/>
      <c r="GP75" s="194"/>
      <c r="GQ75" s="194"/>
      <c r="GR75" s="194"/>
      <c r="GS75" s="194"/>
      <c r="GT75" s="194"/>
      <c r="GU75" s="194"/>
      <c r="GV75" s="194"/>
      <c r="GW75" s="194"/>
      <c r="GX75" s="194"/>
      <c r="GY75" s="194"/>
      <c r="GZ75" s="194"/>
      <c r="HA75" s="194"/>
      <c r="HB75" s="194"/>
      <c r="HC75" s="194"/>
      <c r="HD75" s="194"/>
      <c r="HE75" s="194"/>
      <c r="HF75" s="194"/>
      <c r="HG75" s="194"/>
      <c r="HH75" s="194"/>
      <c r="HI75" s="194"/>
      <c r="HJ75" s="194"/>
      <c r="HK75" s="194"/>
      <c r="HL75" s="194"/>
      <c r="HM75" s="194"/>
      <c r="HN75" s="194"/>
      <c r="HO75" s="194"/>
      <c r="HP75" s="303" t="s">
        <v>141</v>
      </c>
      <c r="HQ75" s="194"/>
      <c r="HR75" s="194"/>
      <c r="HS75" s="194"/>
      <c r="HT75" s="194"/>
      <c r="HU75" s="194"/>
      <c r="HV75" s="194"/>
      <c r="HW75" s="194"/>
      <c r="HX75" s="194"/>
      <c r="HY75" s="194"/>
      <c r="HZ75" s="194"/>
      <c r="IA75" s="194"/>
      <c r="IB75" s="194"/>
      <c r="IC75" s="194"/>
      <c r="ID75" s="194"/>
      <c r="IE75" s="194"/>
      <c r="IF75" s="194"/>
      <c r="IG75" s="194"/>
      <c r="IH75" s="194"/>
      <c r="II75" s="194"/>
      <c r="IJ75" s="194"/>
      <c r="IK75" s="194"/>
      <c r="IL75" s="194"/>
      <c r="IM75" s="194"/>
      <c r="IN75" s="194"/>
      <c r="IO75" s="194"/>
      <c r="IP75" s="194"/>
      <c r="IQ75" s="194"/>
      <c r="IR75" s="194"/>
      <c r="IS75" s="194"/>
      <c r="IT75" s="194"/>
      <c r="IU75" s="194"/>
      <c r="IV75" s="194"/>
      <c r="IW75" s="194"/>
      <c r="IX75" s="194"/>
      <c r="IY75" s="194"/>
      <c r="IZ75" s="194"/>
      <c r="JA75" s="194"/>
      <c r="JB75" s="194"/>
      <c r="JC75" s="194"/>
      <c r="JD75" s="194"/>
      <c r="JE75" s="194"/>
      <c r="JF75" s="194"/>
      <c r="JG75" s="194"/>
      <c r="JH75" s="194"/>
      <c r="JI75" s="194"/>
      <c r="JJ75" s="194"/>
      <c r="JK75" s="194"/>
      <c r="JL75" s="194"/>
      <c r="JM75" s="194"/>
      <c r="JN75" s="194"/>
      <c r="JO75" s="194"/>
      <c r="JP75" s="303"/>
      <c r="JQ75" s="194"/>
      <c r="JR75" s="194"/>
      <c r="JS75" s="194"/>
      <c r="JT75" s="194"/>
      <c r="JU75" s="194"/>
      <c r="JV75" s="194"/>
      <c r="JW75" s="194"/>
      <c r="JX75" s="194"/>
      <c r="JY75" s="194"/>
      <c r="JZ75" s="194"/>
      <c r="KA75" s="194"/>
      <c r="KB75" s="194"/>
      <c r="KC75" s="194"/>
      <c r="KD75" s="194"/>
      <c r="KE75" s="194"/>
      <c r="KF75" s="194"/>
      <c r="KG75" s="194"/>
      <c r="KH75" s="194"/>
      <c r="KI75" s="194"/>
      <c r="KJ75" s="194"/>
      <c r="KK75" s="194"/>
      <c r="KL75" s="194"/>
      <c r="KM75" s="194"/>
      <c r="KN75" s="194"/>
      <c r="KO75" s="194"/>
      <c r="KP75" s="194"/>
      <c r="KQ75" s="194"/>
      <c r="KR75" s="194"/>
      <c r="KS75" s="194"/>
      <c r="KT75" s="194"/>
      <c r="KU75" s="194"/>
      <c r="KV75" s="194"/>
      <c r="KW75" s="194"/>
      <c r="KX75" s="194"/>
      <c r="KY75" s="194"/>
      <c r="KZ75" s="194"/>
      <c r="LA75" s="194"/>
      <c r="LB75" s="194"/>
      <c r="LC75" s="194"/>
      <c r="LD75" s="194"/>
      <c r="LE75" s="194"/>
      <c r="LF75" s="194"/>
      <c r="LG75" s="194"/>
      <c r="LH75" s="194"/>
      <c r="LI75" s="194"/>
      <c r="LJ75" s="194"/>
      <c r="LK75" s="194"/>
      <c r="LL75" s="194"/>
      <c r="LM75" s="194"/>
      <c r="LN75" s="194"/>
      <c r="LO75" s="193"/>
      <c r="LP75" s="194"/>
      <c r="LQ75" s="194"/>
      <c r="LR75" s="194"/>
      <c r="LS75" s="194"/>
      <c r="LT75" s="194"/>
      <c r="LU75" s="194"/>
      <c r="LV75" s="194"/>
      <c r="LW75" s="194"/>
      <c r="LX75" s="194"/>
      <c r="LY75" s="194"/>
      <c r="LZ75" s="194"/>
      <c r="MA75" s="194"/>
      <c r="MB75" s="194"/>
      <c r="MC75" s="194"/>
      <c r="MD75" s="194"/>
      <c r="ME75" s="194"/>
      <c r="MF75" s="194"/>
      <c r="MG75" s="194"/>
      <c r="MH75" s="194"/>
      <c r="MI75" s="194"/>
      <c r="MJ75" s="194"/>
      <c r="MK75" s="194"/>
      <c r="ML75" s="194"/>
      <c r="MM75" s="194"/>
      <c r="MN75" s="194"/>
      <c r="MO75" s="194"/>
      <c r="MP75" s="194"/>
      <c r="MQ75" s="194"/>
      <c r="MR75" s="194"/>
      <c r="MS75" s="194"/>
      <c r="MT75" s="194"/>
      <c r="MU75" s="194"/>
      <c r="MV75" s="194"/>
      <c r="MW75" s="194"/>
      <c r="MX75" s="194"/>
      <c r="MY75" s="194"/>
      <c r="MZ75" s="194"/>
      <c r="NA75" s="194"/>
      <c r="NB75" s="194"/>
      <c r="NC75" s="194"/>
      <c r="ND75" s="194"/>
      <c r="NE75" s="194"/>
      <c r="NF75" s="194"/>
      <c r="NG75" s="194"/>
      <c r="NH75" s="194"/>
      <c r="NI75" s="194"/>
      <c r="NJ75" s="194"/>
      <c r="NK75" s="194"/>
      <c r="NL75" s="194"/>
      <c r="NM75" s="194"/>
      <c r="NN75" s="194"/>
      <c r="NO75" s="194"/>
    </row>
    <row r="76" spans="1:379" ht="15" thickBot="1">
      <c r="A76" s="278" t="s">
        <v>294</v>
      </c>
      <c r="B76" s="279"/>
      <c r="C76" s="377" t="s">
        <v>138</v>
      </c>
      <c r="D76" s="377"/>
      <c r="E76" s="276"/>
      <c r="F76" s="204"/>
      <c r="G76" s="378"/>
      <c r="H76" s="378"/>
      <c r="I76" s="378"/>
      <c r="J76" s="378"/>
      <c r="K76" s="282"/>
      <c r="L76" s="379"/>
      <c r="M76" s="276"/>
      <c r="N76" s="205"/>
      <c r="O76" s="380" t="s">
        <v>138</v>
      </c>
      <c r="P76" s="206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07"/>
      <c r="AU76" s="207"/>
      <c r="AV76" s="207"/>
      <c r="AW76" s="207"/>
      <c r="AX76" s="207"/>
      <c r="AY76" s="207"/>
      <c r="AZ76" s="207"/>
      <c r="BA76" s="207"/>
      <c r="BB76" s="207"/>
      <c r="BC76" s="207"/>
      <c r="BD76" s="207"/>
      <c r="BE76" s="207"/>
      <c r="BF76" s="207"/>
      <c r="BG76" s="207"/>
      <c r="BH76" s="207"/>
      <c r="BI76" s="207"/>
      <c r="BJ76" s="207"/>
      <c r="BK76" s="207"/>
      <c r="BL76" s="207"/>
      <c r="BM76" s="207"/>
      <c r="BN76" s="207"/>
      <c r="BO76" s="207"/>
      <c r="BP76" s="206"/>
      <c r="BQ76" s="207"/>
      <c r="BR76" s="207"/>
      <c r="BS76" s="207"/>
      <c r="BT76" s="207"/>
      <c r="BU76" s="207"/>
      <c r="BV76" s="207"/>
      <c r="BW76" s="207"/>
      <c r="BX76" s="207"/>
      <c r="BY76" s="207"/>
      <c r="BZ76" s="207"/>
      <c r="CA76" s="207"/>
      <c r="CB76" s="207"/>
      <c r="CC76" s="207"/>
      <c r="CD76" s="207"/>
      <c r="CE76" s="207"/>
      <c r="CF76" s="207"/>
      <c r="CG76" s="207"/>
      <c r="CH76" s="207"/>
      <c r="CI76" s="207"/>
      <c r="CJ76" s="207"/>
      <c r="CK76" s="207"/>
      <c r="CL76" s="207"/>
      <c r="CM76" s="207"/>
      <c r="CN76" s="207"/>
      <c r="CO76" s="207"/>
      <c r="CP76" s="207"/>
      <c r="CQ76" s="207"/>
      <c r="CR76" s="207"/>
      <c r="CS76" s="207"/>
      <c r="CT76" s="207"/>
      <c r="CU76" s="207"/>
      <c r="CV76" s="207"/>
      <c r="CW76" s="207"/>
      <c r="CX76" s="207"/>
      <c r="CY76" s="207"/>
      <c r="CZ76" s="207"/>
      <c r="DA76" s="207"/>
      <c r="DB76" s="207"/>
      <c r="DC76" s="207"/>
      <c r="DD76" s="207"/>
      <c r="DE76" s="207"/>
      <c r="DF76" s="207"/>
      <c r="DG76" s="207"/>
      <c r="DH76" s="207"/>
      <c r="DI76" s="207"/>
      <c r="DJ76" s="207"/>
      <c r="DK76" s="207"/>
      <c r="DL76" s="207"/>
      <c r="DM76" s="207"/>
      <c r="DN76" s="207"/>
      <c r="DO76" s="207"/>
      <c r="DP76" s="206"/>
      <c r="DQ76" s="207"/>
      <c r="DR76" s="207"/>
      <c r="DS76" s="207"/>
      <c r="DT76" s="207"/>
      <c r="DU76" s="207"/>
      <c r="DV76" s="207"/>
      <c r="DW76" s="207"/>
      <c r="DX76" s="207"/>
      <c r="DY76" s="207"/>
      <c r="DZ76" s="207"/>
      <c r="EA76" s="207"/>
      <c r="EB76" s="207"/>
      <c r="EC76" s="207"/>
      <c r="ED76" s="207"/>
      <c r="EE76" s="207"/>
      <c r="EF76" s="207"/>
      <c r="EG76" s="207"/>
      <c r="EH76" s="207"/>
      <c r="EI76" s="207"/>
      <c r="EJ76" s="207"/>
      <c r="EK76" s="207"/>
      <c r="EL76" s="207"/>
      <c r="EM76" s="207"/>
      <c r="EN76" s="207"/>
      <c r="EO76" s="207"/>
      <c r="EP76" s="207"/>
      <c r="EQ76" s="207"/>
      <c r="ER76" s="207"/>
      <c r="ES76" s="207"/>
      <c r="ET76" s="207"/>
      <c r="EU76" s="207"/>
      <c r="EV76" s="207"/>
      <c r="EW76" s="207"/>
      <c r="EX76" s="207"/>
      <c r="EY76" s="207"/>
      <c r="EZ76" s="207"/>
      <c r="FA76" s="207"/>
      <c r="FB76" s="207"/>
      <c r="FC76" s="207"/>
      <c r="FD76" s="207"/>
      <c r="FE76" s="207"/>
      <c r="FF76" s="207"/>
      <c r="FG76" s="207"/>
      <c r="FH76" s="207"/>
      <c r="FI76" s="207"/>
      <c r="FJ76" s="207"/>
      <c r="FK76" s="207"/>
      <c r="FL76" s="207"/>
      <c r="FM76" s="207"/>
      <c r="FN76" s="207"/>
      <c r="FO76" s="207"/>
      <c r="FP76" s="206"/>
      <c r="FQ76" s="207"/>
      <c r="FR76" s="207"/>
      <c r="FS76" s="207"/>
      <c r="FT76" s="207"/>
      <c r="FU76" s="207"/>
      <c r="FV76" s="207"/>
      <c r="FW76" s="207"/>
      <c r="FX76" s="207"/>
      <c r="FY76" s="207"/>
      <c r="FZ76" s="207"/>
      <c r="GA76" s="207"/>
      <c r="GB76" s="207"/>
      <c r="GC76" s="207"/>
      <c r="GD76" s="207"/>
      <c r="GE76" s="207"/>
      <c r="GF76" s="207"/>
      <c r="GG76" s="207"/>
      <c r="GH76" s="207"/>
      <c r="GI76" s="207"/>
      <c r="GJ76" s="207"/>
      <c r="GK76" s="207"/>
      <c r="GL76" s="207"/>
      <c r="GM76" s="207"/>
      <c r="GN76" s="207"/>
      <c r="GO76" s="207"/>
      <c r="GP76" s="207"/>
      <c r="GQ76" s="207"/>
      <c r="GR76" s="207"/>
      <c r="GS76" s="207"/>
      <c r="GT76" s="207"/>
      <c r="GU76" s="207"/>
      <c r="GV76" s="207"/>
      <c r="GW76" s="207"/>
      <c r="GX76" s="207"/>
      <c r="GY76" s="207"/>
      <c r="GZ76" s="207"/>
      <c r="HA76" s="207"/>
      <c r="HB76" s="207"/>
      <c r="HC76" s="207"/>
      <c r="HD76" s="207"/>
      <c r="HE76" s="207"/>
      <c r="HF76" s="207"/>
      <c r="HG76" s="207"/>
      <c r="HH76" s="207"/>
      <c r="HI76" s="207"/>
      <c r="HJ76" s="207"/>
      <c r="HK76" s="207"/>
      <c r="HL76" s="207"/>
      <c r="HM76" s="207"/>
      <c r="HN76" s="207"/>
      <c r="HO76" s="207"/>
      <c r="HP76" s="206"/>
      <c r="HQ76" s="207"/>
      <c r="HR76" s="207"/>
      <c r="HS76" s="207"/>
      <c r="HT76" s="207"/>
      <c r="HU76" s="207"/>
      <c r="HV76" s="207"/>
      <c r="HW76" s="207"/>
      <c r="HX76" s="207"/>
      <c r="HY76" s="207"/>
      <c r="HZ76" s="207"/>
      <c r="IA76" s="207"/>
      <c r="IB76" s="207"/>
      <c r="IC76" s="207"/>
      <c r="ID76" s="207"/>
      <c r="IE76" s="207"/>
      <c r="IF76" s="207"/>
      <c r="IG76" s="207"/>
      <c r="IH76" s="207"/>
      <c r="II76" s="207"/>
      <c r="IJ76" s="207"/>
      <c r="IK76" s="207"/>
      <c r="IL76" s="207"/>
      <c r="IM76" s="207"/>
      <c r="IN76" s="207"/>
      <c r="IO76" s="207"/>
      <c r="IP76" s="207"/>
      <c r="IQ76" s="207"/>
      <c r="IR76" s="207"/>
      <c r="IS76" s="207"/>
      <c r="IT76" s="207"/>
      <c r="IU76" s="207"/>
      <c r="IV76" s="207"/>
      <c r="IW76" s="207"/>
      <c r="IX76" s="207"/>
      <c r="IY76" s="207"/>
      <c r="IZ76" s="207"/>
      <c r="JA76" s="207"/>
      <c r="JB76" s="207"/>
      <c r="JC76" s="207"/>
      <c r="JD76" s="207"/>
      <c r="JE76" s="207"/>
      <c r="JF76" s="207"/>
      <c r="JG76" s="207"/>
      <c r="JH76" s="207"/>
      <c r="JI76" s="207"/>
      <c r="JJ76" s="207"/>
      <c r="JK76" s="207"/>
      <c r="JL76" s="207"/>
      <c r="JM76" s="207"/>
      <c r="JN76" s="207"/>
      <c r="JO76" s="207"/>
      <c r="JP76" s="206"/>
      <c r="JQ76" s="207"/>
      <c r="JR76" s="207"/>
      <c r="JS76" s="207"/>
      <c r="JT76" s="207"/>
      <c r="JU76" s="207"/>
      <c r="JV76" s="207"/>
      <c r="JW76" s="207"/>
      <c r="JX76" s="207"/>
      <c r="JY76" s="207"/>
      <c r="JZ76" s="207"/>
      <c r="KA76" s="207"/>
      <c r="KB76" s="207"/>
      <c r="KC76" s="207"/>
      <c r="KD76" s="207"/>
      <c r="KE76" s="207"/>
      <c r="KF76" s="207"/>
      <c r="KG76" s="207"/>
      <c r="KH76" s="207"/>
      <c r="KI76" s="207"/>
      <c r="KJ76" s="207"/>
      <c r="KK76" s="207"/>
      <c r="KL76" s="207"/>
      <c r="KM76" s="207"/>
      <c r="KN76" s="207"/>
      <c r="KO76" s="207"/>
      <c r="KP76" s="207"/>
      <c r="KQ76" s="207"/>
      <c r="KR76" s="207"/>
      <c r="KS76" s="207"/>
      <c r="KT76" s="207"/>
      <c r="KU76" s="208"/>
      <c r="KV76" s="208"/>
      <c r="KW76" s="208"/>
      <c r="KX76" s="207"/>
      <c r="KY76" s="207"/>
      <c r="KZ76" s="207"/>
      <c r="LA76" s="207"/>
      <c r="LB76" s="207"/>
      <c r="LC76" s="207"/>
      <c r="LD76" s="207"/>
      <c r="LE76" s="207"/>
      <c r="LF76" s="207"/>
      <c r="LG76" s="207"/>
      <c r="LH76" s="207"/>
      <c r="LI76" s="207"/>
      <c r="LJ76" s="207"/>
      <c r="LK76" s="207"/>
      <c r="LL76" s="207"/>
      <c r="LM76" s="207"/>
      <c r="LN76" s="207"/>
      <c r="LO76" s="209"/>
      <c r="LP76" s="207"/>
      <c r="LQ76" s="207"/>
      <c r="LR76" s="207"/>
      <c r="LS76" s="207"/>
      <c r="LT76" s="207"/>
      <c r="LU76" s="207"/>
      <c r="LV76" s="207"/>
      <c r="LW76" s="207"/>
      <c r="LX76" s="207"/>
      <c r="LY76" s="207"/>
      <c r="LZ76" s="207"/>
      <c r="MA76" s="207"/>
      <c r="MB76" s="207"/>
      <c r="MC76" s="207"/>
      <c r="MD76" s="207"/>
      <c r="ME76" s="207"/>
      <c r="MF76" s="207"/>
      <c r="MG76" s="207"/>
      <c r="MH76" s="207"/>
      <c r="MI76" s="207"/>
      <c r="MJ76" s="207"/>
      <c r="MK76" s="207"/>
      <c r="ML76" s="207"/>
      <c r="MM76" s="207"/>
      <c r="MN76" s="207"/>
      <c r="MO76" s="207"/>
      <c r="MP76" s="207"/>
      <c r="MQ76" s="207"/>
      <c r="MR76" s="207"/>
      <c r="MS76" s="207"/>
      <c r="MT76" s="207"/>
      <c r="MU76" s="208"/>
      <c r="MV76" s="208"/>
      <c r="MW76" s="208"/>
      <c r="MX76" s="207"/>
      <c r="MY76" s="207"/>
      <c r="MZ76" s="207"/>
      <c r="NA76" s="207"/>
      <c r="NB76" s="207"/>
      <c r="NC76" s="207"/>
      <c r="ND76" s="207"/>
      <c r="NE76" s="207"/>
      <c r="NF76" s="207"/>
      <c r="NG76" s="207"/>
      <c r="NH76" s="207"/>
      <c r="NI76" s="207"/>
      <c r="NJ76" s="207"/>
      <c r="NK76" s="207"/>
      <c r="NL76" s="207"/>
      <c r="NM76" s="207"/>
      <c r="NN76" s="207"/>
      <c r="NO76" s="208"/>
    </row>
    <row r="77" spans="1:379" ht="14.45">
      <c r="A77" s="285" t="s">
        <v>295</v>
      </c>
      <c r="B77" s="85" t="s">
        <v>296</v>
      </c>
      <c r="C77" s="154" t="s">
        <v>150</v>
      </c>
      <c r="D77" s="154" t="s">
        <v>297</v>
      </c>
      <c r="E77" s="58" t="s">
        <v>298</v>
      </c>
      <c r="F77" s="349"/>
      <c r="G77" s="95">
        <v>80</v>
      </c>
      <c r="H77" s="95">
        <v>15</v>
      </c>
      <c r="I77" s="95">
        <v>0</v>
      </c>
      <c r="J77" s="95">
        <v>80</v>
      </c>
      <c r="K77" s="64">
        <v>150</v>
      </c>
      <c r="L77" s="119">
        <f t="shared" ref="L77:L82" si="47">SUM(G77:K77)</f>
        <v>325</v>
      </c>
      <c r="M77" s="58"/>
      <c r="N77" s="178" t="s">
        <v>299</v>
      </c>
      <c r="O77" s="96" t="s">
        <v>138</v>
      </c>
      <c r="P77" s="20"/>
      <c r="BP77" s="20"/>
      <c r="DP77" s="20"/>
      <c r="FP77" s="20"/>
      <c r="HP77" s="333">
        <v>1</v>
      </c>
      <c r="HQ77" s="292">
        <f t="shared" ref="HQ77:IF79" si="48">HP77+1</f>
        <v>2</v>
      </c>
      <c r="HR77" s="292">
        <f t="shared" si="48"/>
        <v>3</v>
      </c>
      <c r="HS77" s="292">
        <f t="shared" si="48"/>
        <v>4</v>
      </c>
      <c r="HT77" s="292">
        <f t="shared" si="48"/>
        <v>5</v>
      </c>
      <c r="HU77" s="292">
        <f t="shared" si="48"/>
        <v>6</v>
      </c>
      <c r="HV77" s="292">
        <f t="shared" si="48"/>
        <v>7</v>
      </c>
      <c r="HW77" s="292">
        <f t="shared" si="48"/>
        <v>8</v>
      </c>
      <c r="HX77" s="292">
        <f t="shared" si="48"/>
        <v>9</v>
      </c>
      <c r="HY77" s="292">
        <f t="shared" si="48"/>
        <v>10</v>
      </c>
      <c r="HZ77" s="292">
        <f t="shared" si="48"/>
        <v>11</v>
      </c>
      <c r="IA77" s="292">
        <f t="shared" si="48"/>
        <v>12</v>
      </c>
      <c r="IB77" s="292">
        <f t="shared" si="48"/>
        <v>13</v>
      </c>
      <c r="IC77" s="292">
        <f t="shared" si="48"/>
        <v>14</v>
      </c>
      <c r="ID77" s="292">
        <f t="shared" si="48"/>
        <v>15</v>
      </c>
      <c r="IE77" s="292">
        <f t="shared" si="48"/>
        <v>16</v>
      </c>
      <c r="IF77" s="292">
        <f t="shared" si="48"/>
        <v>17</v>
      </c>
      <c r="JP77" s="20"/>
      <c r="KU77" s="21"/>
      <c r="KV77" s="21"/>
      <c r="KW77" s="21"/>
      <c r="LO77" s="22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 s="21"/>
      <c r="MV77" s="21"/>
      <c r="MW77" s="21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 s="21"/>
    </row>
    <row r="78" spans="1:379" ht="14.45">
      <c r="A78" s="285" t="s">
        <v>295</v>
      </c>
      <c r="B78" s="85" t="s">
        <v>300</v>
      </c>
      <c r="C78" s="154" t="s">
        <v>150</v>
      </c>
      <c r="D78" s="154" t="s">
        <v>297</v>
      </c>
      <c r="E78" s="58" t="s">
        <v>301</v>
      </c>
      <c r="F78" s="349"/>
      <c r="G78" s="95">
        <v>80</v>
      </c>
      <c r="H78" s="95">
        <v>15</v>
      </c>
      <c r="I78" s="95">
        <v>0</v>
      </c>
      <c r="J78" s="95">
        <v>80</v>
      </c>
      <c r="K78" s="64">
        <v>150</v>
      </c>
      <c r="L78" s="107">
        <f t="shared" si="47"/>
        <v>325</v>
      </c>
      <c r="M78" s="58"/>
      <c r="N78" s="178" t="s">
        <v>299</v>
      </c>
      <c r="O78" s="96" t="s">
        <v>138</v>
      </c>
      <c r="P78" s="20"/>
      <c r="BP78" s="20"/>
      <c r="DP78" s="20"/>
      <c r="FP78" s="20"/>
      <c r="HP78" s="20"/>
      <c r="HV78" s="292">
        <v>1</v>
      </c>
      <c r="HW78" s="292">
        <f t="shared" si="48"/>
        <v>2</v>
      </c>
      <c r="HX78" s="292">
        <f t="shared" si="48"/>
        <v>3</v>
      </c>
      <c r="HY78" s="292">
        <f t="shared" si="48"/>
        <v>4</v>
      </c>
      <c r="HZ78" s="292">
        <f t="shared" si="48"/>
        <v>5</v>
      </c>
      <c r="IA78" s="292">
        <f t="shared" si="48"/>
        <v>6</v>
      </c>
      <c r="IB78" s="292">
        <f t="shared" si="48"/>
        <v>7</v>
      </c>
      <c r="IC78" s="292">
        <f t="shared" si="48"/>
        <v>8</v>
      </c>
      <c r="ID78" s="292">
        <f t="shared" si="48"/>
        <v>9</v>
      </c>
      <c r="IE78" s="292">
        <f t="shared" si="48"/>
        <v>10</v>
      </c>
      <c r="IF78" s="292">
        <f t="shared" si="48"/>
        <v>11</v>
      </c>
      <c r="IG78" s="292">
        <f t="shared" ref="IG78:IT81" si="49">IF78+1</f>
        <v>12</v>
      </c>
      <c r="IH78" s="292">
        <f t="shared" si="49"/>
        <v>13</v>
      </c>
      <c r="II78" s="292">
        <f t="shared" si="49"/>
        <v>14</v>
      </c>
      <c r="IJ78" s="292">
        <f t="shared" si="49"/>
        <v>15</v>
      </c>
      <c r="IK78" s="292">
        <f t="shared" si="49"/>
        <v>16</v>
      </c>
      <c r="IL78" s="292">
        <f t="shared" si="49"/>
        <v>17</v>
      </c>
      <c r="JP78" s="20"/>
      <c r="KU78" s="21"/>
      <c r="KV78" s="21"/>
      <c r="KW78" s="21"/>
      <c r="LO78" s="22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 s="21"/>
      <c r="MV78" s="21"/>
      <c r="MW78" s="21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 s="21"/>
    </row>
    <row r="79" spans="1:379" ht="14.45">
      <c r="A79" s="285" t="s">
        <v>295</v>
      </c>
      <c r="B79" s="85" t="s">
        <v>302</v>
      </c>
      <c r="C79" s="154" t="s">
        <v>150</v>
      </c>
      <c r="D79" s="154" t="s">
        <v>297</v>
      </c>
      <c r="E79" s="58" t="s">
        <v>303</v>
      </c>
      <c r="F79" s="349"/>
      <c r="G79" s="95">
        <v>120</v>
      </c>
      <c r="H79" s="95">
        <v>15</v>
      </c>
      <c r="I79" s="95">
        <v>0</v>
      </c>
      <c r="J79" s="95">
        <v>80</v>
      </c>
      <c r="K79" s="64">
        <v>150</v>
      </c>
      <c r="L79" s="107">
        <f t="shared" si="47"/>
        <v>365</v>
      </c>
      <c r="M79" s="58"/>
      <c r="N79" s="178" t="s">
        <v>299</v>
      </c>
      <c r="O79" s="96" t="s">
        <v>138</v>
      </c>
      <c r="P79" s="20"/>
      <c r="BP79" s="20"/>
      <c r="DP79" s="20"/>
      <c r="FP79" s="20"/>
      <c r="HP79" s="20"/>
      <c r="HZ79" s="381"/>
      <c r="IA79" s="292">
        <v>1</v>
      </c>
      <c r="IB79" s="292">
        <f t="shared" si="48"/>
        <v>2</v>
      </c>
      <c r="IC79" s="292">
        <f t="shared" si="48"/>
        <v>3</v>
      </c>
      <c r="ID79" s="292">
        <f t="shared" si="48"/>
        <v>4</v>
      </c>
      <c r="IE79" s="292">
        <f t="shared" si="48"/>
        <v>5</v>
      </c>
      <c r="IF79" s="292">
        <f t="shared" si="48"/>
        <v>6</v>
      </c>
      <c r="IG79" s="292">
        <f t="shared" si="49"/>
        <v>7</v>
      </c>
      <c r="IH79" s="292">
        <f t="shared" si="49"/>
        <v>8</v>
      </c>
      <c r="II79" s="292">
        <f t="shared" si="49"/>
        <v>9</v>
      </c>
      <c r="IJ79" s="292">
        <f t="shared" si="49"/>
        <v>10</v>
      </c>
      <c r="IK79" s="292">
        <f t="shared" si="49"/>
        <v>11</v>
      </c>
      <c r="IL79" s="292">
        <f t="shared" si="49"/>
        <v>12</v>
      </c>
      <c r="IM79" s="292">
        <f t="shared" si="49"/>
        <v>13</v>
      </c>
      <c r="IN79" s="292">
        <f t="shared" si="49"/>
        <v>14</v>
      </c>
      <c r="IO79" s="292">
        <f t="shared" si="49"/>
        <v>15</v>
      </c>
      <c r="IP79" s="292">
        <f t="shared" si="49"/>
        <v>16</v>
      </c>
      <c r="IQ79" s="292">
        <f t="shared" si="49"/>
        <v>17</v>
      </c>
      <c r="JP79" s="20"/>
      <c r="KU79" s="21"/>
      <c r="KV79" s="21"/>
      <c r="KW79" s="21"/>
      <c r="LO79" s="22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 s="21"/>
      <c r="MV79" s="21"/>
      <c r="MW79" s="21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 s="21"/>
    </row>
    <row r="80" spans="1:379" ht="14.45">
      <c r="A80" s="285" t="s">
        <v>295</v>
      </c>
      <c r="B80" s="85" t="s">
        <v>304</v>
      </c>
      <c r="C80" s="154" t="s">
        <v>150</v>
      </c>
      <c r="D80" s="154" t="s">
        <v>297</v>
      </c>
      <c r="E80" s="58" t="s">
        <v>305</v>
      </c>
      <c r="F80" s="349"/>
      <c r="G80" s="95">
        <v>120</v>
      </c>
      <c r="H80" s="95">
        <v>15</v>
      </c>
      <c r="I80" s="95">
        <v>0</v>
      </c>
      <c r="J80" s="95">
        <v>80</v>
      </c>
      <c r="K80" s="64">
        <v>150</v>
      </c>
      <c r="L80" s="107">
        <f t="shared" si="47"/>
        <v>365</v>
      </c>
      <c r="M80" s="58"/>
      <c r="N80" s="178" t="s">
        <v>299</v>
      </c>
      <c r="O80" s="96" t="s">
        <v>138</v>
      </c>
      <c r="P80" s="20"/>
      <c r="BP80" s="20"/>
      <c r="DP80" s="20"/>
      <c r="FP80" s="20"/>
      <c r="HP80" s="20"/>
      <c r="IG80" s="292">
        <v>1</v>
      </c>
      <c r="IH80" s="292">
        <f t="shared" si="49"/>
        <v>2</v>
      </c>
      <c r="II80" s="292">
        <f t="shared" si="49"/>
        <v>3</v>
      </c>
      <c r="IJ80" s="292">
        <f t="shared" si="49"/>
        <v>4</v>
      </c>
      <c r="IK80" s="292">
        <f t="shared" si="49"/>
        <v>5</v>
      </c>
      <c r="IL80" s="292">
        <f t="shared" si="49"/>
        <v>6</v>
      </c>
      <c r="IM80" s="292">
        <f t="shared" si="49"/>
        <v>7</v>
      </c>
      <c r="IN80" s="292">
        <f t="shared" si="49"/>
        <v>8</v>
      </c>
      <c r="IO80" s="292">
        <f t="shared" si="49"/>
        <v>9</v>
      </c>
      <c r="IP80" s="292">
        <f t="shared" si="49"/>
        <v>10</v>
      </c>
      <c r="IQ80" s="292">
        <f t="shared" si="49"/>
        <v>11</v>
      </c>
      <c r="IR80" s="292">
        <f t="shared" si="49"/>
        <v>12</v>
      </c>
      <c r="IS80" s="292">
        <f t="shared" si="49"/>
        <v>13</v>
      </c>
      <c r="IT80" s="292">
        <f t="shared" si="49"/>
        <v>14</v>
      </c>
      <c r="IX80" s="292">
        <f>IT80+1</f>
        <v>15</v>
      </c>
      <c r="IY80" s="292">
        <f t="shared" ref="IY80:JF82" si="50">IX80+1</f>
        <v>16</v>
      </c>
      <c r="IZ80" s="292">
        <f t="shared" si="50"/>
        <v>17</v>
      </c>
      <c r="JP80" s="20"/>
      <c r="KU80" s="21"/>
      <c r="KV80" s="21"/>
      <c r="KW80" s="21"/>
      <c r="LO80" s="22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 s="21"/>
      <c r="MV80" s="21"/>
      <c r="MW80" s="21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 s="21"/>
    </row>
    <row r="81" spans="1:379" ht="14.45">
      <c r="A81" s="285" t="s">
        <v>295</v>
      </c>
      <c r="B81" s="85" t="s">
        <v>306</v>
      </c>
      <c r="C81" s="154" t="s">
        <v>150</v>
      </c>
      <c r="D81" s="154" t="s">
        <v>297</v>
      </c>
      <c r="E81" s="58" t="s">
        <v>307</v>
      </c>
      <c r="F81" s="349"/>
      <c r="G81" s="95">
        <v>80</v>
      </c>
      <c r="H81" s="95">
        <v>15</v>
      </c>
      <c r="I81" s="95">
        <v>0</v>
      </c>
      <c r="J81" s="95">
        <v>80</v>
      </c>
      <c r="K81" s="64">
        <v>150</v>
      </c>
      <c r="L81" s="107">
        <f t="shared" si="47"/>
        <v>325</v>
      </c>
      <c r="M81" s="58"/>
      <c r="N81" s="178" t="s">
        <v>299</v>
      </c>
      <c r="O81" s="96" t="s">
        <v>138</v>
      </c>
      <c r="P81" s="20"/>
      <c r="BP81" s="20"/>
      <c r="DP81" s="20"/>
      <c r="FP81" s="20"/>
      <c r="HP81" s="20"/>
      <c r="IM81" s="292">
        <v>1</v>
      </c>
      <c r="IN81" s="292">
        <f t="shared" si="49"/>
        <v>2</v>
      </c>
      <c r="IO81" s="292">
        <f t="shared" si="49"/>
        <v>3</v>
      </c>
      <c r="IP81" s="292">
        <f t="shared" si="49"/>
        <v>4</v>
      </c>
      <c r="IQ81" s="292">
        <f t="shared" si="49"/>
        <v>5</v>
      </c>
      <c r="IR81" s="292">
        <f t="shared" si="49"/>
        <v>6</v>
      </c>
      <c r="IS81" s="292">
        <f t="shared" si="49"/>
        <v>7</v>
      </c>
      <c r="IT81" s="292">
        <f t="shared" si="49"/>
        <v>8</v>
      </c>
      <c r="IX81" s="292">
        <f>IT81+1</f>
        <v>9</v>
      </c>
      <c r="IY81" s="292">
        <f t="shared" si="50"/>
        <v>10</v>
      </c>
      <c r="IZ81" s="292">
        <f t="shared" si="50"/>
        <v>11</v>
      </c>
      <c r="JA81" s="292">
        <f t="shared" si="50"/>
        <v>12</v>
      </c>
      <c r="JB81" s="292">
        <f t="shared" si="50"/>
        <v>13</v>
      </c>
      <c r="JC81" s="292">
        <f t="shared" si="50"/>
        <v>14</v>
      </c>
      <c r="JD81" s="292">
        <f t="shared" si="50"/>
        <v>15</v>
      </c>
      <c r="JE81" s="292">
        <f t="shared" si="50"/>
        <v>16</v>
      </c>
      <c r="JF81" s="292">
        <f t="shared" si="50"/>
        <v>17</v>
      </c>
      <c r="JP81" s="20"/>
      <c r="KU81" s="21"/>
      <c r="KV81" s="21"/>
      <c r="KW81" s="21"/>
      <c r="LO81" s="22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 s="21"/>
      <c r="MV81" s="21"/>
      <c r="MW81" s="2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 s="21"/>
    </row>
    <row r="82" spans="1:379" ht="14.45">
      <c r="A82" s="285" t="s">
        <v>295</v>
      </c>
      <c r="B82" s="85" t="s">
        <v>308</v>
      </c>
      <c r="C82" s="154" t="s">
        <v>150</v>
      </c>
      <c r="D82" s="154" t="s">
        <v>297</v>
      </c>
      <c r="E82" s="58" t="s">
        <v>309</v>
      </c>
      <c r="F82" s="349"/>
      <c r="G82" s="95">
        <v>80</v>
      </c>
      <c r="H82" s="95">
        <v>15</v>
      </c>
      <c r="I82" s="95">
        <v>0</v>
      </c>
      <c r="J82" s="95">
        <v>80</v>
      </c>
      <c r="K82" s="64">
        <v>150</v>
      </c>
      <c r="L82" s="107">
        <f t="shared" si="47"/>
        <v>325</v>
      </c>
      <c r="M82" s="58"/>
      <c r="N82" s="178" t="s">
        <v>299</v>
      </c>
      <c r="O82" s="96" t="s">
        <v>138</v>
      </c>
      <c r="P82" s="20"/>
      <c r="BP82" s="20"/>
      <c r="DP82" s="20"/>
      <c r="FP82" s="20"/>
      <c r="HP82" s="20"/>
      <c r="IQ82" s="292">
        <v>1</v>
      </c>
      <c r="IR82" s="292">
        <f>IQ82+1</f>
        <v>2</v>
      </c>
      <c r="IS82" s="292">
        <f>IR82+1</f>
        <v>3</v>
      </c>
      <c r="IT82" s="292">
        <f>IS82+1</f>
        <v>4</v>
      </c>
      <c r="IX82" s="292">
        <f>IT82+1</f>
        <v>5</v>
      </c>
      <c r="IY82" s="292">
        <f t="shared" si="50"/>
        <v>6</v>
      </c>
      <c r="IZ82" s="292">
        <f t="shared" si="50"/>
        <v>7</v>
      </c>
      <c r="JA82" s="292">
        <f t="shared" si="50"/>
        <v>8</v>
      </c>
      <c r="JB82" s="292">
        <f t="shared" si="50"/>
        <v>9</v>
      </c>
      <c r="JC82" s="292">
        <f t="shared" si="50"/>
        <v>10</v>
      </c>
      <c r="JD82" s="292">
        <f t="shared" si="50"/>
        <v>11</v>
      </c>
      <c r="JE82" s="292">
        <f t="shared" si="50"/>
        <v>12</v>
      </c>
      <c r="JF82" s="292">
        <f t="shared" si="50"/>
        <v>13</v>
      </c>
      <c r="JG82" s="292">
        <f>JF82+1</f>
        <v>14</v>
      </c>
      <c r="JH82" s="292">
        <f>JG82+1</f>
        <v>15</v>
      </c>
      <c r="JI82" s="292">
        <f>JH82+1</f>
        <v>16</v>
      </c>
      <c r="JJ82" s="292">
        <f>JI82+1</f>
        <v>17</v>
      </c>
      <c r="JP82" s="20"/>
      <c r="KU82" s="21"/>
      <c r="KV82" s="21"/>
      <c r="KW82" s="21"/>
      <c r="LO82" s="2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 s="21"/>
      <c r="MV82" s="21"/>
      <c r="MW82" s="21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 s="21"/>
    </row>
    <row r="83" spans="1:379" ht="15" thickBot="1">
      <c r="A83" s="285"/>
      <c r="B83" s="59"/>
      <c r="C83" s="293"/>
      <c r="D83" s="293"/>
      <c r="E83" s="285"/>
      <c r="F83" s="20"/>
      <c r="G83" s="95"/>
      <c r="H83" s="95"/>
      <c r="I83" s="95"/>
      <c r="J83" s="95"/>
      <c r="K83" s="64"/>
      <c r="L83" s="107"/>
      <c r="M83" s="285"/>
      <c r="N83" s="4"/>
      <c r="O83" s="96" t="s">
        <v>138</v>
      </c>
      <c r="P83" s="20"/>
      <c r="BP83" s="20"/>
      <c r="DP83" s="20"/>
      <c r="FP83" s="20"/>
      <c r="HP83" s="20"/>
      <c r="JP83" s="20"/>
      <c r="KU83" s="21"/>
      <c r="KV83" s="21"/>
      <c r="KW83" s="21"/>
      <c r="LO83" s="22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 s="21"/>
      <c r="MV83" s="21"/>
      <c r="MW83" s="21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 s="21"/>
    </row>
    <row r="84" spans="1:379" ht="15" thickBot="1">
      <c r="A84" s="278" t="s">
        <v>294</v>
      </c>
      <c r="B84" s="279"/>
      <c r="C84" s="280" t="s">
        <v>138</v>
      </c>
      <c r="D84" s="280"/>
      <c r="E84" s="276"/>
      <c r="F84" s="204"/>
      <c r="G84" s="378"/>
      <c r="H84" s="378"/>
      <c r="I84" s="378"/>
      <c r="J84" s="378"/>
      <c r="K84" s="282"/>
      <c r="L84" s="379"/>
      <c r="M84" s="276"/>
      <c r="N84" s="205"/>
      <c r="O84" s="284"/>
      <c r="P84" s="204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05"/>
      <c r="BN84" s="205"/>
      <c r="BO84" s="205"/>
      <c r="BP84" s="204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  <c r="CB84" s="205"/>
      <c r="CC84" s="205"/>
      <c r="CD84" s="205"/>
      <c r="CE84" s="205"/>
      <c r="CF84" s="205"/>
      <c r="CG84" s="205"/>
      <c r="CH84" s="205"/>
      <c r="CI84" s="205"/>
      <c r="CJ84" s="205"/>
      <c r="CK84" s="205"/>
      <c r="CL84" s="205"/>
      <c r="CM84" s="205"/>
      <c r="CN84" s="205"/>
      <c r="CO84" s="205"/>
      <c r="CP84" s="205"/>
      <c r="CQ84" s="205"/>
      <c r="CR84" s="205"/>
      <c r="CS84" s="205"/>
      <c r="CT84" s="205"/>
      <c r="CU84" s="205"/>
      <c r="CV84" s="205"/>
      <c r="CW84" s="205"/>
      <c r="CX84" s="205"/>
      <c r="CY84" s="205"/>
      <c r="CZ84" s="205"/>
      <c r="DA84" s="205"/>
      <c r="DB84" s="205"/>
      <c r="DC84" s="205"/>
      <c r="DD84" s="205"/>
      <c r="DE84" s="205"/>
      <c r="DF84" s="205"/>
      <c r="DG84" s="205"/>
      <c r="DH84" s="205"/>
      <c r="DI84" s="205"/>
      <c r="DJ84" s="205"/>
      <c r="DK84" s="205"/>
      <c r="DL84" s="205"/>
      <c r="DM84" s="205"/>
      <c r="DN84" s="205"/>
      <c r="DO84" s="205"/>
      <c r="DP84" s="204"/>
      <c r="DQ84" s="205"/>
      <c r="DR84" s="205"/>
      <c r="DS84" s="205"/>
      <c r="DT84" s="205"/>
      <c r="DU84" s="205"/>
      <c r="DV84" s="205"/>
      <c r="DW84" s="205"/>
      <c r="DX84" s="205"/>
      <c r="DY84" s="205"/>
      <c r="DZ84" s="205"/>
      <c r="EA84" s="205"/>
      <c r="EB84" s="205"/>
      <c r="EC84" s="205"/>
      <c r="ED84" s="205"/>
      <c r="EE84" s="205"/>
      <c r="EF84" s="205"/>
      <c r="EG84" s="205"/>
      <c r="EH84" s="205"/>
      <c r="EI84" s="205"/>
      <c r="EJ84" s="205"/>
      <c r="EK84" s="205"/>
      <c r="EL84" s="205"/>
      <c r="EM84" s="205"/>
      <c r="EN84" s="205"/>
      <c r="EO84" s="205"/>
      <c r="EP84" s="205"/>
      <c r="EQ84" s="205"/>
      <c r="ER84" s="205"/>
      <c r="ES84" s="205"/>
      <c r="ET84" s="205"/>
      <c r="EU84" s="205"/>
      <c r="EV84" s="205"/>
      <c r="EW84" s="205"/>
      <c r="EX84" s="205"/>
      <c r="EY84" s="205"/>
      <c r="EZ84" s="205"/>
      <c r="FA84" s="205"/>
      <c r="FB84" s="205"/>
      <c r="FC84" s="205"/>
      <c r="FD84" s="205"/>
      <c r="FE84" s="205"/>
      <c r="FF84" s="205"/>
      <c r="FG84" s="205"/>
      <c r="FH84" s="205"/>
      <c r="FI84" s="205"/>
      <c r="FJ84" s="205"/>
      <c r="FK84" s="205"/>
      <c r="FL84" s="205"/>
      <c r="FM84" s="205"/>
      <c r="FN84" s="205"/>
      <c r="FO84" s="205"/>
      <c r="FP84" s="204"/>
      <c r="FQ84" s="205"/>
      <c r="FR84" s="205"/>
      <c r="FS84" s="205"/>
      <c r="FT84" s="205"/>
      <c r="FU84" s="205"/>
      <c r="FV84" s="205"/>
      <c r="FW84" s="205"/>
      <c r="FX84" s="205"/>
      <c r="FY84" s="205"/>
      <c r="FZ84" s="205"/>
      <c r="GA84" s="205"/>
      <c r="GB84" s="205"/>
      <c r="GC84" s="205"/>
      <c r="GD84" s="205"/>
      <c r="GE84" s="205"/>
      <c r="GF84" s="205"/>
      <c r="GG84" s="205"/>
      <c r="GH84" s="205"/>
      <c r="GI84" s="205"/>
      <c r="GJ84" s="205"/>
      <c r="GK84" s="205"/>
      <c r="GL84" s="205"/>
      <c r="GM84" s="205"/>
      <c r="GN84" s="205"/>
      <c r="GO84" s="205"/>
      <c r="GP84" s="205"/>
      <c r="GQ84" s="205"/>
      <c r="GR84" s="205"/>
      <c r="GS84" s="205"/>
      <c r="GT84" s="205"/>
      <c r="GU84" s="205"/>
      <c r="GV84" s="205"/>
      <c r="GW84" s="205"/>
      <c r="GX84" s="205"/>
      <c r="GY84" s="205"/>
      <c r="GZ84" s="205"/>
      <c r="HA84" s="205"/>
      <c r="HB84" s="205"/>
      <c r="HC84" s="205"/>
      <c r="HD84" s="205"/>
      <c r="HE84" s="205"/>
      <c r="HF84" s="205"/>
      <c r="HG84" s="205"/>
      <c r="HH84" s="205"/>
      <c r="HI84" s="205"/>
      <c r="HJ84" s="205"/>
      <c r="HK84" s="205"/>
      <c r="HL84" s="205"/>
      <c r="HM84" s="205"/>
      <c r="HN84" s="205"/>
      <c r="HO84" s="205"/>
      <c r="HP84" s="204"/>
      <c r="HQ84" s="205"/>
      <c r="HR84" s="205"/>
      <c r="HS84" s="205"/>
      <c r="HT84" s="205"/>
      <c r="HU84" s="205"/>
      <c r="HV84" s="205"/>
      <c r="HW84" s="205"/>
      <c r="HX84" s="205"/>
      <c r="HY84" s="205"/>
      <c r="HZ84" s="205"/>
      <c r="IA84" s="205"/>
      <c r="IB84" s="205"/>
      <c r="IC84" s="205"/>
      <c r="ID84" s="205"/>
      <c r="IE84" s="205"/>
      <c r="IF84" s="205"/>
      <c r="IG84" s="205"/>
      <c r="IH84" s="205"/>
      <c r="II84" s="205"/>
      <c r="IJ84" s="205"/>
      <c r="IK84" s="205"/>
      <c r="IL84" s="205"/>
      <c r="IM84" s="205"/>
      <c r="IN84" s="205"/>
      <c r="IO84" s="205"/>
      <c r="IP84" s="205"/>
      <c r="IQ84" s="205"/>
      <c r="IR84" s="205"/>
      <c r="IS84" s="205"/>
      <c r="IT84" s="205"/>
      <c r="IU84" s="205"/>
      <c r="IV84" s="205"/>
      <c r="IW84" s="205"/>
      <c r="IX84" s="205"/>
      <c r="IY84" s="205"/>
      <c r="IZ84" s="205"/>
      <c r="JA84" s="205"/>
      <c r="JB84" s="205"/>
      <c r="JC84" s="205"/>
      <c r="JD84" s="205"/>
      <c r="JE84" s="205"/>
      <c r="JF84" s="205"/>
      <c r="JG84" s="205"/>
      <c r="JH84" s="205"/>
      <c r="JI84" s="205"/>
      <c r="JJ84" s="205"/>
      <c r="JK84" s="205"/>
      <c r="JL84" s="205"/>
      <c r="JM84" s="205"/>
      <c r="JN84" s="205"/>
      <c r="JO84" s="205"/>
      <c r="JP84" s="204"/>
      <c r="JQ84" s="205"/>
      <c r="JR84" s="205"/>
      <c r="JS84" s="205"/>
      <c r="JT84" s="205"/>
      <c r="JU84" s="205"/>
      <c r="JV84" s="205"/>
      <c r="JW84" s="205"/>
      <c r="JX84" s="205"/>
      <c r="JY84" s="205"/>
      <c r="JZ84" s="205"/>
      <c r="KA84" s="205"/>
      <c r="KB84" s="205"/>
      <c r="KC84" s="205"/>
      <c r="KD84" s="205"/>
      <c r="KE84" s="205"/>
      <c r="KF84" s="205"/>
      <c r="KG84" s="205"/>
      <c r="KH84" s="205"/>
      <c r="KI84" s="205"/>
      <c r="KJ84" s="205"/>
      <c r="KK84" s="205"/>
      <c r="KL84" s="205"/>
      <c r="KM84" s="205"/>
      <c r="KN84" s="205"/>
      <c r="KO84" s="205"/>
      <c r="KP84" s="205"/>
      <c r="KQ84" s="205"/>
      <c r="KR84" s="205"/>
      <c r="KS84" s="205"/>
      <c r="KT84" s="205"/>
      <c r="KU84" s="34"/>
      <c r="KV84" s="34"/>
      <c r="KW84" s="34"/>
      <c r="KX84" s="205"/>
      <c r="KY84" s="205"/>
      <c r="KZ84" s="205"/>
      <c r="LA84" s="205"/>
      <c r="LB84" s="205"/>
      <c r="LC84" s="205"/>
      <c r="LD84" s="205"/>
      <c r="LE84" s="205"/>
      <c r="LF84" s="205"/>
      <c r="LG84" s="205"/>
      <c r="LH84" s="205"/>
      <c r="LI84" s="205"/>
      <c r="LJ84" s="205"/>
      <c r="LK84" s="205"/>
      <c r="LL84" s="205"/>
      <c r="LM84" s="205"/>
      <c r="LN84" s="205"/>
      <c r="LO84" s="35"/>
      <c r="LP84" s="205"/>
      <c r="LQ84" s="205"/>
      <c r="LR84" s="205"/>
      <c r="LS84" s="205"/>
      <c r="LT84" s="205"/>
      <c r="LU84" s="205"/>
      <c r="LV84" s="205"/>
      <c r="LW84" s="205"/>
      <c r="LX84" s="205"/>
      <c r="LY84" s="205"/>
      <c r="LZ84" s="205"/>
      <c r="MA84" s="205"/>
      <c r="MB84" s="205"/>
      <c r="MC84" s="205"/>
      <c r="MD84" s="205"/>
      <c r="ME84" s="205"/>
      <c r="MF84" s="205"/>
      <c r="MG84" s="205"/>
      <c r="MH84" s="205"/>
      <c r="MI84" s="205"/>
      <c r="MJ84" s="205"/>
      <c r="MK84" s="205"/>
      <c r="ML84" s="205"/>
      <c r="MM84" s="205"/>
      <c r="MN84" s="205"/>
      <c r="MO84" s="205"/>
      <c r="MP84" s="205"/>
      <c r="MQ84" s="205"/>
      <c r="MR84" s="205"/>
      <c r="MS84" s="205"/>
      <c r="MT84" s="205"/>
      <c r="MU84" s="34"/>
      <c r="MV84" s="34"/>
      <c r="MW84" s="34"/>
      <c r="MX84" s="205"/>
      <c r="MY84" s="205"/>
      <c r="MZ84" s="205"/>
      <c r="NA84" s="205"/>
      <c r="NB84" s="205"/>
      <c r="NC84" s="205"/>
      <c r="ND84" s="205"/>
      <c r="NE84" s="205"/>
      <c r="NF84" s="205"/>
      <c r="NG84" s="205"/>
      <c r="NH84" s="205"/>
      <c r="NI84" s="205"/>
      <c r="NJ84" s="205"/>
      <c r="NK84" s="205"/>
      <c r="NL84" s="205"/>
      <c r="NM84" s="205"/>
      <c r="NN84" s="205"/>
      <c r="NO84" s="34"/>
    </row>
    <row r="85" spans="1:379" ht="43.9" hidden="1" thickBot="1">
      <c r="A85" s="382" t="s">
        <v>283</v>
      </c>
      <c r="B85" s="240" t="s">
        <v>284</v>
      </c>
      <c r="C85" s="182" t="s">
        <v>207</v>
      </c>
      <c r="D85" s="182" t="s">
        <v>297</v>
      </c>
      <c r="E85" s="382" t="s">
        <v>285</v>
      </c>
      <c r="F85" s="133"/>
      <c r="G85" s="248">
        <v>25</v>
      </c>
      <c r="H85" s="248">
        <v>10</v>
      </c>
      <c r="I85" s="248"/>
      <c r="J85" s="248">
        <v>30</v>
      </c>
      <c r="K85" s="248"/>
      <c r="L85" s="216">
        <f>SUM(G85:K85)</f>
        <v>65</v>
      </c>
      <c r="M85" s="382"/>
      <c r="N85" s="383" t="s">
        <v>310</v>
      </c>
      <c r="O85" s="384" t="s">
        <v>311</v>
      </c>
      <c r="P85" s="133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  <c r="AC85" s="385"/>
      <c r="AD85" s="385"/>
      <c r="AE85" s="385"/>
      <c r="AF85" s="385"/>
      <c r="AG85" s="385"/>
      <c r="AH85" s="385"/>
      <c r="AI85" s="385"/>
      <c r="AJ85" s="385"/>
      <c r="AK85" s="385"/>
      <c r="AL85" s="385"/>
      <c r="AM85" s="385"/>
      <c r="AN85" s="385"/>
      <c r="AO85" s="385"/>
      <c r="AP85" s="385"/>
      <c r="AQ85" s="385"/>
      <c r="AR85" s="385"/>
      <c r="AS85" s="385"/>
      <c r="AT85" s="385"/>
      <c r="AU85" s="34"/>
      <c r="AV85" s="34"/>
      <c r="AW85" s="34"/>
      <c r="AX85" s="385"/>
      <c r="AY85" s="385"/>
      <c r="AZ85" s="385"/>
      <c r="BA85" s="385"/>
      <c r="BB85" s="385"/>
      <c r="BC85" s="385"/>
      <c r="BD85" s="385"/>
      <c r="BE85" s="385"/>
      <c r="BF85" s="385"/>
      <c r="BG85" s="385"/>
      <c r="BH85" s="385"/>
      <c r="BI85" s="385"/>
      <c r="BJ85" s="385"/>
      <c r="BK85" s="385"/>
      <c r="BL85" s="385"/>
      <c r="BM85" s="385"/>
      <c r="BN85" s="385"/>
      <c r="BO85" s="34"/>
      <c r="BP85" s="133"/>
      <c r="BQ85" s="385"/>
      <c r="BR85" s="385"/>
      <c r="BS85" s="385"/>
      <c r="BT85" s="385"/>
      <c r="BU85" s="385"/>
      <c r="BV85" s="385"/>
      <c r="BW85" s="385"/>
      <c r="BX85" s="385"/>
      <c r="BY85" s="385"/>
      <c r="BZ85" s="385"/>
      <c r="CA85" s="385"/>
      <c r="CB85" s="385"/>
      <c r="CC85" s="385"/>
      <c r="CD85" s="385"/>
      <c r="CE85" s="385"/>
      <c r="CF85" s="385"/>
      <c r="CG85" s="385"/>
      <c r="CH85" s="385"/>
      <c r="CI85" s="385"/>
      <c r="CJ85" s="385"/>
      <c r="CK85" s="385"/>
      <c r="CL85" s="385"/>
      <c r="CM85" s="385"/>
      <c r="CN85" s="385"/>
      <c r="CO85" s="385"/>
      <c r="CP85" s="385"/>
      <c r="CQ85" s="385"/>
      <c r="CR85" s="385"/>
      <c r="CS85" s="385"/>
      <c r="CT85" s="385"/>
      <c r="CU85" s="34"/>
      <c r="CV85" s="34"/>
      <c r="CW85" s="34"/>
      <c r="CX85" s="385"/>
      <c r="CY85" s="385"/>
      <c r="CZ85" s="385"/>
      <c r="DA85" s="385"/>
      <c r="DB85" s="385"/>
      <c r="DC85" s="385"/>
      <c r="DD85" s="385"/>
      <c r="DE85" s="385"/>
      <c r="DF85" s="385"/>
      <c r="DG85" s="385"/>
      <c r="DH85" s="385"/>
      <c r="DI85" s="385"/>
      <c r="DJ85" s="385"/>
      <c r="DK85" s="385"/>
      <c r="DL85" s="385"/>
      <c r="DM85" s="385"/>
      <c r="DN85" s="385"/>
      <c r="DO85" s="34"/>
      <c r="DP85" s="133"/>
      <c r="DQ85" s="385"/>
      <c r="DR85" s="385"/>
      <c r="DS85" s="385"/>
      <c r="DT85" s="385"/>
      <c r="DU85" s="385"/>
      <c r="DV85" s="385"/>
      <c r="DW85" s="385"/>
      <c r="DX85" s="385"/>
      <c r="DY85" s="385"/>
      <c r="DZ85" s="385"/>
      <c r="EA85" s="385"/>
      <c r="EB85" s="385"/>
      <c r="EC85" s="385"/>
      <c r="ED85" s="385"/>
      <c r="EE85" s="385"/>
      <c r="EF85" s="385"/>
      <c r="EG85" s="385"/>
      <c r="EH85" s="385"/>
      <c r="EI85" s="385"/>
      <c r="EJ85" s="385"/>
      <c r="EK85" s="385"/>
      <c r="EL85" s="385"/>
      <c r="EM85" s="385"/>
      <c r="EN85" s="385"/>
      <c r="EO85" s="385"/>
      <c r="EP85" s="385"/>
      <c r="EQ85" s="385"/>
      <c r="ER85" s="385"/>
      <c r="ES85" s="385"/>
      <c r="ET85" s="385"/>
      <c r="EU85" s="34"/>
      <c r="EV85" s="34"/>
      <c r="EW85" s="34"/>
      <c r="EX85" s="385"/>
      <c r="EY85" s="385"/>
      <c r="EZ85" s="385"/>
      <c r="FA85" s="385"/>
      <c r="FB85" s="385"/>
      <c r="FC85" s="385"/>
      <c r="FD85" s="385"/>
      <c r="FE85" s="385"/>
      <c r="FF85" s="385"/>
      <c r="FG85" s="385"/>
      <c r="FH85" s="385"/>
      <c r="FI85" s="385"/>
      <c r="FJ85" s="385"/>
      <c r="FK85" s="385"/>
      <c r="FL85" s="385"/>
      <c r="FM85" s="385"/>
      <c r="FN85" s="385"/>
      <c r="FO85" s="34"/>
      <c r="FP85" s="133"/>
      <c r="FQ85" s="385"/>
      <c r="FR85" s="385"/>
      <c r="FS85" s="385"/>
      <c r="FT85" s="385"/>
      <c r="FU85" s="385"/>
      <c r="FV85" s="385"/>
      <c r="FW85" s="385"/>
      <c r="FX85" s="385"/>
      <c r="FY85" s="385"/>
      <c r="FZ85" s="385"/>
      <c r="GA85" s="385"/>
      <c r="GB85" s="385"/>
      <c r="GC85" s="385"/>
      <c r="GD85" s="385"/>
      <c r="GE85" s="385"/>
      <c r="GF85" s="385"/>
      <c r="GG85" s="385"/>
      <c r="GH85" s="385"/>
      <c r="GI85" s="385"/>
      <c r="GJ85" s="385"/>
      <c r="GK85" s="385"/>
      <c r="GL85" s="385"/>
      <c r="GM85" s="385"/>
      <c r="GN85" s="385"/>
      <c r="GO85" s="385"/>
      <c r="GP85" s="385"/>
      <c r="GQ85" s="385"/>
      <c r="GR85" s="385"/>
      <c r="GS85" s="385"/>
      <c r="GT85" s="385"/>
      <c r="GU85" s="34"/>
      <c r="GV85" s="34"/>
      <c r="GW85" s="34"/>
      <c r="GX85" s="385"/>
      <c r="GY85" s="385"/>
      <c r="GZ85" s="385"/>
      <c r="HA85" s="385"/>
      <c r="HB85" s="385"/>
      <c r="HC85" s="385"/>
      <c r="HD85" s="385"/>
      <c r="HE85" s="385"/>
      <c r="HF85" s="385"/>
      <c r="HG85" s="385"/>
      <c r="HH85" s="385"/>
      <c r="HI85" s="385"/>
      <c r="HJ85" s="385"/>
      <c r="HK85" s="385"/>
      <c r="HL85" s="385"/>
      <c r="HM85" s="385"/>
      <c r="HN85" s="385"/>
      <c r="HO85" s="34"/>
      <c r="HP85" s="133"/>
      <c r="HQ85" s="385"/>
      <c r="HR85" s="385"/>
      <c r="HS85" s="385"/>
      <c r="HT85" s="385"/>
      <c r="HU85" s="385"/>
      <c r="HV85" s="385"/>
      <c r="HW85" s="385"/>
      <c r="HX85" s="385"/>
      <c r="HY85" s="385"/>
      <c r="HZ85" s="385"/>
      <c r="IA85" s="385"/>
      <c r="IB85" s="385"/>
      <c r="IC85" s="385"/>
      <c r="ID85" s="385"/>
      <c r="IE85" s="385"/>
      <c r="IF85" s="385"/>
      <c r="IG85" s="385"/>
      <c r="IH85" s="385"/>
      <c r="II85" s="385"/>
      <c r="IJ85" s="385"/>
      <c r="IK85" s="385"/>
      <c r="IL85" s="385"/>
      <c r="IM85" s="385"/>
      <c r="IN85" s="385"/>
      <c r="IO85" s="385"/>
      <c r="IP85" s="385"/>
      <c r="IQ85" s="385"/>
      <c r="IR85" s="385"/>
      <c r="IS85" s="385"/>
      <c r="IT85" s="385"/>
      <c r="IU85" s="34"/>
      <c r="IV85" s="34"/>
      <c r="IW85" s="34"/>
      <c r="IX85" s="386"/>
      <c r="IY85" s="386"/>
      <c r="IZ85" s="386"/>
      <c r="JA85" s="386"/>
      <c r="JB85" s="386"/>
      <c r="JC85" s="386"/>
      <c r="JD85" s="386"/>
      <c r="JE85" s="386"/>
      <c r="JF85" s="386"/>
      <c r="JG85" s="386"/>
      <c r="JH85" s="386"/>
      <c r="JI85" s="386"/>
      <c r="JJ85" s="386"/>
      <c r="JK85" s="386"/>
      <c r="JL85" s="386"/>
      <c r="JM85" s="386"/>
      <c r="JN85" s="386"/>
      <c r="JO85" s="34"/>
      <c r="JP85" s="133"/>
      <c r="JQ85" s="385"/>
      <c r="JR85" s="385"/>
      <c r="JS85" s="385"/>
      <c r="JT85" s="385"/>
      <c r="JU85" s="385"/>
      <c r="JV85" s="385"/>
      <c r="JW85" s="385"/>
      <c r="JX85" s="385"/>
      <c r="JY85" s="385"/>
      <c r="JZ85" s="385"/>
      <c r="KA85" s="385"/>
      <c r="KB85" s="385"/>
      <c r="KC85" s="385"/>
      <c r="KD85" s="385"/>
      <c r="KE85" s="385"/>
      <c r="KF85" s="385"/>
      <c r="KG85" s="385"/>
      <c r="KH85" s="385"/>
      <c r="KI85" s="385"/>
      <c r="KJ85" s="385"/>
      <c r="KK85" s="385"/>
      <c r="KL85" s="385"/>
      <c r="KM85" s="385"/>
      <c r="KN85" s="385"/>
      <c r="KO85" s="385"/>
      <c r="KP85" s="385"/>
      <c r="KQ85" s="385"/>
      <c r="KR85" s="385"/>
      <c r="KS85" s="385"/>
      <c r="KT85" s="385"/>
      <c r="KU85" s="34"/>
      <c r="KV85" s="34"/>
      <c r="KW85" s="34"/>
      <c r="KX85" s="385"/>
      <c r="KY85" s="385"/>
      <c r="KZ85" s="385"/>
      <c r="LA85" s="385"/>
      <c r="LB85" s="385"/>
      <c r="LC85" s="385"/>
      <c r="LD85" s="385"/>
      <c r="LE85" s="385"/>
      <c r="LF85" s="385"/>
      <c r="LG85" s="385"/>
      <c r="LH85" s="385"/>
      <c r="LI85" s="385"/>
      <c r="LJ85" s="385"/>
      <c r="LK85" s="385"/>
      <c r="LL85" s="385"/>
      <c r="LM85" s="385"/>
      <c r="LN85" s="385"/>
      <c r="LO85" s="35"/>
      <c r="LP85" s="385"/>
      <c r="LQ85" s="385"/>
      <c r="LR85" s="385"/>
      <c r="LS85" s="385"/>
      <c r="LT85" s="385"/>
      <c r="LU85" s="385"/>
      <c r="LV85" s="385"/>
      <c r="LW85" s="385"/>
      <c r="LX85" s="385"/>
      <c r="LY85" s="385"/>
      <c r="LZ85" s="385"/>
      <c r="MA85" s="385"/>
      <c r="MB85" s="385"/>
      <c r="MC85" s="385"/>
      <c r="MD85" s="385"/>
      <c r="ME85" s="385"/>
      <c r="MF85" s="385"/>
      <c r="MG85" s="385"/>
      <c r="MH85" s="385"/>
      <c r="MI85" s="385"/>
      <c r="MJ85" s="385"/>
      <c r="MK85" s="385"/>
      <c r="ML85" s="385"/>
      <c r="MM85" s="385"/>
      <c r="MN85" s="385"/>
      <c r="MO85" s="385"/>
      <c r="MP85" s="385"/>
      <c r="MQ85" s="385"/>
      <c r="MR85" s="385"/>
      <c r="MS85" s="385"/>
      <c r="MT85" s="385"/>
      <c r="MU85" s="34"/>
      <c r="MV85" s="34"/>
      <c r="MW85" s="34"/>
      <c r="MX85" s="385"/>
      <c r="MY85" s="385"/>
      <c r="MZ85" s="385"/>
      <c r="NA85" s="385"/>
      <c r="NB85" s="385"/>
      <c r="NC85" s="385"/>
      <c r="ND85" s="385"/>
      <c r="NE85" s="385"/>
      <c r="NF85" s="385"/>
      <c r="NG85" s="385"/>
      <c r="NH85" s="385"/>
      <c r="NI85" s="385"/>
      <c r="NJ85" s="385"/>
      <c r="NK85" s="385"/>
      <c r="NL85" s="385"/>
      <c r="NM85" s="385"/>
      <c r="NN85" s="385"/>
      <c r="NO85" s="34"/>
    </row>
    <row r="86" spans="1:379"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  <c r="IZ86" s="23"/>
      <c r="JA86" s="23"/>
      <c r="JB86" s="23"/>
      <c r="JC86" s="23"/>
      <c r="JD86" s="23"/>
      <c r="JE86" s="23"/>
      <c r="JF86" s="23"/>
      <c r="JG86" s="23"/>
      <c r="JH86" s="23"/>
      <c r="JI86" s="23"/>
      <c r="JJ86" s="23"/>
      <c r="JK86" s="23"/>
      <c r="JL86" s="23"/>
      <c r="JM86" s="23"/>
      <c r="JN86" s="23"/>
      <c r="JO86" s="387"/>
      <c r="JP86" s="23"/>
      <c r="JQ86" s="23"/>
      <c r="JR86" s="23"/>
      <c r="JS86" s="23"/>
      <c r="JT86" s="23"/>
    </row>
    <row r="87" spans="1:379"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  <c r="IZ87" s="23"/>
      <c r="JA87" s="23"/>
      <c r="JB87" s="23"/>
      <c r="JC87" s="23"/>
      <c r="JD87" s="23"/>
      <c r="JE87" s="23"/>
      <c r="JF87" s="23"/>
      <c r="JG87" s="23"/>
      <c r="JH87" s="23"/>
      <c r="JI87" s="23"/>
      <c r="JJ87" s="23"/>
      <c r="JK87" s="23"/>
      <c r="JL87" s="23"/>
      <c r="JM87" s="23"/>
      <c r="JN87" s="23"/>
      <c r="JO87" s="387"/>
      <c r="JP87" s="23"/>
      <c r="JQ87" s="23"/>
      <c r="JR87" s="23"/>
      <c r="JS87" s="23"/>
      <c r="JT87" s="23"/>
    </row>
    <row r="88" spans="1:379"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  <c r="IZ88" s="23"/>
      <c r="JA88" s="23"/>
      <c r="JB88" s="23"/>
      <c r="JC88" s="23"/>
      <c r="JD88" s="23"/>
      <c r="JE88" s="23"/>
      <c r="JF88" s="23"/>
      <c r="JG88" s="23"/>
      <c r="JH88" s="23"/>
      <c r="JI88" s="23"/>
      <c r="JJ88" s="23"/>
      <c r="JK88" s="23"/>
      <c r="JL88" s="23"/>
      <c r="JM88" s="23"/>
      <c r="JN88" s="23"/>
      <c r="JO88" s="387"/>
      <c r="JP88" s="23"/>
      <c r="JQ88" s="23"/>
      <c r="JR88" s="23"/>
      <c r="JS88" s="23"/>
      <c r="JT88" s="23"/>
    </row>
    <row r="89" spans="1:379"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  <c r="IZ89" s="23"/>
      <c r="JA89" s="23"/>
      <c r="JB89" s="23"/>
      <c r="JC89" s="23"/>
      <c r="JD89" s="23"/>
      <c r="JE89" s="23"/>
      <c r="JF89" s="23"/>
      <c r="JG89" s="23"/>
      <c r="JH89" s="23"/>
      <c r="JI89" s="23"/>
      <c r="JJ89" s="23"/>
      <c r="JK89" s="23"/>
      <c r="JL89" s="23"/>
      <c r="JM89" s="23"/>
      <c r="JN89" s="23"/>
      <c r="JO89" s="387"/>
      <c r="JP89" s="23"/>
      <c r="JQ89" s="23"/>
      <c r="JR89" s="23"/>
      <c r="JS89" s="23"/>
      <c r="JT89" s="23"/>
    </row>
    <row r="90" spans="1:379"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  <c r="IZ90" s="23"/>
      <c r="JA90" s="23"/>
      <c r="JB90" s="23"/>
      <c r="JC90" s="23"/>
      <c r="JD90" s="23"/>
      <c r="JE90" s="23"/>
      <c r="JF90" s="23"/>
      <c r="JG90" s="23"/>
      <c r="JH90" s="23"/>
      <c r="JI90" s="23"/>
      <c r="JJ90" s="23"/>
      <c r="JK90" s="23"/>
      <c r="JL90" s="23"/>
      <c r="JM90" s="23"/>
      <c r="JN90" s="23"/>
      <c r="JO90" s="387"/>
      <c r="JP90" s="23"/>
      <c r="JQ90" s="23"/>
      <c r="JR90" s="23"/>
      <c r="JS90" s="23"/>
      <c r="JT90" s="23"/>
    </row>
    <row r="91" spans="1:379"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  <c r="IZ91" s="23"/>
      <c r="JA91" s="23"/>
      <c r="JB91" s="23"/>
      <c r="JC91" s="23"/>
      <c r="JD91" s="23"/>
      <c r="JE91" s="23"/>
      <c r="JF91" s="23"/>
      <c r="JG91" s="23"/>
      <c r="JH91" s="23"/>
      <c r="JI91" s="23"/>
      <c r="JJ91" s="23"/>
      <c r="JK91" s="23"/>
      <c r="JL91" s="23"/>
      <c r="JM91" s="23"/>
      <c r="JN91" s="23"/>
      <c r="JO91" s="387"/>
      <c r="JP91" s="23"/>
      <c r="JQ91" s="23"/>
      <c r="JR91" s="23"/>
      <c r="JS91" s="23"/>
      <c r="JT91" s="23"/>
    </row>
    <row r="92" spans="1:379"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  <c r="IZ92" s="23"/>
      <c r="JA92" s="23"/>
      <c r="JB92" s="23"/>
      <c r="JC92" s="23"/>
      <c r="JD92" s="23"/>
      <c r="JE92" s="23"/>
      <c r="JF92" s="23"/>
      <c r="JG92" s="23"/>
      <c r="JH92" s="23"/>
      <c r="JI92" s="23"/>
      <c r="JJ92" s="23"/>
      <c r="JK92" s="23"/>
      <c r="JL92" s="23"/>
      <c r="JM92" s="23"/>
      <c r="JN92" s="23"/>
      <c r="JO92" s="387"/>
      <c r="JP92" s="23"/>
      <c r="JQ92" s="23"/>
      <c r="JR92" s="23"/>
      <c r="JS92" s="23"/>
      <c r="JT92" s="23"/>
    </row>
    <row r="93" spans="1:379"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  <c r="IZ93" s="23"/>
      <c r="JA93" s="23"/>
      <c r="JB93" s="23"/>
      <c r="JC93" s="23"/>
      <c r="JD93" s="23"/>
      <c r="JE93" s="23"/>
      <c r="JF93" s="23"/>
      <c r="JG93" s="23"/>
      <c r="JH93" s="23"/>
      <c r="JI93" s="23"/>
      <c r="JJ93" s="23"/>
      <c r="JK93" s="23"/>
      <c r="JL93" s="23"/>
      <c r="JM93" s="23"/>
      <c r="JN93" s="23"/>
      <c r="JO93" s="387"/>
      <c r="JP93" s="23"/>
      <c r="JQ93" s="23"/>
      <c r="JR93" s="23"/>
      <c r="JS93" s="23"/>
      <c r="JT93" s="23"/>
    </row>
    <row r="94" spans="1:379"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  <c r="IZ94" s="23"/>
      <c r="JA94" s="23"/>
      <c r="JB94" s="23"/>
      <c r="JC94" s="23"/>
      <c r="JD94" s="23"/>
      <c r="JE94" s="23"/>
      <c r="JF94" s="23"/>
      <c r="JG94" s="23"/>
      <c r="JH94" s="23"/>
      <c r="JI94" s="23"/>
      <c r="JJ94" s="23"/>
      <c r="JK94" s="23"/>
      <c r="JL94" s="23"/>
      <c r="JM94" s="23"/>
      <c r="JN94" s="23"/>
      <c r="JO94" s="387"/>
      <c r="JP94" s="23"/>
      <c r="JQ94" s="23"/>
      <c r="JR94" s="23"/>
      <c r="JS94" s="23"/>
      <c r="JT94" s="23"/>
    </row>
    <row r="95" spans="1:379"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  <c r="IZ95" s="23"/>
      <c r="JA95" s="23"/>
      <c r="JB95" s="23"/>
      <c r="JC95" s="23"/>
      <c r="JD95" s="23"/>
      <c r="JE95" s="23"/>
      <c r="JF95" s="23"/>
      <c r="JG95" s="23"/>
      <c r="JH95" s="23"/>
      <c r="JI95" s="23"/>
      <c r="JJ95" s="23"/>
      <c r="JK95" s="23"/>
      <c r="JL95" s="23"/>
      <c r="JM95" s="23"/>
      <c r="JN95" s="23"/>
      <c r="JO95" s="387"/>
      <c r="JP95" s="23"/>
      <c r="JQ95" s="23"/>
      <c r="JR95" s="23"/>
      <c r="JS95" s="23"/>
      <c r="JT95" s="23"/>
    </row>
    <row r="96" spans="1:379"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  <c r="IZ96" s="23"/>
      <c r="JA96" s="23"/>
      <c r="JB96" s="23"/>
      <c r="JC96" s="23"/>
      <c r="JD96" s="23"/>
      <c r="JE96" s="23"/>
      <c r="JF96" s="23"/>
      <c r="JG96" s="23"/>
      <c r="JH96" s="23"/>
      <c r="JI96" s="23"/>
      <c r="JJ96" s="23"/>
      <c r="JK96" s="23"/>
      <c r="JL96" s="23"/>
      <c r="JM96" s="23"/>
      <c r="JN96" s="23"/>
      <c r="JO96" s="387"/>
      <c r="JP96" s="23"/>
      <c r="JQ96" s="23"/>
      <c r="JR96" s="23"/>
      <c r="JS96" s="23"/>
      <c r="JT96" s="23"/>
    </row>
    <row r="97" spans="1:327"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  <c r="IZ97" s="23"/>
      <c r="JA97" s="23"/>
      <c r="JB97" s="23"/>
      <c r="JC97" s="23"/>
      <c r="JD97" s="23"/>
      <c r="JE97" s="23"/>
      <c r="JF97" s="23"/>
      <c r="JG97" s="23"/>
      <c r="JH97" s="23"/>
      <c r="JI97" s="23"/>
      <c r="JJ97" s="23"/>
      <c r="JK97" s="23"/>
      <c r="JL97" s="23"/>
      <c r="JM97" s="23"/>
      <c r="JN97" s="23"/>
      <c r="JO97" s="387"/>
      <c r="JP97" s="23"/>
      <c r="JQ97" s="23"/>
      <c r="JR97" s="23"/>
      <c r="JS97" s="23"/>
      <c r="JT97" s="23"/>
    </row>
    <row r="98" spans="1:327"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  <c r="IZ98" s="23"/>
      <c r="JA98" s="23"/>
      <c r="JB98" s="23"/>
      <c r="JC98" s="23"/>
      <c r="JD98" s="23"/>
      <c r="JE98" s="23"/>
      <c r="JF98" s="23"/>
      <c r="JG98" s="23"/>
      <c r="JH98" s="23"/>
      <c r="JI98" s="23"/>
      <c r="JJ98" s="23"/>
      <c r="JK98" s="23"/>
      <c r="JL98" s="23"/>
      <c r="JM98" s="23"/>
      <c r="JN98" s="23"/>
      <c r="JO98" s="387"/>
      <c r="JP98" s="23"/>
      <c r="JQ98" s="23"/>
      <c r="JR98" s="23"/>
      <c r="JS98" s="23"/>
      <c r="JT98" s="23"/>
    </row>
    <row r="99" spans="1:327"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  <c r="IZ99" s="23"/>
      <c r="JA99" s="23"/>
      <c r="JB99" s="23"/>
      <c r="JC99" s="23"/>
      <c r="JD99" s="23"/>
      <c r="JE99" s="23"/>
      <c r="JF99" s="23"/>
      <c r="JG99" s="23"/>
      <c r="JH99" s="23"/>
      <c r="JI99" s="23"/>
      <c r="JJ99" s="23"/>
      <c r="JK99" s="23"/>
      <c r="JL99" s="23"/>
      <c r="JM99" s="23"/>
      <c r="JN99" s="23"/>
      <c r="JO99" s="387"/>
      <c r="JP99" s="23"/>
      <c r="JQ99" s="23"/>
      <c r="JR99" s="23"/>
      <c r="JS99" s="23"/>
      <c r="JT99" s="23"/>
    </row>
    <row r="100" spans="1:327"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  <c r="IZ100" s="23"/>
      <c r="JA100" s="23"/>
      <c r="JB100" s="23"/>
      <c r="JC100" s="23"/>
      <c r="JD100" s="23"/>
      <c r="JE100" s="23"/>
      <c r="JF100" s="23"/>
      <c r="JG100" s="23"/>
      <c r="JH100" s="23"/>
      <c r="JI100" s="23"/>
      <c r="JJ100" s="23"/>
      <c r="JK100" s="23"/>
      <c r="JL100" s="23"/>
      <c r="JM100" s="23"/>
      <c r="JN100" s="23"/>
      <c r="JO100" s="387"/>
      <c r="JP100" s="23"/>
      <c r="JQ100" s="23"/>
      <c r="JR100" s="23"/>
      <c r="JS100" s="23"/>
      <c r="JT100" s="23"/>
    </row>
    <row r="101" spans="1:327"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  <c r="IZ101" s="23"/>
      <c r="JA101" s="23"/>
      <c r="JB101" s="23"/>
      <c r="JC101" s="23"/>
      <c r="JD101" s="23"/>
      <c r="JE101" s="23"/>
      <c r="JF101" s="23"/>
      <c r="JG101" s="23"/>
      <c r="JH101" s="23"/>
      <c r="JI101" s="23"/>
      <c r="JJ101" s="23"/>
      <c r="JK101" s="23"/>
      <c r="JL101" s="23"/>
      <c r="JM101" s="23"/>
      <c r="JN101" s="23"/>
      <c r="JO101" s="387"/>
      <c r="JP101" s="23"/>
      <c r="JQ101" s="23"/>
      <c r="JR101" s="23"/>
      <c r="JS101" s="23"/>
      <c r="JT101" s="23"/>
    </row>
    <row r="102" spans="1:327"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  <c r="IZ102" s="23"/>
      <c r="JA102" s="23"/>
      <c r="JB102" s="23"/>
      <c r="JC102" s="23"/>
      <c r="JD102" s="23"/>
      <c r="JE102" s="23"/>
      <c r="JF102" s="23"/>
      <c r="JG102" s="23"/>
      <c r="JH102" s="23"/>
      <c r="JI102" s="23"/>
      <c r="JJ102" s="23"/>
      <c r="JK102" s="23"/>
      <c r="JL102" s="23"/>
      <c r="JM102" s="23"/>
      <c r="JN102" s="23"/>
      <c r="JO102" s="387"/>
      <c r="JP102" s="23"/>
      <c r="JQ102" s="23"/>
      <c r="JR102" s="23"/>
      <c r="JS102" s="23"/>
      <c r="JT102" s="23"/>
    </row>
    <row r="103" spans="1:327"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388"/>
      <c r="IW103" s="388"/>
      <c r="IX103" s="388"/>
      <c r="IY103" s="388"/>
      <c r="IZ103" s="388"/>
      <c r="JA103" s="388"/>
      <c r="JB103" s="388"/>
      <c r="JC103" s="388"/>
      <c r="JD103" s="388"/>
      <c r="JE103" s="388"/>
      <c r="JF103" s="388"/>
      <c r="JG103" s="388"/>
      <c r="JH103" s="388"/>
      <c r="JI103" s="388"/>
      <c r="JJ103" s="388"/>
      <c r="JK103" s="388"/>
      <c r="JL103" s="388"/>
      <c r="JM103" s="388"/>
      <c r="JN103" s="388"/>
      <c r="JO103" s="389"/>
      <c r="JP103" s="23"/>
      <c r="JQ103" s="23"/>
      <c r="JR103" s="23"/>
      <c r="JS103" s="23"/>
      <c r="JT103" s="23"/>
    </row>
    <row r="104" spans="1:327">
      <c r="A104" s="390"/>
      <c r="B104" s="23"/>
      <c r="C104" s="391"/>
      <c r="D104" s="391"/>
      <c r="E104" s="23"/>
      <c r="F104" s="23"/>
      <c r="G104" s="392"/>
      <c r="H104" s="392"/>
      <c r="I104" s="392"/>
      <c r="J104" s="392"/>
      <c r="K104" s="392"/>
      <c r="L104" s="392"/>
      <c r="M104" s="392"/>
      <c r="N104" s="23"/>
      <c r="O104" s="39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  <c r="IZ104" s="23"/>
      <c r="JA104" s="23"/>
      <c r="JB104" s="23"/>
      <c r="JC104" s="23"/>
      <c r="JD104" s="23"/>
      <c r="JE104" s="23"/>
      <c r="JF104" s="23"/>
      <c r="JG104" s="23"/>
      <c r="JH104" s="23"/>
      <c r="JI104" s="23"/>
      <c r="JJ104" s="23"/>
      <c r="JK104" s="23"/>
      <c r="JL104" s="23"/>
      <c r="JM104" s="23"/>
      <c r="JN104" s="23"/>
      <c r="JO104" s="23"/>
      <c r="JP104" s="23"/>
      <c r="JQ104" s="23"/>
      <c r="JR104" s="23"/>
      <c r="JS104" s="23"/>
      <c r="JT104" s="23"/>
      <c r="JU104" s="23"/>
      <c r="JV104" s="23"/>
      <c r="JW104" s="23"/>
      <c r="JX104" s="23"/>
      <c r="JY104" s="23"/>
      <c r="JZ104" s="23"/>
      <c r="KA104" s="23"/>
      <c r="KB104" s="23"/>
      <c r="KC104" s="23"/>
      <c r="KD104" s="23"/>
      <c r="KE104" s="23"/>
      <c r="KF104" s="23"/>
      <c r="KG104" s="23"/>
      <c r="KH104" s="23"/>
      <c r="KI104" s="23"/>
      <c r="KJ104" s="23"/>
      <c r="KK104" s="23"/>
      <c r="KL104" s="23"/>
      <c r="KM104" s="23"/>
      <c r="KN104" s="23"/>
      <c r="KO104" s="23"/>
      <c r="KP104" s="23"/>
      <c r="KQ104" s="23"/>
      <c r="KR104" s="23"/>
      <c r="KS104" s="23"/>
      <c r="KT104" s="23"/>
      <c r="KU104" s="23"/>
      <c r="KV104" s="23"/>
      <c r="KW104" s="23"/>
      <c r="KX104" s="23"/>
      <c r="KY104" s="23"/>
      <c r="KZ104" s="23"/>
      <c r="LA104" s="23"/>
      <c r="LB104" s="23"/>
      <c r="LC104" s="23"/>
      <c r="LD104" s="23"/>
      <c r="LE104" s="23"/>
      <c r="LF104" s="23"/>
      <c r="LG104" s="23"/>
      <c r="LH104" s="23"/>
      <c r="LI104" s="23"/>
      <c r="LJ104" s="23"/>
      <c r="LK104" s="23"/>
      <c r="LL104" s="23"/>
      <c r="LM104" s="23"/>
      <c r="LN104" s="23"/>
      <c r="LO104" s="23"/>
    </row>
    <row r="105" spans="1:327">
      <c r="A105" s="390"/>
      <c r="B105" s="23"/>
      <c r="C105" s="391"/>
      <c r="D105" s="391"/>
      <c r="E105" s="23"/>
      <c r="F105" s="23"/>
      <c r="G105" s="392"/>
      <c r="H105" s="392"/>
      <c r="I105" s="392"/>
      <c r="J105" s="392"/>
      <c r="K105" s="392"/>
      <c r="L105" s="392"/>
      <c r="M105" s="392"/>
      <c r="N105" s="23"/>
      <c r="O105" s="39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  <c r="IZ105" s="23"/>
      <c r="JA105" s="23"/>
      <c r="JB105" s="23"/>
      <c r="JC105" s="23"/>
      <c r="JD105" s="23"/>
      <c r="JE105" s="23"/>
      <c r="JF105" s="23"/>
      <c r="JG105" s="23"/>
      <c r="JH105" s="23"/>
      <c r="JI105" s="23"/>
      <c r="JJ105" s="23"/>
      <c r="JK105" s="23"/>
      <c r="JL105" s="23"/>
      <c r="JM105" s="23"/>
      <c r="JN105" s="23"/>
      <c r="JO105" s="23"/>
      <c r="JP105" s="23"/>
      <c r="JQ105" s="23"/>
      <c r="JR105" s="23"/>
      <c r="JS105" s="23"/>
      <c r="JT105" s="23"/>
      <c r="JU105" s="23"/>
      <c r="JV105" s="23"/>
      <c r="JW105" s="23"/>
      <c r="JX105" s="23"/>
      <c r="JY105" s="23"/>
      <c r="JZ105" s="23"/>
      <c r="KA105" s="23"/>
      <c r="KB105" s="23"/>
      <c r="KC105" s="23"/>
      <c r="KD105" s="23"/>
      <c r="KE105" s="23"/>
      <c r="KF105" s="23"/>
      <c r="KG105" s="23"/>
      <c r="KH105" s="23"/>
      <c r="KI105" s="23"/>
      <c r="KJ105" s="23"/>
      <c r="KK105" s="23"/>
      <c r="KL105" s="23"/>
      <c r="KM105" s="23"/>
      <c r="KN105" s="23"/>
      <c r="KO105" s="23"/>
      <c r="KP105" s="23"/>
      <c r="KQ105" s="23"/>
      <c r="KR105" s="23"/>
      <c r="KS105" s="23"/>
      <c r="KT105" s="23"/>
      <c r="KU105" s="23"/>
      <c r="KV105" s="23"/>
      <c r="KW105" s="23"/>
      <c r="KX105" s="23"/>
      <c r="KY105" s="23"/>
      <c r="KZ105" s="23"/>
      <c r="LA105" s="23"/>
      <c r="LB105" s="23"/>
      <c r="LC105" s="23"/>
      <c r="LD105" s="23"/>
      <c r="LE105" s="23"/>
      <c r="LF105" s="23"/>
      <c r="LG105" s="23"/>
      <c r="LH105" s="23"/>
      <c r="LI105" s="23"/>
      <c r="LJ105" s="23"/>
      <c r="LK105" s="23"/>
      <c r="LL105" s="23"/>
      <c r="LM105" s="23"/>
      <c r="LN105" s="23"/>
      <c r="LO105" s="23"/>
    </row>
    <row r="106" spans="1:327">
      <c r="A106" s="390"/>
      <c r="B106" s="23"/>
      <c r="C106" s="391"/>
      <c r="D106" s="391"/>
      <c r="E106" s="23"/>
      <c r="F106" s="23"/>
      <c r="G106" s="392"/>
      <c r="H106" s="392"/>
      <c r="I106" s="392"/>
      <c r="J106" s="392"/>
      <c r="K106" s="392"/>
      <c r="L106" s="392"/>
      <c r="M106" s="392"/>
      <c r="N106" s="23"/>
      <c r="O106" s="39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  <c r="IZ106" s="23"/>
      <c r="JA106" s="23"/>
      <c r="JB106" s="23"/>
      <c r="JC106" s="23"/>
      <c r="JD106" s="23"/>
      <c r="JE106" s="23"/>
      <c r="JF106" s="23"/>
      <c r="JG106" s="23"/>
      <c r="JH106" s="23"/>
      <c r="JI106" s="23"/>
      <c r="JJ106" s="23"/>
      <c r="JK106" s="23"/>
      <c r="JL106" s="23"/>
      <c r="JM106" s="23"/>
      <c r="JN106" s="23"/>
      <c r="JO106" s="23"/>
      <c r="JP106" s="23"/>
      <c r="JQ106" s="23"/>
      <c r="JR106" s="23"/>
      <c r="JS106" s="23"/>
      <c r="JT106" s="23"/>
      <c r="JU106" s="23"/>
      <c r="JV106" s="23"/>
      <c r="JW106" s="23"/>
      <c r="JX106" s="23"/>
      <c r="JY106" s="23"/>
      <c r="JZ106" s="23"/>
      <c r="KA106" s="23"/>
      <c r="KB106" s="23"/>
      <c r="KC106" s="23"/>
      <c r="KD106" s="23"/>
      <c r="KE106" s="23"/>
      <c r="KF106" s="23"/>
      <c r="KG106" s="23"/>
      <c r="KH106" s="23"/>
      <c r="KI106" s="23"/>
      <c r="KJ106" s="23"/>
      <c r="KK106" s="23"/>
      <c r="KL106" s="23"/>
      <c r="KM106" s="23"/>
      <c r="KN106" s="23"/>
      <c r="KO106" s="23"/>
      <c r="KP106" s="23"/>
      <c r="KQ106" s="23"/>
      <c r="KR106" s="23"/>
      <c r="KS106" s="23"/>
      <c r="KT106" s="23"/>
      <c r="KU106" s="23"/>
      <c r="KV106" s="23"/>
      <c r="KW106" s="23"/>
      <c r="KX106" s="23"/>
      <c r="KY106" s="23"/>
      <c r="KZ106" s="23"/>
      <c r="LA106" s="23"/>
      <c r="LB106" s="23"/>
      <c r="LC106" s="23"/>
      <c r="LD106" s="23"/>
      <c r="LE106" s="23"/>
      <c r="LF106" s="23"/>
      <c r="LG106" s="23"/>
      <c r="LH106" s="23"/>
      <c r="LI106" s="23"/>
      <c r="LJ106" s="23"/>
      <c r="LK106" s="23"/>
      <c r="LL106" s="23"/>
      <c r="LM106" s="23"/>
      <c r="LN106" s="23"/>
      <c r="LO106" s="23"/>
    </row>
    <row r="107" spans="1:327">
      <c r="A107" s="390"/>
      <c r="B107" s="23"/>
      <c r="C107" s="391"/>
      <c r="D107" s="391"/>
      <c r="E107" s="23"/>
      <c r="F107" s="23"/>
      <c r="G107" s="392"/>
      <c r="H107" s="392"/>
      <c r="I107" s="392"/>
      <c r="J107" s="392"/>
      <c r="K107" s="392"/>
      <c r="L107" s="392"/>
      <c r="M107" s="392"/>
      <c r="N107" s="23"/>
      <c r="O107" s="39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  <c r="IZ107" s="23"/>
      <c r="JA107" s="23"/>
      <c r="JB107" s="23"/>
      <c r="JC107" s="23"/>
      <c r="JD107" s="23"/>
      <c r="JE107" s="23"/>
      <c r="JF107" s="23"/>
      <c r="JG107" s="23"/>
      <c r="JH107" s="23"/>
      <c r="JI107" s="23"/>
      <c r="JJ107" s="23"/>
      <c r="JK107" s="23"/>
      <c r="JL107" s="23"/>
      <c r="JM107" s="23"/>
      <c r="JN107" s="23"/>
      <c r="JO107" s="23"/>
      <c r="JP107" s="23"/>
      <c r="JQ107" s="23"/>
      <c r="JR107" s="23"/>
      <c r="JS107" s="23"/>
      <c r="JT107" s="23"/>
      <c r="JU107" s="23"/>
      <c r="JV107" s="23"/>
      <c r="JW107" s="23"/>
      <c r="JX107" s="23"/>
      <c r="JY107" s="23"/>
      <c r="JZ107" s="23"/>
      <c r="KA107" s="23"/>
      <c r="KB107" s="23"/>
      <c r="KC107" s="23"/>
      <c r="KD107" s="23"/>
      <c r="KE107" s="23"/>
      <c r="KF107" s="23"/>
      <c r="KG107" s="23"/>
      <c r="KH107" s="23"/>
      <c r="KI107" s="23"/>
      <c r="KJ107" s="23"/>
      <c r="KK107" s="23"/>
      <c r="KL107" s="23"/>
      <c r="KM107" s="23"/>
      <c r="KN107" s="23"/>
      <c r="KO107" s="23"/>
      <c r="KP107" s="23"/>
      <c r="KQ107" s="23"/>
      <c r="KR107" s="23"/>
      <c r="KS107" s="23"/>
      <c r="KT107" s="23"/>
      <c r="KU107" s="23"/>
      <c r="KV107" s="23"/>
      <c r="KW107" s="23"/>
      <c r="KX107" s="23"/>
      <c r="KY107" s="23"/>
      <c r="KZ107" s="23"/>
      <c r="LA107" s="23"/>
      <c r="LB107" s="23"/>
      <c r="LC107" s="23"/>
      <c r="LD107" s="23"/>
      <c r="LE107" s="23"/>
      <c r="LF107" s="23"/>
      <c r="LG107" s="23"/>
      <c r="LH107" s="23"/>
      <c r="LI107" s="23"/>
      <c r="LJ107" s="23"/>
      <c r="LK107" s="23"/>
      <c r="LL107" s="23"/>
      <c r="LM107" s="23"/>
      <c r="LN107" s="23"/>
      <c r="LO107" s="23"/>
    </row>
    <row r="108" spans="1:327">
      <c r="A108" s="390"/>
      <c r="B108" s="23"/>
      <c r="C108" s="391"/>
      <c r="D108" s="391"/>
      <c r="E108" s="23"/>
      <c r="F108" s="23"/>
      <c r="G108" s="392"/>
      <c r="H108" s="392"/>
      <c r="I108" s="392"/>
      <c r="J108" s="392"/>
      <c r="K108" s="392"/>
      <c r="L108" s="392"/>
      <c r="M108" s="392"/>
      <c r="N108" s="23"/>
      <c r="O108" s="39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  <c r="IZ108" s="23"/>
      <c r="JA108" s="23"/>
      <c r="JB108" s="23"/>
      <c r="JC108" s="23"/>
      <c r="JD108" s="23"/>
      <c r="JE108" s="23"/>
      <c r="JF108" s="23"/>
      <c r="JG108" s="23"/>
      <c r="JH108" s="23"/>
      <c r="JI108" s="23"/>
      <c r="JJ108" s="23"/>
      <c r="JK108" s="23"/>
      <c r="JL108" s="23"/>
      <c r="JM108" s="23"/>
      <c r="JN108" s="23"/>
      <c r="JO108" s="23"/>
      <c r="JP108" s="23"/>
      <c r="JQ108" s="23"/>
      <c r="JR108" s="23"/>
      <c r="JS108" s="23"/>
      <c r="JT108" s="23"/>
      <c r="JU108" s="23"/>
      <c r="JV108" s="23"/>
      <c r="JW108" s="23"/>
      <c r="JX108" s="23"/>
      <c r="JY108" s="23"/>
      <c r="JZ108" s="23"/>
      <c r="KA108" s="23"/>
      <c r="KB108" s="23"/>
      <c r="KC108" s="23"/>
      <c r="KD108" s="23"/>
      <c r="KE108" s="23"/>
      <c r="KF108" s="23"/>
      <c r="KG108" s="23"/>
      <c r="KH108" s="23"/>
      <c r="KI108" s="23"/>
      <c r="KJ108" s="23"/>
      <c r="KK108" s="23"/>
      <c r="KL108" s="23"/>
      <c r="KM108" s="23"/>
      <c r="KN108" s="23"/>
      <c r="KO108" s="23"/>
      <c r="KP108" s="23"/>
      <c r="KQ108" s="23"/>
      <c r="KR108" s="23"/>
      <c r="KS108" s="23"/>
      <c r="KT108" s="23"/>
      <c r="KU108" s="23"/>
      <c r="KV108" s="23"/>
      <c r="KW108" s="23"/>
      <c r="KX108" s="23"/>
      <c r="KY108" s="23"/>
      <c r="KZ108" s="23"/>
      <c r="LA108" s="23"/>
      <c r="LB108" s="23"/>
      <c r="LC108" s="23"/>
      <c r="LD108" s="23"/>
      <c r="LE108" s="23"/>
      <c r="LF108" s="23"/>
      <c r="LG108" s="23"/>
      <c r="LH108" s="23"/>
      <c r="LI108" s="23"/>
      <c r="LJ108" s="23"/>
      <c r="LK108" s="23"/>
      <c r="LL108" s="23"/>
      <c r="LM108" s="23"/>
      <c r="LN108" s="23"/>
      <c r="LO108" s="23"/>
    </row>
    <row r="109" spans="1:327">
      <c r="A109" s="390"/>
      <c r="B109" s="23"/>
      <c r="C109" s="391"/>
      <c r="D109" s="391"/>
      <c r="E109" s="23"/>
      <c r="F109" s="23"/>
      <c r="G109" s="392"/>
      <c r="H109" s="392"/>
      <c r="I109" s="392"/>
      <c r="J109" s="392"/>
      <c r="K109" s="392"/>
      <c r="L109" s="392"/>
      <c r="M109" s="392"/>
      <c r="N109" s="23"/>
      <c r="O109" s="39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  <c r="IZ109" s="23"/>
      <c r="JA109" s="23"/>
      <c r="JB109" s="23"/>
      <c r="JC109" s="23"/>
      <c r="JD109" s="23"/>
      <c r="JE109" s="23"/>
      <c r="JF109" s="23"/>
      <c r="JG109" s="23"/>
      <c r="JH109" s="23"/>
      <c r="JI109" s="23"/>
      <c r="JJ109" s="23"/>
      <c r="JK109" s="23"/>
      <c r="JL109" s="23"/>
      <c r="JM109" s="23"/>
      <c r="JN109" s="23"/>
      <c r="JO109" s="23"/>
      <c r="JP109" s="23"/>
      <c r="JQ109" s="23"/>
      <c r="JR109" s="23"/>
      <c r="JS109" s="23"/>
      <c r="JT109" s="23"/>
      <c r="JU109" s="23"/>
      <c r="JV109" s="23"/>
      <c r="JW109" s="23"/>
      <c r="JX109" s="23"/>
      <c r="JY109" s="23"/>
      <c r="JZ109" s="23"/>
      <c r="KA109" s="23"/>
      <c r="KB109" s="23"/>
      <c r="KC109" s="23"/>
      <c r="KD109" s="23"/>
      <c r="KE109" s="23"/>
      <c r="KF109" s="23"/>
      <c r="KG109" s="23"/>
      <c r="KH109" s="23"/>
      <c r="KI109" s="23"/>
      <c r="KJ109" s="23"/>
      <c r="KK109" s="23"/>
      <c r="KL109" s="23"/>
      <c r="KM109" s="23"/>
      <c r="KN109" s="23"/>
      <c r="KO109" s="23"/>
      <c r="KP109" s="23"/>
      <c r="KQ109" s="23"/>
      <c r="KR109" s="23"/>
      <c r="KS109" s="23"/>
      <c r="KT109" s="23"/>
      <c r="KU109" s="23"/>
      <c r="KV109" s="23"/>
      <c r="KW109" s="23"/>
      <c r="KX109" s="23"/>
      <c r="KY109" s="23"/>
      <c r="KZ109" s="23"/>
      <c r="LA109" s="23"/>
      <c r="LB109" s="23"/>
      <c r="LC109" s="23"/>
      <c r="LD109" s="23"/>
      <c r="LE109" s="23"/>
      <c r="LF109" s="23"/>
      <c r="LG109" s="23"/>
      <c r="LH109" s="23"/>
      <c r="LI109" s="23"/>
      <c r="LJ109" s="23"/>
      <c r="LK109" s="23"/>
      <c r="LL109" s="23"/>
      <c r="LM109" s="23"/>
      <c r="LN109" s="23"/>
      <c r="LO109" s="23"/>
    </row>
    <row r="110" spans="1:327">
      <c r="A110" s="390"/>
      <c r="B110" s="23"/>
      <c r="C110" s="391"/>
      <c r="D110" s="391"/>
      <c r="E110" s="23"/>
      <c r="F110" s="23"/>
      <c r="G110" s="392"/>
      <c r="H110" s="392"/>
      <c r="I110" s="392"/>
      <c r="J110" s="392"/>
      <c r="K110" s="392"/>
      <c r="L110" s="392"/>
      <c r="M110" s="392"/>
      <c r="N110" s="23"/>
      <c r="O110" s="39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  <c r="IZ110" s="23"/>
      <c r="JA110" s="23"/>
      <c r="JB110" s="23"/>
      <c r="JC110" s="23"/>
      <c r="JD110" s="23"/>
      <c r="JE110" s="23"/>
      <c r="JF110" s="23"/>
      <c r="JG110" s="23"/>
      <c r="JH110" s="23"/>
      <c r="JI110" s="23"/>
      <c r="JJ110" s="23"/>
      <c r="JK110" s="23"/>
      <c r="JL110" s="23"/>
      <c r="JM110" s="23"/>
      <c r="JN110" s="23"/>
      <c r="JO110" s="23"/>
      <c r="JP110" s="23"/>
      <c r="JQ110" s="23"/>
      <c r="JR110" s="23"/>
      <c r="JS110" s="23"/>
      <c r="JT110" s="23"/>
      <c r="JU110" s="23"/>
      <c r="JV110" s="23"/>
      <c r="JW110" s="23"/>
      <c r="JX110" s="23"/>
      <c r="JY110" s="23"/>
      <c r="JZ110" s="23"/>
      <c r="KA110" s="23"/>
      <c r="KB110" s="23"/>
      <c r="KC110" s="23"/>
      <c r="KD110" s="23"/>
      <c r="KE110" s="23"/>
      <c r="KF110" s="23"/>
      <c r="KG110" s="23"/>
      <c r="KH110" s="23"/>
      <c r="KI110" s="23"/>
      <c r="KJ110" s="23"/>
      <c r="KK110" s="23"/>
      <c r="KL110" s="23"/>
      <c r="KM110" s="23"/>
      <c r="KN110" s="23"/>
      <c r="KO110" s="23"/>
      <c r="KP110" s="23"/>
      <c r="KQ110" s="23"/>
      <c r="KR110" s="23"/>
      <c r="KS110" s="23"/>
      <c r="KT110" s="23"/>
      <c r="KU110" s="23"/>
      <c r="KV110" s="23"/>
      <c r="KW110" s="23"/>
      <c r="KX110" s="23"/>
      <c r="KY110" s="23"/>
      <c r="KZ110" s="23"/>
      <c r="LA110" s="23"/>
      <c r="LB110" s="23"/>
      <c r="LC110" s="23"/>
      <c r="LD110" s="23"/>
      <c r="LE110" s="23"/>
      <c r="LF110" s="23"/>
      <c r="LG110" s="23"/>
      <c r="LH110" s="23"/>
      <c r="LI110" s="23"/>
      <c r="LJ110" s="23"/>
      <c r="LK110" s="23"/>
      <c r="LL110" s="23"/>
      <c r="LM110" s="23"/>
      <c r="LN110" s="23"/>
      <c r="LO110" s="23"/>
    </row>
    <row r="111" spans="1:327">
      <c r="A111" s="390"/>
      <c r="B111" s="23"/>
      <c r="C111" s="391"/>
      <c r="D111" s="391"/>
      <c r="E111" s="23"/>
      <c r="F111" s="23"/>
      <c r="G111" s="392"/>
      <c r="H111" s="392"/>
      <c r="I111" s="392"/>
      <c r="J111" s="392"/>
      <c r="K111" s="392"/>
      <c r="L111" s="392"/>
      <c r="M111" s="392"/>
      <c r="N111" s="23"/>
      <c r="O111" s="39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  <c r="IZ111" s="23"/>
      <c r="JA111" s="23"/>
      <c r="JB111" s="23"/>
      <c r="JC111" s="23"/>
      <c r="JD111" s="23"/>
      <c r="JE111" s="23"/>
      <c r="JF111" s="23"/>
      <c r="JG111" s="23"/>
      <c r="JH111" s="23"/>
      <c r="JI111" s="23"/>
      <c r="JJ111" s="23"/>
      <c r="JK111" s="23"/>
      <c r="JL111" s="23"/>
      <c r="JM111" s="23"/>
      <c r="JN111" s="23"/>
      <c r="JO111" s="23"/>
      <c r="JP111" s="23"/>
      <c r="JQ111" s="23"/>
      <c r="JR111" s="23"/>
      <c r="JS111" s="23"/>
      <c r="JT111" s="23"/>
      <c r="JU111" s="23"/>
      <c r="JV111" s="23"/>
      <c r="JW111" s="23"/>
      <c r="JX111" s="23"/>
      <c r="JY111" s="23"/>
      <c r="JZ111" s="23"/>
      <c r="KA111" s="23"/>
      <c r="KB111" s="23"/>
      <c r="KC111" s="23"/>
      <c r="KD111" s="23"/>
      <c r="KE111" s="23"/>
      <c r="KF111" s="23"/>
      <c r="KG111" s="23"/>
      <c r="KH111" s="23"/>
      <c r="KI111" s="23"/>
      <c r="KJ111" s="23"/>
      <c r="KK111" s="23"/>
      <c r="KL111" s="23"/>
      <c r="KM111" s="23"/>
      <c r="KN111" s="23"/>
      <c r="KO111" s="23"/>
      <c r="KP111" s="23"/>
      <c r="KQ111" s="23"/>
      <c r="KR111" s="23"/>
      <c r="KS111" s="23"/>
      <c r="KT111" s="23"/>
      <c r="KU111" s="23"/>
      <c r="KV111" s="23"/>
      <c r="KW111" s="23"/>
      <c r="KX111" s="23"/>
      <c r="KY111" s="23"/>
      <c r="KZ111" s="23"/>
      <c r="LA111" s="23"/>
      <c r="LB111" s="23"/>
      <c r="LC111" s="23"/>
      <c r="LD111" s="23"/>
      <c r="LE111" s="23"/>
      <c r="LF111" s="23"/>
      <c r="LG111" s="23"/>
      <c r="LH111" s="23"/>
      <c r="LI111" s="23"/>
      <c r="LJ111" s="23"/>
      <c r="LK111" s="23"/>
      <c r="LL111" s="23"/>
      <c r="LM111" s="23"/>
      <c r="LN111" s="23"/>
      <c r="LO111" s="23"/>
    </row>
    <row r="112" spans="1:327">
      <c r="A112" s="390"/>
      <c r="B112" s="23"/>
      <c r="C112" s="391"/>
      <c r="D112" s="391"/>
      <c r="E112" s="23"/>
      <c r="F112" s="23"/>
      <c r="G112" s="392"/>
      <c r="H112" s="392"/>
      <c r="I112" s="392"/>
      <c r="J112" s="392"/>
      <c r="K112" s="392"/>
      <c r="L112" s="392"/>
      <c r="M112" s="392"/>
      <c r="N112" s="23"/>
      <c r="O112" s="39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  <c r="IZ112" s="23"/>
      <c r="JA112" s="23"/>
      <c r="JB112" s="23"/>
      <c r="JC112" s="23"/>
      <c r="JD112" s="23"/>
      <c r="JE112" s="23"/>
      <c r="JF112" s="23"/>
      <c r="JG112" s="23"/>
      <c r="JH112" s="23"/>
      <c r="JI112" s="23"/>
      <c r="JJ112" s="23"/>
      <c r="JK112" s="23"/>
      <c r="JL112" s="23"/>
      <c r="JM112" s="23"/>
      <c r="JN112" s="23"/>
      <c r="JO112" s="23"/>
      <c r="JP112" s="23"/>
      <c r="JQ112" s="23"/>
      <c r="JR112" s="23"/>
      <c r="JS112" s="23"/>
      <c r="JT112" s="23"/>
      <c r="JU112" s="23"/>
      <c r="JV112" s="23"/>
      <c r="JW112" s="23"/>
      <c r="JX112" s="23"/>
      <c r="JY112" s="23"/>
      <c r="JZ112" s="23"/>
      <c r="KA112" s="23"/>
      <c r="KB112" s="23"/>
      <c r="KC112" s="23"/>
      <c r="KD112" s="23"/>
      <c r="KE112" s="23"/>
      <c r="KF112" s="23"/>
      <c r="KG112" s="23"/>
      <c r="KH112" s="23"/>
      <c r="KI112" s="23"/>
      <c r="KJ112" s="23"/>
      <c r="KK112" s="23"/>
      <c r="KL112" s="23"/>
      <c r="KM112" s="23"/>
      <c r="KN112" s="23"/>
      <c r="KO112" s="23"/>
      <c r="KP112" s="23"/>
      <c r="KQ112" s="23"/>
      <c r="KR112" s="23"/>
      <c r="KS112" s="23"/>
      <c r="KT112" s="23"/>
      <c r="KU112" s="23"/>
      <c r="KV112" s="23"/>
      <c r="KW112" s="23"/>
      <c r="KX112" s="23"/>
      <c r="KY112" s="23"/>
      <c r="KZ112" s="23"/>
      <c r="LA112" s="23"/>
      <c r="LB112" s="23"/>
      <c r="LC112" s="23"/>
      <c r="LD112" s="23"/>
      <c r="LE112" s="23"/>
      <c r="LF112" s="23"/>
      <c r="LG112" s="23"/>
      <c r="LH112" s="23"/>
      <c r="LI112" s="23"/>
      <c r="LJ112" s="23"/>
      <c r="LK112" s="23"/>
      <c r="LL112" s="23"/>
      <c r="LM112" s="23"/>
      <c r="LN112" s="23"/>
      <c r="LO112" s="23"/>
    </row>
    <row r="113" spans="1:327">
      <c r="A113" s="390"/>
      <c r="B113" s="23"/>
      <c r="C113" s="391"/>
      <c r="D113" s="391"/>
      <c r="E113" s="23"/>
      <c r="F113" s="23"/>
      <c r="G113" s="392"/>
      <c r="H113" s="392"/>
      <c r="I113" s="392"/>
      <c r="J113" s="392"/>
      <c r="K113" s="392"/>
      <c r="L113" s="392"/>
      <c r="M113" s="392"/>
      <c r="N113" s="23"/>
      <c r="O113" s="39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  <c r="IZ113" s="23"/>
      <c r="JA113" s="23"/>
      <c r="JB113" s="23"/>
      <c r="JC113" s="23"/>
      <c r="JD113" s="23"/>
      <c r="JE113" s="23"/>
      <c r="JF113" s="23"/>
      <c r="JG113" s="23"/>
      <c r="JH113" s="23"/>
      <c r="JI113" s="23"/>
      <c r="JJ113" s="23"/>
      <c r="JK113" s="23"/>
      <c r="JL113" s="23"/>
      <c r="JM113" s="23"/>
      <c r="JN113" s="23"/>
      <c r="JO113" s="23"/>
      <c r="JP113" s="23"/>
      <c r="JQ113" s="23"/>
      <c r="JR113" s="23"/>
      <c r="JS113" s="23"/>
      <c r="JT113" s="23"/>
      <c r="JU113" s="23"/>
      <c r="JV113" s="23"/>
      <c r="JW113" s="23"/>
      <c r="JX113" s="23"/>
      <c r="JY113" s="23"/>
      <c r="JZ113" s="23"/>
      <c r="KA113" s="23"/>
      <c r="KB113" s="23"/>
      <c r="KC113" s="23"/>
      <c r="KD113" s="23"/>
      <c r="KE113" s="23"/>
      <c r="KF113" s="23"/>
      <c r="KG113" s="23"/>
      <c r="KH113" s="23"/>
      <c r="KI113" s="23"/>
      <c r="KJ113" s="23"/>
      <c r="KK113" s="23"/>
      <c r="KL113" s="23"/>
      <c r="KM113" s="23"/>
      <c r="KN113" s="23"/>
      <c r="KO113" s="23"/>
      <c r="KP113" s="23"/>
      <c r="KQ113" s="23"/>
      <c r="KR113" s="23"/>
      <c r="KS113" s="23"/>
      <c r="KT113" s="23"/>
      <c r="KU113" s="23"/>
      <c r="KV113" s="23"/>
      <c r="KW113" s="23"/>
      <c r="KX113" s="23"/>
      <c r="KY113" s="23"/>
      <c r="KZ113" s="23"/>
      <c r="LA113" s="23"/>
      <c r="LB113" s="23"/>
      <c r="LC113" s="23"/>
      <c r="LD113" s="23"/>
      <c r="LE113" s="23"/>
      <c r="LF113" s="23"/>
      <c r="LG113" s="23"/>
      <c r="LH113" s="23"/>
      <c r="LI113" s="23"/>
      <c r="LJ113" s="23"/>
      <c r="LK113" s="23"/>
      <c r="LL113" s="23"/>
      <c r="LM113" s="23"/>
      <c r="LN113" s="23"/>
      <c r="LO113" s="23"/>
    </row>
    <row r="114" spans="1:327">
      <c r="A114" s="390"/>
      <c r="B114" s="23"/>
      <c r="C114" s="391"/>
      <c r="D114" s="391"/>
      <c r="E114" s="23"/>
      <c r="F114" s="23"/>
      <c r="G114" s="392"/>
      <c r="H114" s="392"/>
      <c r="I114" s="392"/>
      <c r="J114" s="392"/>
      <c r="K114" s="392"/>
      <c r="L114" s="392"/>
      <c r="M114" s="392"/>
      <c r="N114" s="23"/>
      <c r="O114" s="39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  <c r="IZ114" s="23"/>
      <c r="JA114" s="23"/>
      <c r="JB114" s="23"/>
      <c r="JC114" s="23"/>
      <c r="JD114" s="23"/>
      <c r="JE114" s="23"/>
      <c r="JF114" s="23"/>
      <c r="JG114" s="23"/>
      <c r="JH114" s="23"/>
      <c r="JI114" s="23"/>
      <c r="JJ114" s="23"/>
      <c r="JK114" s="23"/>
      <c r="JL114" s="23"/>
      <c r="JM114" s="23"/>
      <c r="JN114" s="23"/>
      <c r="JO114" s="23"/>
      <c r="JP114" s="23"/>
      <c r="JQ114" s="23"/>
      <c r="JR114" s="23"/>
      <c r="JS114" s="23"/>
      <c r="JT114" s="23"/>
      <c r="JU114" s="23"/>
      <c r="JV114" s="23"/>
      <c r="JW114" s="23"/>
      <c r="JX114" s="23"/>
      <c r="JY114" s="23"/>
      <c r="JZ114" s="23"/>
      <c r="KA114" s="23"/>
      <c r="KB114" s="23"/>
      <c r="KC114" s="23"/>
      <c r="KD114" s="23"/>
      <c r="KE114" s="23"/>
      <c r="KF114" s="23"/>
      <c r="KG114" s="23"/>
      <c r="KH114" s="23"/>
      <c r="KI114" s="23"/>
      <c r="KJ114" s="23"/>
      <c r="KK114" s="23"/>
      <c r="KL114" s="23"/>
      <c r="KM114" s="23"/>
      <c r="KN114" s="23"/>
      <c r="KO114" s="23"/>
      <c r="KP114" s="23"/>
      <c r="KQ114" s="23"/>
      <c r="KR114" s="23"/>
      <c r="KS114" s="23"/>
      <c r="KT114" s="23"/>
      <c r="KU114" s="23"/>
      <c r="KV114" s="23"/>
      <c r="KW114" s="23"/>
      <c r="KX114" s="23"/>
      <c r="KY114" s="23"/>
      <c r="KZ114" s="23"/>
      <c r="LA114" s="23"/>
      <c r="LB114" s="23"/>
      <c r="LC114" s="23"/>
      <c r="LD114" s="23"/>
      <c r="LE114" s="23"/>
      <c r="LF114" s="23"/>
      <c r="LG114" s="23"/>
      <c r="LH114" s="23"/>
      <c r="LI114" s="23"/>
      <c r="LJ114" s="23"/>
      <c r="LK114" s="23"/>
      <c r="LL114" s="23"/>
      <c r="LM114" s="23"/>
      <c r="LN114" s="23"/>
      <c r="LO114" s="23"/>
    </row>
    <row r="115" spans="1:327">
      <c r="A115" s="390"/>
      <c r="B115" s="23"/>
      <c r="C115" s="391"/>
      <c r="D115" s="391"/>
      <c r="E115" s="23"/>
      <c r="F115" s="23"/>
      <c r="G115" s="392"/>
      <c r="H115" s="392"/>
      <c r="I115" s="392"/>
      <c r="J115" s="392"/>
      <c r="K115" s="392"/>
      <c r="L115" s="392"/>
      <c r="M115" s="392"/>
      <c r="N115" s="23"/>
      <c r="O115" s="39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  <c r="IZ115" s="23"/>
      <c r="JA115" s="23"/>
      <c r="JB115" s="23"/>
      <c r="JC115" s="23"/>
      <c r="JD115" s="23"/>
      <c r="JE115" s="23"/>
      <c r="JF115" s="23"/>
      <c r="JG115" s="23"/>
      <c r="JH115" s="23"/>
      <c r="JI115" s="23"/>
      <c r="JJ115" s="23"/>
      <c r="JK115" s="23"/>
      <c r="JL115" s="23"/>
      <c r="JM115" s="23"/>
      <c r="JN115" s="23"/>
      <c r="JO115" s="23"/>
      <c r="JP115" s="23"/>
      <c r="JQ115" s="23"/>
      <c r="JR115" s="23"/>
      <c r="JS115" s="23"/>
      <c r="JT115" s="23"/>
      <c r="JU115" s="23"/>
      <c r="JV115" s="23"/>
      <c r="JW115" s="23"/>
      <c r="JX115" s="23"/>
      <c r="JY115" s="23"/>
      <c r="JZ115" s="23"/>
      <c r="KA115" s="23"/>
      <c r="KB115" s="23"/>
      <c r="KC115" s="23"/>
      <c r="KD115" s="23"/>
      <c r="KE115" s="23"/>
      <c r="KF115" s="23"/>
      <c r="KG115" s="23"/>
      <c r="KH115" s="23"/>
      <c r="KI115" s="23"/>
      <c r="KJ115" s="23"/>
      <c r="KK115" s="23"/>
      <c r="KL115" s="23"/>
      <c r="KM115" s="23"/>
      <c r="KN115" s="23"/>
      <c r="KO115" s="23"/>
      <c r="KP115" s="23"/>
      <c r="KQ115" s="23"/>
      <c r="KR115" s="23"/>
      <c r="KS115" s="23"/>
      <c r="KT115" s="23"/>
      <c r="KU115" s="23"/>
      <c r="KV115" s="23"/>
      <c r="KW115" s="23"/>
      <c r="KX115" s="23"/>
      <c r="KY115" s="23"/>
      <c r="KZ115" s="23"/>
      <c r="LA115" s="23"/>
      <c r="LB115" s="23"/>
      <c r="LC115" s="23"/>
      <c r="LD115" s="23"/>
      <c r="LE115" s="23"/>
      <c r="LF115" s="23"/>
      <c r="LG115" s="23"/>
      <c r="LH115" s="23"/>
      <c r="LI115" s="23"/>
      <c r="LJ115" s="23"/>
      <c r="LK115" s="23"/>
      <c r="LL115" s="23"/>
      <c r="LM115" s="23"/>
      <c r="LN115" s="23"/>
      <c r="LO115" s="23"/>
    </row>
    <row r="116" spans="1:327">
      <c r="A116" s="390"/>
      <c r="B116" s="23"/>
      <c r="C116" s="391"/>
      <c r="D116" s="391"/>
      <c r="E116" s="23"/>
      <c r="F116" s="23"/>
      <c r="G116" s="392"/>
      <c r="H116" s="392"/>
      <c r="I116" s="392"/>
      <c r="J116" s="392"/>
      <c r="K116" s="392"/>
      <c r="L116" s="392"/>
      <c r="M116" s="392"/>
      <c r="N116" s="23"/>
      <c r="O116" s="39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  <c r="IZ116" s="23"/>
      <c r="JA116" s="23"/>
      <c r="JB116" s="23"/>
      <c r="JC116" s="23"/>
      <c r="JD116" s="23"/>
      <c r="JE116" s="23"/>
      <c r="JF116" s="23"/>
      <c r="JG116" s="23"/>
      <c r="JH116" s="23"/>
      <c r="JI116" s="23"/>
      <c r="JJ116" s="23"/>
      <c r="JK116" s="23"/>
      <c r="JL116" s="23"/>
      <c r="JM116" s="23"/>
      <c r="JN116" s="23"/>
      <c r="JO116" s="23"/>
      <c r="JP116" s="23"/>
      <c r="JQ116" s="23"/>
      <c r="JR116" s="23"/>
      <c r="JS116" s="23"/>
      <c r="JT116" s="23"/>
      <c r="JU116" s="23"/>
      <c r="JV116" s="23"/>
      <c r="JW116" s="23"/>
      <c r="JX116" s="23"/>
      <c r="JY116" s="23"/>
      <c r="JZ116" s="23"/>
      <c r="KA116" s="23"/>
      <c r="KB116" s="23"/>
      <c r="KC116" s="23"/>
      <c r="KD116" s="23"/>
      <c r="KE116" s="23"/>
      <c r="KF116" s="23"/>
      <c r="KG116" s="23"/>
      <c r="KH116" s="23"/>
      <c r="KI116" s="23"/>
      <c r="KJ116" s="23"/>
      <c r="KK116" s="23"/>
      <c r="KL116" s="23"/>
      <c r="KM116" s="23"/>
      <c r="KN116" s="23"/>
      <c r="KO116" s="23"/>
      <c r="KP116" s="23"/>
      <c r="KQ116" s="23"/>
      <c r="KR116" s="23"/>
      <c r="KS116" s="23"/>
      <c r="KT116" s="23"/>
      <c r="KU116" s="23"/>
      <c r="KV116" s="23"/>
      <c r="KW116" s="23"/>
      <c r="KX116" s="23"/>
      <c r="KY116" s="23"/>
      <c r="KZ116" s="23"/>
      <c r="LA116" s="23"/>
      <c r="LB116" s="23"/>
      <c r="LC116" s="23"/>
      <c r="LD116" s="23"/>
      <c r="LE116" s="23"/>
      <c r="LF116" s="23"/>
      <c r="LG116" s="23"/>
      <c r="LH116" s="23"/>
      <c r="LI116" s="23"/>
      <c r="LJ116" s="23"/>
      <c r="LK116" s="23"/>
      <c r="LL116" s="23"/>
      <c r="LM116" s="23"/>
      <c r="LN116" s="23"/>
      <c r="LO116" s="23"/>
    </row>
    <row r="117" spans="1:327">
      <c r="A117" s="390"/>
      <c r="B117" s="23"/>
      <c r="C117" s="391"/>
      <c r="D117" s="391"/>
      <c r="E117" s="23"/>
      <c r="F117" s="23"/>
      <c r="G117" s="392"/>
      <c r="H117" s="392"/>
      <c r="I117" s="392"/>
      <c r="J117" s="392"/>
      <c r="K117" s="392"/>
      <c r="L117" s="392"/>
      <c r="M117" s="392"/>
      <c r="N117" s="23"/>
      <c r="O117" s="39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  <c r="IZ117" s="23"/>
      <c r="JA117" s="23"/>
      <c r="JB117" s="23"/>
      <c r="JC117" s="23"/>
      <c r="JD117" s="23"/>
      <c r="JE117" s="23"/>
      <c r="JF117" s="23"/>
      <c r="JG117" s="23"/>
      <c r="JH117" s="23"/>
      <c r="JI117" s="23"/>
      <c r="JJ117" s="23"/>
      <c r="JK117" s="23"/>
      <c r="JL117" s="23"/>
      <c r="JM117" s="23"/>
      <c r="JN117" s="23"/>
      <c r="JO117" s="23"/>
      <c r="JP117" s="23"/>
      <c r="JQ117" s="23"/>
      <c r="JR117" s="23"/>
      <c r="JS117" s="23"/>
      <c r="JT117" s="23"/>
      <c r="JU117" s="23"/>
      <c r="JV117" s="23"/>
      <c r="JW117" s="23"/>
      <c r="JX117" s="23"/>
      <c r="JY117" s="23"/>
      <c r="JZ117" s="23"/>
      <c r="KA117" s="23"/>
      <c r="KB117" s="23"/>
      <c r="KC117" s="23"/>
      <c r="KD117" s="23"/>
      <c r="KE117" s="23"/>
      <c r="KF117" s="23"/>
      <c r="KG117" s="23"/>
      <c r="KH117" s="23"/>
      <c r="KI117" s="23"/>
      <c r="KJ117" s="23"/>
      <c r="KK117" s="23"/>
      <c r="KL117" s="23"/>
      <c r="KM117" s="23"/>
      <c r="KN117" s="23"/>
      <c r="KO117" s="23"/>
      <c r="KP117" s="23"/>
      <c r="KQ117" s="23"/>
      <c r="KR117" s="23"/>
      <c r="KS117" s="23"/>
      <c r="KT117" s="23"/>
      <c r="KU117" s="23"/>
      <c r="KV117" s="23"/>
      <c r="KW117" s="23"/>
      <c r="KX117" s="23"/>
      <c r="KY117" s="23"/>
      <c r="KZ117" s="23"/>
      <c r="LA117" s="23"/>
      <c r="LB117" s="23"/>
      <c r="LC117" s="23"/>
      <c r="LD117" s="23"/>
      <c r="LE117" s="23"/>
      <c r="LF117" s="23"/>
      <c r="LG117" s="23"/>
      <c r="LH117" s="23"/>
      <c r="LI117" s="23"/>
      <c r="LJ117" s="23"/>
      <c r="LK117" s="23"/>
      <c r="LL117" s="23"/>
      <c r="LM117" s="23"/>
      <c r="LN117" s="23"/>
      <c r="LO117" s="23"/>
    </row>
    <row r="118" spans="1:327">
      <c r="A118" s="390"/>
      <c r="B118" s="23"/>
      <c r="C118" s="391"/>
      <c r="D118" s="391"/>
      <c r="E118" s="23"/>
      <c r="F118" s="23"/>
      <c r="G118" s="392"/>
      <c r="H118" s="392"/>
      <c r="I118" s="392"/>
      <c r="J118" s="392"/>
      <c r="K118" s="392"/>
      <c r="L118" s="392"/>
      <c r="M118" s="392"/>
      <c r="N118" s="23"/>
      <c r="O118" s="39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  <c r="IZ118" s="23"/>
      <c r="JA118" s="23"/>
      <c r="JB118" s="23"/>
      <c r="JC118" s="23"/>
      <c r="JD118" s="23"/>
      <c r="JE118" s="23"/>
      <c r="JF118" s="23"/>
      <c r="JG118" s="23"/>
      <c r="JH118" s="23"/>
      <c r="JI118" s="23"/>
      <c r="JJ118" s="23"/>
      <c r="JK118" s="23"/>
      <c r="JL118" s="23"/>
      <c r="JM118" s="23"/>
      <c r="JN118" s="23"/>
      <c r="JO118" s="23"/>
      <c r="JP118" s="23"/>
      <c r="JQ118" s="23"/>
      <c r="JR118" s="23"/>
      <c r="JS118" s="23"/>
      <c r="JT118" s="23"/>
      <c r="JU118" s="23"/>
      <c r="JV118" s="23"/>
      <c r="JW118" s="23"/>
      <c r="JX118" s="23"/>
      <c r="JY118" s="23"/>
      <c r="JZ118" s="23"/>
      <c r="KA118" s="23"/>
      <c r="KB118" s="23"/>
      <c r="KC118" s="23"/>
      <c r="KD118" s="23"/>
      <c r="KE118" s="23"/>
      <c r="KF118" s="23"/>
      <c r="KG118" s="23"/>
      <c r="KH118" s="23"/>
      <c r="KI118" s="23"/>
      <c r="KJ118" s="23"/>
      <c r="KK118" s="23"/>
      <c r="KL118" s="23"/>
      <c r="KM118" s="23"/>
      <c r="KN118" s="23"/>
      <c r="KO118" s="23"/>
      <c r="KP118" s="23"/>
      <c r="KQ118" s="23"/>
      <c r="KR118" s="23"/>
      <c r="KS118" s="23"/>
      <c r="KT118" s="23"/>
      <c r="KU118" s="23"/>
      <c r="KV118" s="23"/>
      <c r="KW118" s="23"/>
      <c r="KX118" s="23"/>
      <c r="KY118" s="23"/>
      <c r="KZ118" s="23"/>
      <c r="LA118" s="23"/>
      <c r="LB118" s="23"/>
      <c r="LC118" s="23"/>
      <c r="LD118" s="23"/>
      <c r="LE118" s="23"/>
      <c r="LF118" s="23"/>
      <c r="LG118" s="23"/>
      <c r="LH118" s="23"/>
      <c r="LI118" s="23"/>
      <c r="LJ118" s="23"/>
      <c r="LK118" s="23"/>
      <c r="LL118" s="23"/>
      <c r="LM118" s="23"/>
      <c r="LN118" s="23"/>
      <c r="LO118" s="23"/>
    </row>
    <row r="119" spans="1:327">
      <c r="A119" s="390"/>
      <c r="B119" s="23"/>
      <c r="C119" s="391"/>
      <c r="D119" s="391"/>
      <c r="E119" s="23"/>
      <c r="F119" s="23"/>
      <c r="G119" s="392"/>
      <c r="H119" s="392"/>
      <c r="I119" s="392"/>
      <c r="J119" s="392"/>
      <c r="K119" s="392"/>
      <c r="L119" s="392"/>
      <c r="M119" s="392"/>
      <c r="N119" s="23"/>
      <c r="O119" s="39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  <c r="IZ119" s="23"/>
      <c r="JA119" s="23"/>
      <c r="JB119" s="23"/>
      <c r="JC119" s="23"/>
      <c r="JD119" s="23"/>
      <c r="JE119" s="23"/>
      <c r="JF119" s="23"/>
      <c r="JG119" s="23"/>
      <c r="JH119" s="23"/>
      <c r="JI119" s="23"/>
      <c r="JJ119" s="23"/>
      <c r="JK119" s="23"/>
      <c r="JL119" s="23"/>
      <c r="JM119" s="23"/>
      <c r="JN119" s="23"/>
      <c r="JO119" s="23"/>
      <c r="JP119" s="23"/>
      <c r="JQ119" s="23"/>
      <c r="JR119" s="23"/>
      <c r="JS119" s="23"/>
      <c r="JT119" s="23"/>
      <c r="JU119" s="23"/>
      <c r="JV119" s="23"/>
      <c r="JW119" s="23"/>
      <c r="JX119" s="23"/>
      <c r="JY119" s="23"/>
      <c r="JZ119" s="23"/>
      <c r="KA119" s="23"/>
      <c r="KB119" s="23"/>
      <c r="KC119" s="23"/>
      <c r="KD119" s="23"/>
      <c r="KE119" s="23"/>
      <c r="KF119" s="23"/>
      <c r="KG119" s="23"/>
      <c r="KH119" s="23"/>
      <c r="KI119" s="23"/>
      <c r="KJ119" s="23"/>
      <c r="KK119" s="23"/>
      <c r="KL119" s="23"/>
      <c r="KM119" s="23"/>
      <c r="KN119" s="23"/>
      <c r="KO119" s="23"/>
      <c r="KP119" s="23"/>
      <c r="KQ119" s="23"/>
      <c r="KR119" s="23"/>
      <c r="KS119" s="23"/>
      <c r="KT119" s="23"/>
      <c r="KU119" s="23"/>
      <c r="KV119" s="23"/>
      <c r="KW119" s="23"/>
      <c r="KX119" s="23"/>
      <c r="KY119" s="23"/>
      <c r="KZ119" s="23"/>
      <c r="LA119" s="23"/>
      <c r="LB119" s="23"/>
      <c r="LC119" s="23"/>
      <c r="LD119" s="23"/>
      <c r="LE119" s="23"/>
      <c r="LF119" s="23"/>
      <c r="LG119" s="23"/>
      <c r="LH119" s="23"/>
      <c r="LI119" s="23"/>
      <c r="LJ119" s="23"/>
      <c r="LK119" s="23"/>
      <c r="LL119" s="23"/>
      <c r="LM119" s="23"/>
      <c r="LN119" s="23"/>
      <c r="LO119" s="23"/>
    </row>
    <row r="120" spans="1:327">
      <c r="A120" s="390"/>
      <c r="B120" s="23"/>
      <c r="C120" s="391"/>
      <c r="D120" s="391"/>
      <c r="E120" s="23"/>
      <c r="F120" s="23"/>
      <c r="G120" s="392"/>
      <c r="H120" s="392"/>
      <c r="I120" s="392"/>
      <c r="J120" s="392"/>
      <c r="K120" s="392"/>
      <c r="L120" s="392"/>
      <c r="M120" s="392"/>
      <c r="N120" s="23"/>
      <c r="O120" s="39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  <c r="IZ120" s="23"/>
      <c r="JA120" s="23"/>
      <c r="JB120" s="23"/>
      <c r="JC120" s="23"/>
      <c r="JD120" s="23"/>
      <c r="JE120" s="23"/>
      <c r="JF120" s="23"/>
      <c r="JG120" s="23"/>
      <c r="JH120" s="23"/>
      <c r="JI120" s="23"/>
      <c r="JJ120" s="23"/>
      <c r="JK120" s="23"/>
      <c r="JL120" s="23"/>
      <c r="JM120" s="23"/>
      <c r="JN120" s="23"/>
      <c r="JO120" s="23"/>
      <c r="JP120" s="23"/>
      <c r="JQ120" s="23"/>
      <c r="JR120" s="23"/>
      <c r="JS120" s="23"/>
      <c r="JT120" s="23"/>
      <c r="JU120" s="23"/>
      <c r="JV120" s="23"/>
      <c r="JW120" s="23"/>
      <c r="JX120" s="23"/>
      <c r="JY120" s="23"/>
      <c r="JZ120" s="23"/>
      <c r="KA120" s="23"/>
      <c r="KB120" s="23"/>
      <c r="KC120" s="23"/>
      <c r="KD120" s="23"/>
      <c r="KE120" s="23"/>
      <c r="KF120" s="23"/>
      <c r="KG120" s="23"/>
      <c r="KH120" s="23"/>
      <c r="KI120" s="23"/>
      <c r="KJ120" s="23"/>
      <c r="KK120" s="23"/>
      <c r="KL120" s="23"/>
      <c r="KM120" s="23"/>
      <c r="KN120" s="23"/>
      <c r="KO120" s="23"/>
      <c r="KP120" s="23"/>
      <c r="KQ120" s="23"/>
      <c r="KR120" s="23"/>
      <c r="KS120" s="23"/>
      <c r="KT120" s="23"/>
      <c r="KU120" s="23"/>
      <c r="KV120" s="23"/>
      <c r="KW120" s="23"/>
      <c r="KX120" s="23"/>
      <c r="KY120" s="23"/>
      <c r="KZ120" s="23"/>
      <c r="LA120" s="23"/>
      <c r="LB120" s="23"/>
      <c r="LC120" s="23"/>
      <c r="LD120" s="23"/>
      <c r="LE120" s="23"/>
      <c r="LF120" s="23"/>
      <c r="LG120" s="23"/>
      <c r="LH120" s="23"/>
      <c r="LI120" s="23"/>
      <c r="LJ120" s="23"/>
      <c r="LK120" s="23"/>
      <c r="LL120" s="23"/>
      <c r="LM120" s="23"/>
      <c r="LN120" s="23"/>
      <c r="LO120" s="23"/>
    </row>
    <row r="121" spans="1:327">
      <c r="A121" s="390"/>
      <c r="B121" s="23"/>
      <c r="C121" s="391"/>
      <c r="D121" s="391"/>
      <c r="E121" s="23"/>
      <c r="F121" s="23"/>
      <c r="G121" s="392"/>
      <c r="H121" s="392"/>
      <c r="I121" s="392"/>
      <c r="J121" s="392"/>
      <c r="K121" s="392"/>
      <c r="L121" s="392"/>
      <c r="M121" s="392"/>
      <c r="N121" s="23"/>
      <c r="O121" s="39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  <c r="IZ121" s="23"/>
      <c r="JA121" s="23"/>
      <c r="JB121" s="23"/>
      <c r="JC121" s="23"/>
      <c r="JD121" s="23"/>
      <c r="JE121" s="23"/>
      <c r="JF121" s="23"/>
      <c r="JG121" s="23"/>
      <c r="JH121" s="23"/>
      <c r="JI121" s="23"/>
      <c r="JJ121" s="23"/>
      <c r="JK121" s="23"/>
      <c r="JL121" s="23"/>
      <c r="JM121" s="23"/>
      <c r="JN121" s="23"/>
      <c r="JO121" s="23"/>
      <c r="JP121" s="23"/>
      <c r="JQ121" s="23"/>
      <c r="JR121" s="23"/>
      <c r="JS121" s="23"/>
      <c r="JT121" s="23"/>
      <c r="JU121" s="23"/>
      <c r="JV121" s="23"/>
      <c r="JW121" s="23"/>
      <c r="JX121" s="23"/>
      <c r="JY121" s="23"/>
      <c r="JZ121" s="23"/>
      <c r="KA121" s="23"/>
      <c r="KB121" s="23"/>
      <c r="KC121" s="23"/>
      <c r="KD121" s="23"/>
      <c r="KE121" s="23"/>
      <c r="KF121" s="23"/>
      <c r="KG121" s="23"/>
      <c r="KH121" s="23"/>
      <c r="KI121" s="23"/>
      <c r="KJ121" s="23"/>
      <c r="KK121" s="23"/>
      <c r="KL121" s="23"/>
      <c r="KM121" s="23"/>
      <c r="KN121" s="23"/>
      <c r="KO121" s="23"/>
      <c r="KP121" s="23"/>
      <c r="KQ121" s="23"/>
      <c r="KR121" s="23"/>
      <c r="KS121" s="23"/>
      <c r="KT121" s="23"/>
      <c r="KU121" s="23"/>
      <c r="KV121" s="23"/>
      <c r="KW121" s="23"/>
      <c r="KX121" s="23"/>
      <c r="KY121" s="23"/>
      <c r="KZ121" s="23"/>
      <c r="LA121" s="23"/>
      <c r="LB121" s="23"/>
      <c r="LC121" s="23"/>
      <c r="LD121" s="23"/>
      <c r="LE121" s="23"/>
      <c r="LF121" s="23"/>
      <c r="LG121" s="23"/>
      <c r="LH121" s="23"/>
      <c r="LI121" s="23"/>
      <c r="LJ121" s="23"/>
      <c r="LK121" s="23"/>
      <c r="LL121" s="23"/>
      <c r="LM121" s="23"/>
      <c r="LN121" s="23"/>
      <c r="LO121" s="23"/>
    </row>
    <row r="122" spans="1:327">
      <c r="A122" s="390"/>
      <c r="B122" s="23"/>
      <c r="C122" s="391"/>
      <c r="D122" s="391"/>
      <c r="E122" s="23"/>
      <c r="F122" s="23"/>
      <c r="G122" s="392"/>
      <c r="H122" s="392"/>
      <c r="I122" s="392"/>
      <c r="J122" s="392"/>
      <c r="K122" s="392"/>
      <c r="L122" s="392"/>
      <c r="M122" s="392"/>
      <c r="N122" s="23"/>
      <c r="O122" s="39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  <c r="IZ122" s="23"/>
      <c r="JA122" s="23"/>
      <c r="JB122" s="23"/>
      <c r="JC122" s="23"/>
      <c r="JD122" s="23"/>
      <c r="JE122" s="23"/>
      <c r="JF122" s="23"/>
      <c r="JG122" s="23"/>
      <c r="JH122" s="23"/>
      <c r="JI122" s="23"/>
      <c r="JJ122" s="23"/>
      <c r="JK122" s="23"/>
      <c r="JL122" s="23"/>
      <c r="JM122" s="23"/>
      <c r="JN122" s="23"/>
      <c r="JO122" s="23"/>
      <c r="JP122" s="23"/>
      <c r="JQ122" s="23"/>
      <c r="JR122" s="23"/>
      <c r="JS122" s="23"/>
      <c r="JT122" s="23"/>
      <c r="JU122" s="23"/>
      <c r="JV122" s="23"/>
      <c r="JW122" s="23"/>
      <c r="JX122" s="23"/>
      <c r="JY122" s="23"/>
      <c r="JZ122" s="23"/>
      <c r="KA122" s="23"/>
      <c r="KB122" s="23"/>
      <c r="KC122" s="23"/>
      <c r="KD122" s="23"/>
      <c r="KE122" s="23"/>
      <c r="KF122" s="23"/>
      <c r="KG122" s="23"/>
      <c r="KH122" s="23"/>
      <c r="KI122" s="23"/>
      <c r="KJ122" s="23"/>
      <c r="KK122" s="23"/>
      <c r="KL122" s="23"/>
      <c r="KM122" s="23"/>
      <c r="KN122" s="23"/>
      <c r="KO122" s="23"/>
      <c r="KP122" s="23"/>
      <c r="KQ122" s="23"/>
      <c r="KR122" s="23"/>
      <c r="KS122" s="23"/>
      <c r="KT122" s="23"/>
      <c r="KU122" s="23"/>
      <c r="KV122" s="23"/>
      <c r="KW122" s="23"/>
      <c r="KX122" s="23"/>
      <c r="KY122" s="23"/>
      <c r="KZ122" s="23"/>
      <c r="LA122" s="23"/>
      <c r="LB122" s="23"/>
      <c r="LC122" s="23"/>
      <c r="LD122" s="23"/>
      <c r="LE122" s="23"/>
      <c r="LF122" s="23"/>
      <c r="LG122" s="23"/>
      <c r="LH122" s="23"/>
      <c r="LI122" s="23"/>
      <c r="LJ122" s="23"/>
      <c r="LK122" s="23"/>
      <c r="LL122" s="23"/>
      <c r="LM122" s="23"/>
      <c r="LN122" s="23"/>
      <c r="LO122" s="23"/>
    </row>
    <row r="123" spans="1:327">
      <c r="A123" s="390"/>
      <c r="B123" s="23"/>
      <c r="C123" s="391"/>
      <c r="D123" s="391"/>
      <c r="E123" s="23"/>
      <c r="F123" s="23"/>
      <c r="G123" s="392"/>
      <c r="H123" s="392"/>
      <c r="I123" s="392"/>
      <c r="J123" s="392"/>
      <c r="K123" s="392"/>
      <c r="L123" s="392"/>
      <c r="M123" s="392"/>
      <c r="N123" s="23"/>
      <c r="O123" s="39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  <c r="IZ123" s="23"/>
      <c r="JA123" s="23"/>
      <c r="JB123" s="23"/>
      <c r="JC123" s="23"/>
      <c r="JD123" s="23"/>
      <c r="JE123" s="23"/>
      <c r="JF123" s="23"/>
      <c r="JG123" s="23"/>
      <c r="JH123" s="23"/>
      <c r="JI123" s="23"/>
      <c r="JJ123" s="23"/>
      <c r="JK123" s="23"/>
      <c r="JL123" s="23"/>
      <c r="JM123" s="23"/>
      <c r="JN123" s="23"/>
      <c r="JO123" s="23"/>
      <c r="JP123" s="23"/>
      <c r="JQ123" s="23"/>
      <c r="JR123" s="23"/>
      <c r="JS123" s="23"/>
      <c r="JT123" s="23"/>
      <c r="JU123" s="23"/>
      <c r="JV123" s="23"/>
      <c r="JW123" s="23"/>
      <c r="JX123" s="23"/>
      <c r="JY123" s="23"/>
      <c r="JZ123" s="23"/>
      <c r="KA123" s="23"/>
      <c r="KB123" s="23"/>
      <c r="KC123" s="23"/>
      <c r="KD123" s="23"/>
      <c r="KE123" s="23"/>
      <c r="KF123" s="23"/>
      <c r="KG123" s="23"/>
      <c r="KH123" s="23"/>
      <c r="KI123" s="23"/>
      <c r="KJ123" s="23"/>
      <c r="KK123" s="23"/>
      <c r="KL123" s="23"/>
      <c r="KM123" s="23"/>
      <c r="KN123" s="23"/>
      <c r="KO123" s="23"/>
      <c r="KP123" s="23"/>
      <c r="KQ123" s="23"/>
      <c r="KR123" s="23"/>
      <c r="KS123" s="23"/>
      <c r="KT123" s="23"/>
      <c r="KU123" s="23"/>
      <c r="KV123" s="23"/>
      <c r="KW123" s="23"/>
      <c r="KX123" s="23"/>
      <c r="KY123" s="23"/>
      <c r="KZ123" s="23"/>
      <c r="LA123" s="23"/>
      <c r="LB123" s="23"/>
      <c r="LC123" s="23"/>
      <c r="LD123" s="23"/>
      <c r="LE123" s="23"/>
      <c r="LF123" s="23"/>
      <c r="LG123" s="23"/>
      <c r="LH123" s="23"/>
      <c r="LI123" s="23"/>
      <c r="LJ123" s="23"/>
      <c r="LK123" s="23"/>
      <c r="LL123" s="23"/>
      <c r="LM123" s="23"/>
      <c r="LN123" s="23"/>
      <c r="LO123" s="23"/>
    </row>
    <row r="124" spans="1:327">
      <c r="A124" s="390"/>
      <c r="B124" s="23"/>
      <c r="C124" s="391"/>
      <c r="D124" s="391"/>
      <c r="E124" s="23"/>
      <c r="F124" s="23"/>
      <c r="G124" s="392"/>
      <c r="H124" s="392"/>
      <c r="I124" s="392"/>
      <c r="J124" s="392"/>
      <c r="K124" s="392"/>
      <c r="L124" s="392"/>
      <c r="M124" s="392"/>
      <c r="N124" s="23"/>
      <c r="O124" s="39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  <c r="IZ124" s="23"/>
      <c r="JA124" s="23"/>
      <c r="JB124" s="23"/>
      <c r="JC124" s="23"/>
      <c r="JD124" s="23"/>
      <c r="JE124" s="23"/>
      <c r="JF124" s="23"/>
      <c r="JG124" s="23"/>
      <c r="JH124" s="23"/>
      <c r="JI124" s="23"/>
      <c r="JJ124" s="23"/>
      <c r="JK124" s="23"/>
      <c r="JL124" s="23"/>
      <c r="JM124" s="23"/>
      <c r="JN124" s="23"/>
      <c r="JO124" s="23"/>
      <c r="JP124" s="23"/>
      <c r="JQ124" s="23"/>
      <c r="JR124" s="23"/>
      <c r="JS124" s="23"/>
      <c r="JT124" s="23"/>
      <c r="JU124" s="23"/>
      <c r="JV124" s="23"/>
      <c r="JW124" s="23"/>
      <c r="JX124" s="23"/>
      <c r="JY124" s="23"/>
      <c r="JZ124" s="23"/>
      <c r="KA124" s="23"/>
      <c r="KB124" s="23"/>
      <c r="KC124" s="23"/>
      <c r="KD124" s="23"/>
      <c r="KE124" s="23"/>
      <c r="KF124" s="23"/>
      <c r="KG124" s="23"/>
      <c r="KH124" s="23"/>
      <c r="KI124" s="23"/>
      <c r="KJ124" s="23"/>
      <c r="KK124" s="23"/>
      <c r="KL124" s="23"/>
      <c r="KM124" s="23"/>
      <c r="KN124" s="23"/>
      <c r="KO124" s="23"/>
      <c r="KP124" s="23"/>
      <c r="KQ124" s="23"/>
      <c r="KR124" s="23"/>
      <c r="KS124" s="23"/>
      <c r="KT124" s="23"/>
      <c r="KU124" s="23"/>
      <c r="KV124" s="23"/>
      <c r="KW124" s="23"/>
      <c r="KX124" s="23"/>
      <c r="KY124" s="23"/>
      <c r="KZ124" s="23"/>
      <c r="LA124" s="23"/>
      <c r="LB124" s="23"/>
      <c r="LC124" s="23"/>
      <c r="LD124" s="23"/>
      <c r="LE124" s="23"/>
      <c r="LF124" s="23"/>
      <c r="LG124" s="23"/>
      <c r="LH124" s="23"/>
      <c r="LI124" s="23"/>
      <c r="LJ124" s="23"/>
      <c r="LK124" s="23"/>
      <c r="LL124" s="23"/>
      <c r="LM124" s="23"/>
      <c r="LN124" s="23"/>
      <c r="LO124" s="23"/>
    </row>
    <row r="125" spans="1:327">
      <c r="A125" s="390"/>
      <c r="B125" s="23"/>
      <c r="C125" s="391"/>
      <c r="D125" s="391"/>
      <c r="E125" s="23"/>
      <c r="F125" s="23"/>
      <c r="G125" s="392"/>
      <c r="H125" s="392"/>
      <c r="I125" s="392"/>
      <c r="J125" s="392"/>
      <c r="K125" s="392"/>
      <c r="L125" s="392"/>
      <c r="M125" s="392"/>
      <c r="N125" s="23"/>
      <c r="O125" s="39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  <c r="IZ125" s="23"/>
      <c r="JA125" s="23"/>
      <c r="JB125" s="23"/>
      <c r="JC125" s="23"/>
      <c r="JD125" s="23"/>
      <c r="JE125" s="23"/>
      <c r="JF125" s="23"/>
      <c r="JG125" s="23"/>
      <c r="JH125" s="23"/>
      <c r="JI125" s="23"/>
      <c r="JJ125" s="23"/>
      <c r="JK125" s="23"/>
      <c r="JL125" s="23"/>
      <c r="JM125" s="23"/>
      <c r="JN125" s="23"/>
      <c r="JO125" s="23"/>
      <c r="JP125" s="23"/>
      <c r="JQ125" s="23"/>
      <c r="JR125" s="23"/>
      <c r="JS125" s="23"/>
      <c r="JT125" s="23"/>
      <c r="JU125" s="23"/>
      <c r="JV125" s="23"/>
      <c r="JW125" s="23"/>
      <c r="JX125" s="23"/>
      <c r="JY125" s="23"/>
      <c r="JZ125" s="23"/>
      <c r="KA125" s="23"/>
      <c r="KB125" s="23"/>
      <c r="KC125" s="23"/>
      <c r="KD125" s="23"/>
      <c r="KE125" s="23"/>
      <c r="KF125" s="23"/>
      <c r="KG125" s="23"/>
      <c r="KH125" s="23"/>
      <c r="KI125" s="23"/>
      <c r="KJ125" s="23"/>
      <c r="KK125" s="23"/>
      <c r="KL125" s="23"/>
      <c r="KM125" s="23"/>
      <c r="KN125" s="23"/>
      <c r="KO125" s="23"/>
      <c r="KP125" s="23"/>
      <c r="KQ125" s="23"/>
      <c r="KR125" s="23"/>
      <c r="KS125" s="23"/>
      <c r="KT125" s="23"/>
      <c r="KU125" s="23"/>
      <c r="KV125" s="23"/>
      <c r="KW125" s="23"/>
      <c r="KX125" s="23"/>
      <c r="KY125" s="23"/>
      <c r="KZ125" s="23"/>
      <c r="LA125" s="23"/>
      <c r="LB125" s="23"/>
      <c r="LC125" s="23"/>
      <c r="LD125" s="23"/>
      <c r="LE125" s="23"/>
      <c r="LF125" s="23"/>
      <c r="LG125" s="23"/>
      <c r="LH125" s="23"/>
      <c r="LI125" s="23"/>
      <c r="LJ125" s="23"/>
      <c r="LK125" s="23"/>
      <c r="LL125" s="23"/>
      <c r="LM125" s="23"/>
      <c r="LN125" s="23"/>
      <c r="LO125" s="23"/>
    </row>
    <row r="126" spans="1:327">
      <c r="A126" s="390"/>
      <c r="B126" s="23"/>
      <c r="C126" s="391"/>
      <c r="D126" s="391"/>
      <c r="E126" s="23"/>
      <c r="F126" s="23"/>
      <c r="G126" s="392"/>
      <c r="H126" s="392"/>
      <c r="I126" s="392"/>
      <c r="J126" s="392"/>
      <c r="K126" s="392"/>
      <c r="L126" s="392"/>
      <c r="M126" s="392"/>
      <c r="N126" s="23"/>
      <c r="O126" s="39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  <c r="IZ126" s="23"/>
      <c r="JA126" s="23"/>
      <c r="JB126" s="23"/>
      <c r="JC126" s="23"/>
      <c r="JD126" s="23"/>
      <c r="JE126" s="23"/>
      <c r="JF126" s="23"/>
      <c r="JG126" s="23"/>
      <c r="JH126" s="23"/>
      <c r="JI126" s="23"/>
      <c r="JJ126" s="23"/>
      <c r="JK126" s="23"/>
      <c r="JL126" s="23"/>
      <c r="JM126" s="23"/>
      <c r="JN126" s="23"/>
      <c r="JO126" s="23"/>
      <c r="JP126" s="23"/>
      <c r="JQ126" s="23"/>
      <c r="JR126" s="23"/>
      <c r="JS126" s="23"/>
      <c r="JT126" s="23"/>
      <c r="JU126" s="23"/>
      <c r="JV126" s="23"/>
      <c r="JW126" s="23"/>
      <c r="JX126" s="23"/>
      <c r="JY126" s="23"/>
      <c r="JZ126" s="23"/>
      <c r="KA126" s="23"/>
      <c r="KB126" s="23"/>
      <c r="KC126" s="23"/>
      <c r="KD126" s="23"/>
      <c r="KE126" s="23"/>
      <c r="KF126" s="23"/>
      <c r="KG126" s="23"/>
      <c r="KH126" s="23"/>
      <c r="KI126" s="23"/>
      <c r="KJ126" s="23"/>
      <c r="KK126" s="23"/>
      <c r="KL126" s="23"/>
      <c r="KM126" s="23"/>
      <c r="KN126" s="23"/>
      <c r="KO126" s="23"/>
      <c r="KP126" s="23"/>
      <c r="KQ126" s="23"/>
      <c r="KR126" s="23"/>
      <c r="KS126" s="23"/>
      <c r="KT126" s="23"/>
      <c r="KU126" s="23"/>
      <c r="KV126" s="23"/>
      <c r="KW126" s="23"/>
      <c r="KX126" s="23"/>
      <c r="KY126" s="23"/>
      <c r="KZ126" s="23"/>
      <c r="LA126" s="23"/>
      <c r="LB126" s="23"/>
      <c r="LC126" s="23"/>
      <c r="LD126" s="23"/>
      <c r="LE126" s="23"/>
      <c r="LF126" s="23"/>
      <c r="LG126" s="23"/>
      <c r="LH126" s="23"/>
      <c r="LI126" s="23"/>
      <c r="LJ126" s="23"/>
      <c r="LK126" s="23"/>
      <c r="LL126" s="23"/>
      <c r="LM126" s="23"/>
      <c r="LN126" s="23"/>
      <c r="LO126" s="23"/>
    </row>
    <row r="127" spans="1:327">
      <c r="A127" s="390"/>
      <c r="B127" s="23"/>
      <c r="C127" s="391"/>
      <c r="D127" s="391"/>
      <c r="E127" s="23"/>
      <c r="F127" s="23"/>
      <c r="G127" s="392"/>
      <c r="H127" s="392"/>
      <c r="I127" s="392"/>
      <c r="J127" s="392"/>
      <c r="K127" s="392"/>
      <c r="L127" s="392"/>
      <c r="M127" s="392"/>
      <c r="N127" s="23"/>
      <c r="O127" s="39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  <c r="IZ127" s="23"/>
      <c r="JA127" s="23"/>
      <c r="JB127" s="23"/>
      <c r="JC127" s="23"/>
      <c r="JD127" s="23"/>
      <c r="JE127" s="23"/>
      <c r="JF127" s="23"/>
      <c r="JG127" s="23"/>
      <c r="JH127" s="23"/>
      <c r="JI127" s="23"/>
      <c r="JJ127" s="23"/>
      <c r="JK127" s="23"/>
      <c r="JL127" s="23"/>
      <c r="JM127" s="23"/>
      <c r="JN127" s="23"/>
      <c r="JO127" s="23"/>
      <c r="JP127" s="23"/>
      <c r="JQ127" s="23"/>
      <c r="JR127" s="23"/>
      <c r="JS127" s="23"/>
      <c r="JT127" s="23"/>
      <c r="JU127" s="23"/>
      <c r="JV127" s="23"/>
      <c r="JW127" s="23"/>
      <c r="JX127" s="23"/>
      <c r="JY127" s="23"/>
      <c r="JZ127" s="23"/>
      <c r="KA127" s="23"/>
      <c r="KB127" s="23"/>
      <c r="KC127" s="23"/>
      <c r="KD127" s="23"/>
      <c r="KE127" s="23"/>
      <c r="KF127" s="23"/>
      <c r="KG127" s="23"/>
      <c r="KH127" s="23"/>
      <c r="KI127" s="23"/>
      <c r="KJ127" s="23"/>
      <c r="KK127" s="23"/>
      <c r="KL127" s="23"/>
      <c r="KM127" s="23"/>
      <c r="KN127" s="23"/>
      <c r="KO127" s="23"/>
      <c r="KP127" s="23"/>
      <c r="KQ127" s="23"/>
      <c r="KR127" s="23"/>
      <c r="KS127" s="23"/>
      <c r="KT127" s="23"/>
      <c r="KU127" s="23"/>
      <c r="KV127" s="23"/>
      <c r="KW127" s="23"/>
      <c r="KX127" s="23"/>
      <c r="KY127" s="23"/>
      <c r="KZ127" s="23"/>
      <c r="LA127" s="23"/>
      <c r="LB127" s="23"/>
      <c r="LC127" s="23"/>
      <c r="LD127" s="23"/>
      <c r="LE127" s="23"/>
      <c r="LF127" s="23"/>
      <c r="LG127" s="23"/>
      <c r="LH127" s="23"/>
      <c r="LI127" s="23"/>
      <c r="LJ127" s="23"/>
      <c r="LK127" s="23"/>
      <c r="LL127" s="23"/>
      <c r="LM127" s="23"/>
      <c r="LN127" s="23"/>
      <c r="LO127" s="23"/>
    </row>
    <row r="128" spans="1:327">
      <c r="A128" s="390"/>
      <c r="B128" s="23"/>
      <c r="C128" s="391"/>
      <c r="D128" s="391"/>
      <c r="E128" s="23"/>
      <c r="F128" s="23"/>
      <c r="G128" s="392"/>
      <c r="H128" s="392"/>
      <c r="I128" s="392"/>
      <c r="J128" s="392"/>
      <c r="K128" s="392"/>
      <c r="L128" s="392"/>
      <c r="M128" s="392"/>
      <c r="N128" s="23"/>
      <c r="O128" s="39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  <c r="IZ128" s="23"/>
      <c r="JA128" s="23"/>
      <c r="JB128" s="23"/>
      <c r="JC128" s="23"/>
      <c r="JD128" s="23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/>
      <c r="JQ128" s="23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  <c r="KG128" s="23"/>
      <c r="KH128" s="23"/>
      <c r="KI128" s="23"/>
      <c r="KJ128" s="23"/>
      <c r="KK128" s="23"/>
      <c r="KL128" s="23"/>
      <c r="KM128" s="23"/>
      <c r="KN128" s="23"/>
      <c r="KO128" s="23"/>
      <c r="KP128" s="23"/>
      <c r="KQ128" s="23"/>
      <c r="KR128" s="23"/>
      <c r="KS128" s="23"/>
      <c r="KT128" s="23"/>
      <c r="KU128" s="23"/>
      <c r="KV128" s="23"/>
      <c r="KW128" s="23"/>
      <c r="KX128" s="23"/>
      <c r="KY128" s="23"/>
      <c r="KZ128" s="23"/>
      <c r="LA128" s="23"/>
      <c r="LB128" s="23"/>
      <c r="LC128" s="23"/>
      <c r="LD128" s="23"/>
      <c r="LE128" s="23"/>
      <c r="LF128" s="23"/>
      <c r="LG128" s="23"/>
      <c r="LH128" s="23"/>
      <c r="LI128" s="23"/>
      <c r="LJ128" s="23"/>
      <c r="LK128" s="23"/>
      <c r="LL128" s="23"/>
      <c r="LM128" s="23"/>
      <c r="LN128" s="23"/>
      <c r="LO128" s="23"/>
    </row>
    <row r="129" spans="1:327">
      <c r="A129" s="390"/>
      <c r="B129" s="23"/>
      <c r="C129" s="391"/>
      <c r="D129" s="391"/>
      <c r="E129" s="23"/>
      <c r="F129" s="23"/>
      <c r="G129" s="392"/>
      <c r="H129" s="392"/>
      <c r="I129" s="392"/>
      <c r="J129" s="392"/>
      <c r="K129" s="392"/>
      <c r="L129" s="392"/>
      <c r="M129" s="392"/>
      <c r="N129" s="23"/>
      <c r="O129" s="39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  <c r="IZ129" s="23"/>
      <c r="JA129" s="23"/>
      <c r="JB129" s="23"/>
      <c r="JC129" s="23"/>
      <c r="JD129" s="23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KH129" s="23"/>
      <c r="KI129" s="23"/>
      <c r="KJ129" s="23"/>
      <c r="KK129" s="23"/>
      <c r="KL129" s="23"/>
      <c r="KM129" s="23"/>
      <c r="KN129" s="23"/>
      <c r="KO129" s="23"/>
      <c r="KP129" s="23"/>
      <c r="KQ129" s="23"/>
      <c r="KR129" s="23"/>
      <c r="KS129" s="23"/>
      <c r="KT129" s="23"/>
      <c r="KU129" s="23"/>
      <c r="KV129" s="23"/>
      <c r="KW129" s="23"/>
      <c r="KX129" s="23"/>
      <c r="KY129" s="23"/>
      <c r="KZ129" s="23"/>
      <c r="LA129" s="23"/>
      <c r="LB129" s="23"/>
      <c r="LC129" s="23"/>
      <c r="LD129" s="23"/>
      <c r="LE129" s="23"/>
      <c r="LF129" s="23"/>
      <c r="LG129" s="23"/>
      <c r="LH129" s="23"/>
      <c r="LI129" s="23"/>
      <c r="LJ129" s="23"/>
      <c r="LK129" s="23"/>
      <c r="LL129" s="23"/>
      <c r="LM129" s="23"/>
      <c r="LN129" s="23"/>
      <c r="LO129" s="23"/>
    </row>
    <row r="130" spans="1:327">
      <c r="A130" s="390"/>
      <c r="B130" s="23"/>
      <c r="C130" s="391"/>
      <c r="D130" s="391"/>
      <c r="E130" s="23"/>
      <c r="F130" s="23"/>
      <c r="G130" s="392"/>
      <c r="H130" s="392"/>
      <c r="I130" s="392"/>
      <c r="J130" s="392"/>
      <c r="K130" s="392"/>
      <c r="L130" s="392"/>
      <c r="M130" s="392"/>
      <c r="N130" s="23"/>
      <c r="O130" s="39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  <c r="IZ130" s="23"/>
      <c r="JA130" s="23"/>
      <c r="JB130" s="23"/>
      <c r="JC130" s="23"/>
      <c r="JD130" s="23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KH130" s="23"/>
      <c r="KI130" s="23"/>
      <c r="KJ130" s="23"/>
      <c r="KK130" s="23"/>
      <c r="KL130" s="23"/>
      <c r="KM130" s="23"/>
      <c r="KN130" s="23"/>
      <c r="KO130" s="23"/>
      <c r="KP130" s="23"/>
      <c r="KQ130" s="23"/>
      <c r="KR130" s="23"/>
      <c r="KS130" s="23"/>
      <c r="KT130" s="23"/>
      <c r="KU130" s="23"/>
      <c r="KV130" s="23"/>
      <c r="KW130" s="23"/>
      <c r="KX130" s="23"/>
      <c r="KY130" s="23"/>
      <c r="KZ130" s="23"/>
      <c r="LA130" s="23"/>
      <c r="LB130" s="23"/>
      <c r="LC130" s="23"/>
      <c r="LD130" s="23"/>
      <c r="LE130" s="23"/>
      <c r="LF130" s="23"/>
      <c r="LG130" s="23"/>
      <c r="LH130" s="23"/>
      <c r="LI130" s="23"/>
      <c r="LJ130" s="23"/>
      <c r="LK130" s="23"/>
      <c r="LL130" s="23"/>
      <c r="LM130" s="23"/>
      <c r="LN130" s="23"/>
      <c r="LO130" s="23"/>
    </row>
    <row r="131" spans="1:327">
      <c r="A131" s="390"/>
      <c r="B131" s="23"/>
      <c r="C131" s="391"/>
      <c r="D131" s="391"/>
      <c r="E131" s="23"/>
      <c r="F131" s="23"/>
      <c r="G131" s="392"/>
      <c r="H131" s="392"/>
      <c r="I131" s="392"/>
      <c r="J131" s="392"/>
      <c r="K131" s="392"/>
      <c r="L131" s="392"/>
      <c r="M131" s="392"/>
      <c r="N131" s="23"/>
      <c r="O131" s="39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  <c r="IZ131" s="23"/>
      <c r="JA131" s="23"/>
      <c r="JB131" s="23"/>
      <c r="JC131" s="23"/>
      <c r="JD131" s="23"/>
      <c r="JE131" s="23"/>
      <c r="JF131" s="23"/>
      <c r="JG131" s="23"/>
      <c r="JH131" s="23"/>
      <c r="JI131" s="23"/>
      <c r="JJ131" s="23"/>
      <c r="JK131" s="23"/>
      <c r="JL131" s="23"/>
      <c r="JM131" s="23"/>
      <c r="JN131" s="23"/>
      <c r="JO131" s="23"/>
      <c r="JP131" s="23"/>
      <c r="JQ131" s="23"/>
      <c r="JR131" s="23"/>
      <c r="JS131" s="23"/>
      <c r="JT131" s="23"/>
      <c r="JU131" s="23"/>
      <c r="JV131" s="23"/>
      <c r="JW131" s="23"/>
      <c r="JX131" s="23"/>
      <c r="JY131" s="23"/>
      <c r="JZ131" s="23"/>
      <c r="KA131" s="23"/>
      <c r="KB131" s="23"/>
      <c r="KC131" s="23"/>
      <c r="KD131" s="23"/>
      <c r="KE131" s="23"/>
      <c r="KF131" s="23"/>
      <c r="KG131" s="23"/>
      <c r="KH131" s="23"/>
      <c r="KI131" s="23"/>
      <c r="KJ131" s="23"/>
      <c r="KK131" s="23"/>
      <c r="KL131" s="23"/>
      <c r="KM131" s="23"/>
      <c r="KN131" s="23"/>
      <c r="KO131" s="23"/>
      <c r="KP131" s="23"/>
      <c r="KQ131" s="23"/>
      <c r="KR131" s="23"/>
      <c r="KS131" s="23"/>
      <c r="KT131" s="23"/>
      <c r="KU131" s="23"/>
      <c r="KV131" s="23"/>
      <c r="KW131" s="23"/>
      <c r="KX131" s="23"/>
      <c r="KY131" s="23"/>
      <c r="KZ131" s="23"/>
      <c r="LA131" s="23"/>
      <c r="LB131" s="23"/>
      <c r="LC131" s="23"/>
      <c r="LD131" s="23"/>
      <c r="LE131" s="23"/>
      <c r="LF131" s="23"/>
      <c r="LG131" s="23"/>
      <c r="LH131" s="23"/>
      <c r="LI131" s="23"/>
      <c r="LJ131" s="23"/>
      <c r="LK131" s="23"/>
      <c r="LL131" s="23"/>
      <c r="LM131" s="23"/>
      <c r="LN131" s="23"/>
      <c r="LO131" s="23"/>
    </row>
    <row r="132" spans="1:327">
      <c r="A132" s="390"/>
      <c r="B132" s="23"/>
      <c r="C132" s="391"/>
      <c r="D132" s="391"/>
      <c r="E132" s="23"/>
      <c r="F132" s="23"/>
      <c r="G132" s="392"/>
      <c r="H132" s="392"/>
      <c r="I132" s="392"/>
      <c r="J132" s="392"/>
      <c r="K132" s="392"/>
      <c r="L132" s="392"/>
      <c r="M132" s="392"/>
      <c r="N132" s="23"/>
      <c r="O132" s="39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  <c r="IZ132" s="23"/>
      <c r="JA132" s="23"/>
      <c r="JB132" s="23"/>
      <c r="JC132" s="23"/>
      <c r="JD132" s="23"/>
      <c r="JE132" s="23"/>
      <c r="JF132" s="23"/>
      <c r="JG132" s="23"/>
      <c r="JH132" s="23"/>
      <c r="JI132" s="23"/>
      <c r="JJ132" s="23"/>
      <c r="JK132" s="23"/>
      <c r="JL132" s="23"/>
      <c r="JM132" s="23"/>
      <c r="JN132" s="23"/>
      <c r="JO132" s="23"/>
      <c r="JP132" s="23"/>
      <c r="JQ132" s="23"/>
      <c r="JR132" s="23"/>
      <c r="JS132" s="23"/>
      <c r="JT132" s="23"/>
      <c r="JU132" s="23"/>
      <c r="JV132" s="23"/>
      <c r="JW132" s="23"/>
      <c r="JX132" s="23"/>
      <c r="JY132" s="23"/>
      <c r="JZ132" s="23"/>
      <c r="KA132" s="23"/>
      <c r="KB132" s="23"/>
      <c r="KC132" s="23"/>
      <c r="KD132" s="23"/>
      <c r="KE132" s="23"/>
      <c r="KF132" s="23"/>
      <c r="KG132" s="23"/>
      <c r="KH132" s="23"/>
      <c r="KI132" s="23"/>
      <c r="KJ132" s="23"/>
      <c r="KK132" s="23"/>
      <c r="KL132" s="23"/>
      <c r="KM132" s="23"/>
      <c r="KN132" s="23"/>
      <c r="KO132" s="23"/>
      <c r="KP132" s="23"/>
      <c r="KQ132" s="23"/>
      <c r="KR132" s="23"/>
      <c r="KS132" s="23"/>
      <c r="KT132" s="23"/>
      <c r="KU132" s="23"/>
      <c r="KV132" s="23"/>
      <c r="KW132" s="23"/>
      <c r="KX132" s="23"/>
      <c r="KY132" s="23"/>
      <c r="KZ132" s="23"/>
      <c r="LA132" s="23"/>
      <c r="LB132" s="23"/>
      <c r="LC132" s="23"/>
      <c r="LD132" s="23"/>
      <c r="LE132" s="23"/>
      <c r="LF132" s="23"/>
      <c r="LG132" s="23"/>
      <c r="LH132" s="23"/>
      <c r="LI132" s="23"/>
      <c r="LJ132" s="23"/>
      <c r="LK132" s="23"/>
      <c r="LL132" s="23"/>
      <c r="LM132" s="23"/>
      <c r="LN132" s="23"/>
      <c r="LO132" s="23"/>
    </row>
    <row r="133" spans="1:327">
      <c r="A133" s="390"/>
      <c r="B133" s="23"/>
      <c r="C133" s="391"/>
      <c r="D133" s="391"/>
      <c r="E133" s="23"/>
      <c r="F133" s="23"/>
      <c r="G133" s="392"/>
      <c r="H133" s="392"/>
      <c r="I133" s="392"/>
      <c r="J133" s="392"/>
      <c r="K133" s="392"/>
      <c r="L133" s="392"/>
      <c r="M133" s="392"/>
      <c r="N133" s="23"/>
      <c r="O133" s="39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  <c r="IZ133" s="23"/>
      <c r="JA133" s="23"/>
      <c r="JB133" s="23"/>
      <c r="JC133" s="23"/>
      <c r="JD133" s="23"/>
      <c r="JE133" s="23"/>
      <c r="JF133" s="23"/>
      <c r="JG133" s="23"/>
      <c r="JH133" s="23"/>
      <c r="JI133" s="23"/>
      <c r="JJ133" s="23"/>
      <c r="JK133" s="23"/>
      <c r="JL133" s="23"/>
      <c r="JM133" s="23"/>
      <c r="JN133" s="23"/>
      <c r="JO133" s="23"/>
      <c r="JP133" s="23"/>
      <c r="JQ133" s="23"/>
      <c r="JR133" s="23"/>
      <c r="JS133" s="23"/>
      <c r="JT133" s="23"/>
      <c r="JU133" s="23"/>
      <c r="JV133" s="23"/>
      <c r="JW133" s="23"/>
      <c r="JX133" s="23"/>
      <c r="JY133" s="23"/>
      <c r="JZ133" s="23"/>
      <c r="KA133" s="23"/>
      <c r="KB133" s="23"/>
      <c r="KC133" s="23"/>
      <c r="KD133" s="23"/>
      <c r="KE133" s="23"/>
      <c r="KF133" s="23"/>
      <c r="KG133" s="23"/>
      <c r="KH133" s="23"/>
      <c r="KI133" s="23"/>
      <c r="KJ133" s="23"/>
      <c r="KK133" s="23"/>
      <c r="KL133" s="23"/>
      <c r="KM133" s="23"/>
      <c r="KN133" s="23"/>
      <c r="KO133" s="23"/>
      <c r="KP133" s="23"/>
      <c r="KQ133" s="23"/>
      <c r="KR133" s="23"/>
      <c r="KS133" s="23"/>
      <c r="KT133" s="23"/>
      <c r="KU133" s="23"/>
      <c r="KV133" s="23"/>
      <c r="KW133" s="23"/>
      <c r="KX133" s="23"/>
      <c r="KY133" s="23"/>
      <c r="KZ133" s="23"/>
      <c r="LA133" s="23"/>
      <c r="LB133" s="23"/>
      <c r="LC133" s="23"/>
      <c r="LD133" s="23"/>
      <c r="LE133" s="23"/>
      <c r="LF133" s="23"/>
      <c r="LG133" s="23"/>
      <c r="LH133" s="23"/>
      <c r="LI133" s="23"/>
      <c r="LJ133" s="23"/>
      <c r="LK133" s="23"/>
      <c r="LL133" s="23"/>
      <c r="LM133" s="23"/>
      <c r="LN133" s="23"/>
      <c r="LO133" s="23"/>
    </row>
    <row r="134" spans="1:327">
      <c r="A134" s="390"/>
      <c r="B134" s="23"/>
      <c r="C134" s="391"/>
      <c r="D134" s="391"/>
      <c r="E134" s="23"/>
      <c r="F134" s="23"/>
      <c r="G134" s="392"/>
      <c r="H134" s="392"/>
      <c r="I134" s="392"/>
      <c r="J134" s="392"/>
      <c r="K134" s="392"/>
      <c r="L134" s="392"/>
      <c r="M134" s="392"/>
      <c r="N134" s="23"/>
      <c r="O134" s="39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  <c r="IZ134" s="23"/>
      <c r="JA134" s="23"/>
      <c r="JB134" s="23"/>
      <c r="JC134" s="23"/>
      <c r="JD134" s="23"/>
      <c r="JE134" s="23"/>
      <c r="JF134" s="23"/>
      <c r="JG134" s="23"/>
      <c r="JH134" s="23"/>
      <c r="JI134" s="23"/>
      <c r="JJ134" s="23"/>
      <c r="JK134" s="23"/>
      <c r="JL134" s="23"/>
      <c r="JM134" s="23"/>
      <c r="JN134" s="23"/>
      <c r="JO134" s="23"/>
      <c r="JP134" s="23"/>
      <c r="JQ134" s="23"/>
      <c r="JR134" s="23"/>
      <c r="JS134" s="23"/>
      <c r="JT134" s="23"/>
      <c r="JU134" s="23"/>
      <c r="JV134" s="23"/>
      <c r="JW134" s="23"/>
      <c r="JX134" s="23"/>
      <c r="JY134" s="23"/>
      <c r="JZ134" s="23"/>
      <c r="KA134" s="23"/>
      <c r="KB134" s="23"/>
      <c r="KC134" s="23"/>
      <c r="KD134" s="23"/>
      <c r="KE134" s="23"/>
      <c r="KF134" s="23"/>
      <c r="KG134" s="23"/>
      <c r="KH134" s="23"/>
      <c r="KI134" s="23"/>
      <c r="KJ134" s="23"/>
      <c r="KK134" s="23"/>
      <c r="KL134" s="23"/>
      <c r="KM134" s="23"/>
      <c r="KN134" s="23"/>
      <c r="KO134" s="23"/>
      <c r="KP134" s="23"/>
      <c r="KQ134" s="23"/>
      <c r="KR134" s="23"/>
      <c r="KS134" s="23"/>
      <c r="KT134" s="23"/>
      <c r="KU134" s="23"/>
      <c r="KV134" s="23"/>
      <c r="KW134" s="23"/>
      <c r="KX134" s="23"/>
      <c r="KY134" s="23"/>
      <c r="KZ134" s="23"/>
      <c r="LA134" s="23"/>
      <c r="LB134" s="23"/>
      <c r="LC134" s="23"/>
      <c r="LD134" s="23"/>
      <c r="LE134" s="23"/>
      <c r="LF134" s="23"/>
      <c r="LG134" s="23"/>
      <c r="LH134" s="23"/>
      <c r="LI134" s="23"/>
      <c r="LJ134" s="23"/>
      <c r="LK134" s="23"/>
      <c r="LL134" s="23"/>
      <c r="LM134" s="23"/>
      <c r="LN134" s="23"/>
      <c r="LO134" s="23"/>
    </row>
    <row r="135" spans="1:327">
      <c r="A135" s="390"/>
      <c r="B135" s="23"/>
      <c r="C135" s="391"/>
      <c r="D135" s="391"/>
      <c r="E135" s="23"/>
      <c r="F135" s="23"/>
      <c r="G135" s="392"/>
      <c r="H135" s="392"/>
      <c r="I135" s="392"/>
      <c r="J135" s="392"/>
      <c r="K135" s="392"/>
      <c r="L135" s="392"/>
      <c r="M135" s="392"/>
      <c r="N135" s="23"/>
      <c r="O135" s="39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  <c r="IZ135" s="23"/>
      <c r="JA135" s="23"/>
      <c r="JB135" s="23"/>
      <c r="JC135" s="23"/>
      <c r="JD135" s="23"/>
      <c r="JE135" s="23"/>
      <c r="JF135" s="23"/>
      <c r="JG135" s="23"/>
      <c r="JH135" s="23"/>
      <c r="JI135" s="23"/>
      <c r="JJ135" s="23"/>
      <c r="JK135" s="23"/>
      <c r="JL135" s="23"/>
      <c r="JM135" s="23"/>
      <c r="JN135" s="23"/>
      <c r="JO135" s="23"/>
      <c r="JP135" s="23"/>
      <c r="JQ135" s="23"/>
      <c r="JR135" s="23"/>
      <c r="JS135" s="23"/>
      <c r="JT135" s="23"/>
      <c r="JU135" s="23"/>
      <c r="JV135" s="23"/>
      <c r="JW135" s="23"/>
      <c r="JX135" s="23"/>
      <c r="JY135" s="23"/>
      <c r="JZ135" s="23"/>
      <c r="KA135" s="23"/>
      <c r="KB135" s="23"/>
      <c r="KC135" s="23"/>
      <c r="KD135" s="23"/>
      <c r="KE135" s="23"/>
      <c r="KF135" s="23"/>
      <c r="KG135" s="23"/>
      <c r="KH135" s="23"/>
      <c r="KI135" s="23"/>
      <c r="KJ135" s="23"/>
      <c r="KK135" s="23"/>
      <c r="KL135" s="23"/>
      <c r="KM135" s="23"/>
      <c r="KN135" s="23"/>
      <c r="KO135" s="23"/>
      <c r="KP135" s="23"/>
      <c r="KQ135" s="23"/>
      <c r="KR135" s="23"/>
      <c r="KS135" s="23"/>
      <c r="KT135" s="23"/>
      <c r="KU135" s="23"/>
      <c r="KV135" s="23"/>
      <c r="KW135" s="23"/>
      <c r="KX135" s="23"/>
      <c r="KY135" s="23"/>
      <c r="KZ135" s="23"/>
      <c r="LA135" s="23"/>
      <c r="LB135" s="23"/>
      <c r="LC135" s="23"/>
      <c r="LD135" s="23"/>
      <c r="LE135" s="23"/>
      <c r="LF135" s="23"/>
      <c r="LG135" s="23"/>
      <c r="LH135" s="23"/>
      <c r="LI135" s="23"/>
      <c r="LJ135" s="23"/>
      <c r="LK135" s="23"/>
      <c r="LL135" s="23"/>
      <c r="LM135" s="23"/>
      <c r="LN135" s="23"/>
      <c r="LO135" s="23"/>
    </row>
    <row r="136" spans="1:327">
      <c r="A136" s="390"/>
      <c r="B136" s="23"/>
      <c r="C136" s="391"/>
      <c r="D136" s="391"/>
      <c r="E136" s="23"/>
      <c r="F136" s="23"/>
      <c r="G136" s="392"/>
      <c r="H136" s="392"/>
      <c r="I136" s="392"/>
      <c r="J136" s="392"/>
      <c r="K136" s="392"/>
      <c r="L136" s="392"/>
      <c r="M136" s="392"/>
      <c r="N136" s="23"/>
      <c r="O136" s="39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  <c r="IZ136" s="23"/>
      <c r="JA136" s="23"/>
      <c r="JB136" s="23"/>
      <c r="JC136" s="23"/>
      <c r="JD136" s="23"/>
      <c r="JE136" s="23"/>
      <c r="JF136" s="23"/>
      <c r="JG136" s="23"/>
      <c r="JH136" s="23"/>
      <c r="JI136" s="23"/>
      <c r="JJ136" s="23"/>
      <c r="JK136" s="23"/>
      <c r="JL136" s="23"/>
      <c r="JM136" s="23"/>
      <c r="JN136" s="23"/>
      <c r="JO136" s="23"/>
      <c r="JP136" s="23"/>
      <c r="JQ136" s="23"/>
      <c r="JR136" s="23"/>
      <c r="JS136" s="23"/>
      <c r="JT136" s="23"/>
      <c r="JU136" s="23"/>
      <c r="JV136" s="23"/>
      <c r="JW136" s="23"/>
      <c r="JX136" s="23"/>
      <c r="JY136" s="23"/>
      <c r="JZ136" s="23"/>
      <c r="KA136" s="23"/>
      <c r="KB136" s="23"/>
      <c r="KC136" s="23"/>
      <c r="KD136" s="23"/>
      <c r="KE136" s="23"/>
      <c r="KF136" s="23"/>
      <c r="KG136" s="23"/>
      <c r="KH136" s="23"/>
      <c r="KI136" s="23"/>
      <c r="KJ136" s="23"/>
      <c r="KK136" s="23"/>
      <c r="KL136" s="23"/>
      <c r="KM136" s="23"/>
      <c r="KN136" s="23"/>
      <c r="KO136" s="23"/>
      <c r="KP136" s="23"/>
      <c r="KQ136" s="23"/>
      <c r="KR136" s="23"/>
      <c r="KS136" s="23"/>
      <c r="KT136" s="23"/>
      <c r="KU136" s="23"/>
      <c r="KV136" s="23"/>
      <c r="KW136" s="23"/>
      <c r="KX136" s="23"/>
      <c r="KY136" s="23"/>
      <c r="KZ136" s="23"/>
      <c r="LA136" s="23"/>
      <c r="LB136" s="23"/>
      <c r="LC136" s="23"/>
      <c r="LD136" s="23"/>
      <c r="LE136" s="23"/>
      <c r="LF136" s="23"/>
      <c r="LG136" s="23"/>
      <c r="LH136" s="23"/>
      <c r="LI136" s="23"/>
      <c r="LJ136" s="23"/>
      <c r="LK136" s="23"/>
      <c r="LL136" s="23"/>
      <c r="LM136" s="23"/>
      <c r="LN136" s="23"/>
      <c r="LO136" s="23"/>
    </row>
    <row r="137" spans="1:327">
      <c r="A137" s="390"/>
      <c r="B137" s="23"/>
      <c r="C137" s="391"/>
      <c r="D137" s="391"/>
      <c r="E137" s="23"/>
      <c r="F137" s="23"/>
      <c r="G137" s="392"/>
      <c r="H137" s="392"/>
      <c r="I137" s="392"/>
      <c r="J137" s="392"/>
      <c r="K137" s="392"/>
      <c r="L137" s="392"/>
      <c r="M137" s="392"/>
      <c r="N137" s="23"/>
      <c r="O137" s="39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  <c r="IZ137" s="23"/>
      <c r="JA137" s="23"/>
      <c r="JB137" s="23"/>
      <c r="JC137" s="23"/>
      <c r="JD137" s="23"/>
      <c r="JE137" s="23"/>
      <c r="JF137" s="23"/>
      <c r="JG137" s="23"/>
      <c r="JH137" s="23"/>
      <c r="JI137" s="23"/>
      <c r="JJ137" s="23"/>
      <c r="JK137" s="23"/>
      <c r="JL137" s="23"/>
      <c r="JM137" s="23"/>
      <c r="JN137" s="23"/>
      <c r="JO137" s="23"/>
      <c r="JP137" s="23"/>
      <c r="JQ137" s="23"/>
      <c r="JR137" s="23"/>
      <c r="JS137" s="23"/>
      <c r="JT137" s="23"/>
      <c r="JU137" s="23"/>
      <c r="JV137" s="23"/>
      <c r="JW137" s="23"/>
      <c r="JX137" s="23"/>
      <c r="JY137" s="23"/>
      <c r="JZ137" s="23"/>
      <c r="KA137" s="23"/>
      <c r="KB137" s="23"/>
      <c r="KC137" s="23"/>
      <c r="KD137" s="23"/>
      <c r="KE137" s="23"/>
      <c r="KF137" s="23"/>
      <c r="KG137" s="23"/>
      <c r="KH137" s="23"/>
      <c r="KI137" s="23"/>
      <c r="KJ137" s="23"/>
      <c r="KK137" s="23"/>
      <c r="KL137" s="23"/>
      <c r="KM137" s="23"/>
      <c r="KN137" s="23"/>
      <c r="KO137" s="23"/>
      <c r="KP137" s="23"/>
      <c r="KQ137" s="23"/>
      <c r="KR137" s="23"/>
      <c r="KS137" s="23"/>
      <c r="KT137" s="23"/>
      <c r="KU137" s="23"/>
      <c r="KV137" s="23"/>
      <c r="KW137" s="23"/>
      <c r="KX137" s="23"/>
      <c r="KY137" s="23"/>
      <c r="KZ137" s="23"/>
      <c r="LA137" s="23"/>
      <c r="LB137" s="23"/>
      <c r="LC137" s="23"/>
      <c r="LD137" s="23"/>
      <c r="LE137" s="23"/>
      <c r="LF137" s="23"/>
      <c r="LG137" s="23"/>
      <c r="LH137" s="23"/>
      <c r="LI137" s="23"/>
      <c r="LJ137" s="23"/>
      <c r="LK137" s="23"/>
      <c r="LL137" s="23"/>
      <c r="LM137" s="23"/>
      <c r="LN137" s="23"/>
      <c r="LO137" s="23"/>
    </row>
    <row r="138" spans="1:327">
      <c r="A138" s="390"/>
      <c r="B138" s="23"/>
      <c r="C138" s="391"/>
      <c r="D138" s="391"/>
      <c r="E138" s="23"/>
      <c r="F138" s="23"/>
      <c r="G138" s="392"/>
      <c r="H138" s="392"/>
      <c r="I138" s="392"/>
      <c r="J138" s="392"/>
      <c r="K138" s="392"/>
      <c r="L138" s="392"/>
      <c r="M138" s="392"/>
      <c r="N138" s="23"/>
      <c r="O138" s="39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  <c r="IZ138" s="23"/>
      <c r="JA138" s="23"/>
      <c r="JB138" s="23"/>
      <c r="JC138" s="23"/>
      <c r="JD138" s="23"/>
      <c r="JE138" s="23"/>
      <c r="JF138" s="23"/>
      <c r="JG138" s="23"/>
      <c r="JH138" s="23"/>
      <c r="JI138" s="23"/>
      <c r="JJ138" s="23"/>
      <c r="JK138" s="23"/>
      <c r="JL138" s="23"/>
      <c r="JM138" s="23"/>
      <c r="JN138" s="23"/>
      <c r="JO138" s="23"/>
      <c r="JP138" s="23"/>
      <c r="JQ138" s="23"/>
      <c r="JR138" s="23"/>
      <c r="JS138" s="23"/>
      <c r="JT138" s="23"/>
      <c r="JU138" s="23"/>
      <c r="JV138" s="23"/>
      <c r="JW138" s="23"/>
      <c r="JX138" s="23"/>
      <c r="JY138" s="23"/>
      <c r="JZ138" s="23"/>
      <c r="KA138" s="23"/>
      <c r="KB138" s="23"/>
      <c r="KC138" s="23"/>
      <c r="KD138" s="23"/>
      <c r="KE138" s="23"/>
      <c r="KF138" s="23"/>
      <c r="KG138" s="23"/>
      <c r="KH138" s="23"/>
      <c r="KI138" s="23"/>
      <c r="KJ138" s="23"/>
      <c r="KK138" s="23"/>
      <c r="KL138" s="23"/>
      <c r="KM138" s="23"/>
      <c r="KN138" s="23"/>
      <c r="KO138" s="23"/>
      <c r="KP138" s="23"/>
      <c r="KQ138" s="23"/>
      <c r="KR138" s="23"/>
      <c r="KS138" s="23"/>
      <c r="KT138" s="23"/>
      <c r="KU138" s="23"/>
      <c r="KV138" s="23"/>
      <c r="KW138" s="23"/>
      <c r="KX138" s="23"/>
      <c r="KY138" s="23"/>
      <c r="KZ138" s="23"/>
      <c r="LA138" s="23"/>
      <c r="LB138" s="23"/>
      <c r="LC138" s="23"/>
      <c r="LD138" s="23"/>
      <c r="LE138" s="23"/>
      <c r="LF138" s="23"/>
      <c r="LG138" s="23"/>
      <c r="LH138" s="23"/>
      <c r="LI138" s="23"/>
      <c r="LJ138" s="23"/>
      <c r="LK138" s="23"/>
      <c r="LL138" s="23"/>
      <c r="LM138" s="23"/>
      <c r="LN138" s="23"/>
      <c r="LO138" s="23"/>
    </row>
    <row r="139" spans="1:327">
      <c r="A139" s="390"/>
      <c r="B139" s="23"/>
      <c r="C139" s="391"/>
      <c r="D139" s="391"/>
      <c r="E139" s="23"/>
      <c r="F139" s="23"/>
      <c r="G139" s="392"/>
      <c r="H139" s="392"/>
      <c r="I139" s="392"/>
      <c r="J139" s="392"/>
      <c r="K139" s="392"/>
      <c r="L139" s="392"/>
      <c r="M139" s="392"/>
      <c r="N139" s="23"/>
      <c r="O139" s="39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  <c r="IZ139" s="23"/>
      <c r="JA139" s="23"/>
      <c r="JB139" s="23"/>
      <c r="JC139" s="23"/>
      <c r="JD139" s="23"/>
      <c r="JE139" s="23"/>
      <c r="JF139" s="23"/>
      <c r="JG139" s="23"/>
      <c r="JH139" s="23"/>
      <c r="JI139" s="23"/>
      <c r="JJ139" s="23"/>
      <c r="JK139" s="23"/>
      <c r="JL139" s="23"/>
      <c r="JM139" s="23"/>
      <c r="JN139" s="23"/>
      <c r="JO139" s="23"/>
      <c r="JP139" s="23"/>
      <c r="JQ139" s="23"/>
      <c r="JR139" s="23"/>
      <c r="JS139" s="23"/>
      <c r="JT139" s="23"/>
      <c r="JU139" s="23"/>
      <c r="JV139" s="23"/>
      <c r="JW139" s="23"/>
      <c r="JX139" s="23"/>
      <c r="JY139" s="23"/>
      <c r="JZ139" s="23"/>
      <c r="KA139" s="23"/>
      <c r="KB139" s="23"/>
      <c r="KC139" s="23"/>
      <c r="KD139" s="23"/>
      <c r="KE139" s="23"/>
      <c r="KF139" s="23"/>
      <c r="KG139" s="23"/>
      <c r="KH139" s="23"/>
      <c r="KI139" s="23"/>
      <c r="KJ139" s="23"/>
      <c r="KK139" s="23"/>
      <c r="KL139" s="23"/>
      <c r="KM139" s="23"/>
      <c r="KN139" s="23"/>
      <c r="KO139" s="23"/>
      <c r="KP139" s="23"/>
      <c r="KQ139" s="23"/>
      <c r="KR139" s="23"/>
      <c r="KS139" s="23"/>
      <c r="KT139" s="23"/>
      <c r="KU139" s="23"/>
      <c r="KV139" s="23"/>
      <c r="KW139" s="23"/>
      <c r="KX139" s="23"/>
      <c r="KY139" s="23"/>
      <c r="KZ139" s="23"/>
      <c r="LA139" s="23"/>
      <c r="LB139" s="23"/>
      <c r="LC139" s="23"/>
      <c r="LD139" s="23"/>
      <c r="LE139" s="23"/>
      <c r="LF139" s="23"/>
      <c r="LG139" s="23"/>
      <c r="LH139" s="23"/>
      <c r="LI139" s="23"/>
      <c r="LJ139" s="23"/>
      <c r="LK139" s="23"/>
      <c r="LL139" s="23"/>
      <c r="LM139" s="23"/>
      <c r="LN139" s="23"/>
      <c r="LO139" s="23"/>
    </row>
    <row r="140" spans="1:327">
      <c r="A140" s="390"/>
      <c r="B140" s="23"/>
      <c r="C140" s="391"/>
      <c r="D140" s="391"/>
      <c r="E140" s="23"/>
      <c r="F140" s="23"/>
      <c r="G140" s="392"/>
      <c r="H140" s="392"/>
      <c r="I140" s="392"/>
      <c r="J140" s="392"/>
      <c r="K140" s="392"/>
      <c r="L140" s="392"/>
      <c r="M140" s="392"/>
      <c r="N140" s="23"/>
      <c r="O140" s="39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  <c r="IZ140" s="23"/>
      <c r="JA140" s="23"/>
      <c r="JB140" s="23"/>
      <c r="JC140" s="23"/>
      <c r="JD140" s="23"/>
      <c r="JE140" s="23"/>
      <c r="JF140" s="23"/>
      <c r="JG140" s="23"/>
      <c r="JH140" s="23"/>
      <c r="JI140" s="23"/>
      <c r="JJ140" s="23"/>
      <c r="JK140" s="23"/>
      <c r="JL140" s="23"/>
      <c r="JM140" s="23"/>
      <c r="JN140" s="23"/>
      <c r="JO140" s="23"/>
      <c r="JP140" s="23"/>
      <c r="JQ140" s="23"/>
      <c r="JR140" s="23"/>
      <c r="JS140" s="23"/>
      <c r="JT140" s="23"/>
      <c r="JU140" s="23"/>
      <c r="JV140" s="23"/>
      <c r="JW140" s="23"/>
      <c r="JX140" s="23"/>
      <c r="JY140" s="23"/>
      <c r="JZ140" s="23"/>
      <c r="KA140" s="23"/>
      <c r="KB140" s="23"/>
      <c r="KC140" s="23"/>
      <c r="KD140" s="23"/>
      <c r="KE140" s="23"/>
      <c r="KF140" s="23"/>
      <c r="KG140" s="23"/>
      <c r="KH140" s="23"/>
      <c r="KI140" s="23"/>
      <c r="KJ140" s="23"/>
      <c r="KK140" s="23"/>
      <c r="KL140" s="23"/>
      <c r="KM140" s="23"/>
      <c r="KN140" s="23"/>
      <c r="KO140" s="23"/>
      <c r="KP140" s="23"/>
      <c r="KQ140" s="23"/>
      <c r="KR140" s="23"/>
      <c r="KS140" s="23"/>
      <c r="KT140" s="23"/>
      <c r="KU140" s="23"/>
      <c r="KV140" s="23"/>
      <c r="KW140" s="23"/>
      <c r="KX140" s="23"/>
      <c r="KY140" s="23"/>
      <c r="KZ140" s="23"/>
      <c r="LA140" s="23"/>
      <c r="LB140" s="23"/>
      <c r="LC140" s="23"/>
      <c r="LD140" s="23"/>
      <c r="LE140" s="23"/>
      <c r="LF140" s="23"/>
      <c r="LG140" s="23"/>
      <c r="LH140" s="23"/>
      <c r="LI140" s="23"/>
      <c r="LJ140" s="23"/>
      <c r="LK140" s="23"/>
      <c r="LL140" s="23"/>
      <c r="LM140" s="23"/>
      <c r="LN140" s="23"/>
      <c r="LO140" s="23"/>
    </row>
    <row r="141" spans="1:327">
      <c r="A141" s="390"/>
      <c r="B141" s="23"/>
      <c r="C141" s="391"/>
      <c r="D141" s="391"/>
      <c r="E141" s="23"/>
      <c r="F141" s="23"/>
      <c r="G141" s="392"/>
      <c r="H141" s="392"/>
      <c r="I141" s="392"/>
      <c r="J141" s="392"/>
      <c r="K141" s="392"/>
      <c r="L141" s="392"/>
      <c r="M141" s="392"/>
      <c r="N141" s="23"/>
      <c r="O141" s="39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  <c r="IZ141" s="23"/>
      <c r="JA141" s="23"/>
      <c r="JB141" s="23"/>
      <c r="JC141" s="23"/>
      <c r="JD141" s="23"/>
      <c r="JE141" s="23"/>
      <c r="JF141" s="23"/>
      <c r="JG141" s="23"/>
      <c r="JH141" s="23"/>
      <c r="JI141" s="23"/>
      <c r="JJ141" s="23"/>
      <c r="JK141" s="23"/>
      <c r="JL141" s="23"/>
      <c r="JM141" s="23"/>
      <c r="JN141" s="23"/>
      <c r="JO141" s="23"/>
      <c r="JP141" s="23"/>
      <c r="JQ141" s="23"/>
      <c r="JR141" s="23"/>
      <c r="JS141" s="23"/>
      <c r="JT141" s="23"/>
      <c r="JU141" s="23"/>
      <c r="JV141" s="23"/>
      <c r="JW141" s="23"/>
      <c r="JX141" s="23"/>
      <c r="JY141" s="23"/>
      <c r="JZ141" s="23"/>
      <c r="KA141" s="23"/>
      <c r="KB141" s="23"/>
      <c r="KC141" s="23"/>
      <c r="KD141" s="23"/>
      <c r="KE141" s="23"/>
      <c r="KF141" s="23"/>
      <c r="KG141" s="23"/>
      <c r="KH141" s="23"/>
      <c r="KI141" s="23"/>
      <c r="KJ141" s="23"/>
      <c r="KK141" s="23"/>
      <c r="KL141" s="23"/>
      <c r="KM141" s="23"/>
      <c r="KN141" s="23"/>
      <c r="KO141" s="23"/>
      <c r="KP141" s="23"/>
      <c r="KQ141" s="23"/>
      <c r="KR141" s="23"/>
      <c r="KS141" s="23"/>
      <c r="KT141" s="23"/>
      <c r="KU141" s="23"/>
      <c r="KV141" s="23"/>
      <c r="KW141" s="23"/>
      <c r="KX141" s="23"/>
      <c r="KY141" s="23"/>
      <c r="KZ141" s="23"/>
      <c r="LA141" s="23"/>
      <c r="LB141" s="23"/>
      <c r="LC141" s="23"/>
      <c r="LD141" s="23"/>
      <c r="LE141" s="23"/>
      <c r="LF141" s="23"/>
      <c r="LG141" s="23"/>
      <c r="LH141" s="23"/>
      <c r="LI141" s="23"/>
      <c r="LJ141" s="23"/>
      <c r="LK141" s="23"/>
      <c r="LL141" s="23"/>
      <c r="LM141" s="23"/>
      <c r="LN141" s="23"/>
      <c r="LO141" s="23"/>
    </row>
    <row r="142" spans="1:327">
      <c r="A142" s="390"/>
      <c r="B142" s="23"/>
      <c r="C142" s="391"/>
      <c r="D142" s="391"/>
      <c r="E142" s="23"/>
      <c r="F142" s="23"/>
      <c r="G142" s="392"/>
      <c r="H142" s="392"/>
      <c r="I142" s="392"/>
      <c r="J142" s="392"/>
      <c r="K142" s="392"/>
      <c r="L142" s="392"/>
      <c r="M142" s="392"/>
      <c r="N142" s="23"/>
      <c r="O142" s="39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  <c r="IZ142" s="23"/>
      <c r="JA142" s="23"/>
      <c r="JB142" s="23"/>
      <c r="JC142" s="23"/>
      <c r="JD142" s="23"/>
      <c r="JE142" s="23"/>
      <c r="JF142" s="23"/>
      <c r="JG142" s="23"/>
      <c r="JH142" s="23"/>
      <c r="JI142" s="23"/>
      <c r="JJ142" s="23"/>
      <c r="JK142" s="23"/>
      <c r="JL142" s="23"/>
      <c r="JM142" s="23"/>
      <c r="JN142" s="23"/>
      <c r="JO142" s="23"/>
      <c r="JP142" s="23"/>
      <c r="JQ142" s="23"/>
      <c r="JR142" s="23"/>
      <c r="JS142" s="23"/>
      <c r="JT142" s="23"/>
      <c r="JU142" s="23"/>
      <c r="JV142" s="23"/>
      <c r="JW142" s="23"/>
      <c r="JX142" s="23"/>
      <c r="JY142" s="23"/>
      <c r="JZ142" s="23"/>
      <c r="KA142" s="23"/>
      <c r="KB142" s="23"/>
      <c r="KC142" s="23"/>
      <c r="KD142" s="23"/>
      <c r="KE142" s="23"/>
      <c r="KF142" s="23"/>
      <c r="KG142" s="23"/>
      <c r="KH142" s="23"/>
      <c r="KI142" s="23"/>
      <c r="KJ142" s="23"/>
      <c r="KK142" s="23"/>
      <c r="KL142" s="23"/>
      <c r="KM142" s="23"/>
      <c r="KN142" s="23"/>
      <c r="KO142" s="23"/>
      <c r="KP142" s="23"/>
      <c r="KQ142" s="23"/>
      <c r="KR142" s="23"/>
      <c r="KS142" s="23"/>
      <c r="KT142" s="23"/>
      <c r="KU142" s="23"/>
      <c r="KV142" s="23"/>
      <c r="KW142" s="23"/>
      <c r="KX142" s="23"/>
      <c r="KY142" s="23"/>
      <c r="KZ142" s="23"/>
      <c r="LA142" s="23"/>
      <c r="LB142" s="23"/>
      <c r="LC142" s="23"/>
      <c r="LD142" s="23"/>
      <c r="LE142" s="23"/>
      <c r="LF142" s="23"/>
      <c r="LG142" s="23"/>
      <c r="LH142" s="23"/>
      <c r="LI142" s="23"/>
      <c r="LJ142" s="23"/>
      <c r="LK142" s="23"/>
      <c r="LL142" s="23"/>
      <c r="LM142" s="23"/>
      <c r="LN142" s="23"/>
      <c r="LO142" s="23"/>
    </row>
    <row r="143" spans="1:327">
      <c r="A143" s="390"/>
      <c r="B143" s="23"/>
      <c r="C143" s="391"/>
      <c r="D143" s="391"/>
      <c r="E143" s="23"/>
      <c r="F143" s="23"/>
      <c r="G143" s="392"/>
      <c r="H143" s="392"/>
      <c r="I143" s="392"/>
      <c r="J143" s="392"/>
      <c r="K143" s="392"/>
      <c r="L143" s="392"/>
      <c r="M143" s="392"/>
      <c r="N143" s="23"/>
      <c r="O143" s="39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  <c r="IZ143" s="23"/>
      <c r="JA143" s="23"/>
      <c r="JB143" s="23"/>
      <c r="JC143" s="23"/>
      <c r="JD143" s="23"/>
      <c r="JE143" s="23"/>
      <c r="JF143" s="23"/>
      <c r="JG143" s="23"/>
      <c r="JH143" s="23"/>
      <c r="JI143" s="23"/>
      <c r="JJ143" s="23"/>
      <c r="JK143" s="23"/>
      <c r="JL143" s="23"/>
      <c r="JM143" s="23"/>
      <c r="JN143" s="23"/>
      <c r="JO143" s="23"/>
      <c r="JP143" s="23"/>
      <c r="JQ143" s="23"/>
      <c r="JR143" s="23"/>
      <c r="JS143" s="23"/>
      <c r="JT143" s="23"/>
      <c r="JU143" s="23"/>
      <c r="JV143" s="23"/>
      <c r="JW143" s="23"/>
      <c r="JX143" s="23"/>
      <c r="JY143" s="23"/>
      <c r="JZ143" s="23"/>
      <c r="KA143" s="23"/>
      <c r="KB143" s="23"/>
      <c r="KC143" s="23"/>
      <c r="KD143" s="23"/>
      <c r="KE143" s="23"/>
      <c r="KF143" s="23"/>
      <c r="KG143" s="23"/>
      <c r="KH143" s="23"/>
      <c r="KI143" s="23"/>
      <c r="KJ143" s="23"/>
      <c r="KK143" s="23"/>
      <c r="KL143" s="23"/>
      <c r="KM143" s="23"/>
      <c r="KN143" s="23"/>
      <c r="KO143" s="23"/>
      <c r="KP143" s="23"/>
      <c r="KQ143" s="23"/>
      <c r="KR143" s="23"/>
      <c r="KS143" s="23"/>
      <c r="KT143" s="23"/>
      <c r="KU143" s="23"/>
      <c r="KV143" s="23"/>
      <c r="KW143" s="23"/>
      <c r="KX143" s="23"/>
      <c r="KY143" s="23"/>
      <c r="KZ143" s="23"/>
      <c r="LA143" s="23"/>
      <c r="LB143" s="23"/>
      <c r="LC143" s="23"/>
      <c r="LD143" s="23"/>
      <c r="LE143" s="23"/>
      <c r="LF143" s="23"/>
      <c r="LG143" s="23"/>
      <c r="LH143" s="23"/>
      <c r="LI143" s="23"/>
      <c r="LJ143" s="23"/>
      <c r="LK143" s="23"/>
      <c r="LL143" s="23"/>
      <c r="LM143" s="23"/>
      <c r="LN143" s="23"/>
      <c r="LO143" s="23"/>
    </row>
    <row r="144" spans="1:327">
      <c r="A144" s="390"/>
      <c r="B144" s="23"/>
      <c r="C144" s="391"/>
      <c r="D144" s="391"/>
      <c r="E144" s="23"/>
      <c r="F144" s="23"/>
      <c r="G144" s="392"/>
      <c r="H144" s="392"/>
      <c r="I144" s="392"/>
      <c r="J144" s="392"/>
      <c r="K144" s="392"/>
      <c r="L144" s="392"/>
      <c r="M144" s="392"/>
      <c r="N144" s="23"/>
      <c r="O144" s="39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  <c r="IZ144" s="23"/>
      <c r="JA144" s="23"/>
      <c r="JB144" s="23"/>
      <c r="JC144" s="23"/>
      <c r="JD144" s="23"/>
      <c r="JE144" s="23"/>
      <c r="JF144" s="23"/>
      <c r="JG144" s="23"/>
      <c r="JH144" s="23"/>
      <c r="JI144" s="23"/>
      <c r="JJ144" s="23"/>
      <c r="JK144" s="23"/>
      <c r="JL144" s="23"/>
      <c r="JM144" s="23"/>
      <c r="JN144" s="23"/>
      <c r="JO144" s="23"/>
      <c r="JP144" s="23"/>
      <c r="JQ144" s="23"/>
      <c r="JR144" s="23"/>
      <c r="JS144" s="23"/>
      <c r="JT144" s="23"/>
      <c r="JU144" s="23"/>
      <c r="JV144" s="23"/>
      <c r="JW144" s="23"/>
      <c r="JX144" s="23"/>
      <c r="JY144" s="23"/>
      <c r="JZ144" s="23"/>
      <c r="KA144" s="23"/>
      <c r="KB144" s="23"/>
      <c r="KC144" s="23"/>
      <c r="KD144" s="23"/>
      <c r="KE144" s="23"/>
      <c r="KF144" s="23"/>
      <c r="KG144" s="23"/>
      <c r="KH144" s="23"/>
      <c r="KI144" s="23"/>
      <c r="KJ144" s="23"/>
      <c r="KK144" s="23"/>
      <c r="KL144" s="23"/>
      <c r="KM144" s="23"/>
      <c r="KN144" s="23"/>
      <c r="KO144" s="23"/>
      <c r="KP144" s="23"/>
      <c r="KQ144" s="23"/>
      <c r="KR144" s="23"/>
      <c r="KS144" s="23"/>
      <c r="KT144" s="23"/>
      <c r="KU144" s="23"/>
      <c r="KV144" s="23"/>
      <c r="KW144" s="23"/>
      <c r="KX144" s="23"/>
      <c r="KY144" s="23"/>
      <c r="KZ144" s="23"/>
      <c r="LA144" s="23"/>
      <c r="LB144" s="23"/>
      <c r="LC144" s="23"/>
      <c r="LD144" s="23"/>
      <c r="LE144" s="23"/>
      <c r="LF144" s="23"/>
      <c r="LG144" s="23"/>
      <c r="LH144" s="23"/>
      <c r="LI144" s="23"/>
      <c r="LJ144" s="23"/>
      <c r="LK144" s="23"/>
      <c r="LL144" s="23"/>
      <c r="LM144" s="23"/>
      <c r="LN144" s="23"/>
      <c r="LO144" s="23"/>
    </row>
    <row r="145" spans="1:327">
      <c r="A145" s="390"/>
      <c r="B145" s="23"/>
      <c r="C145" s="391"/>
      <c r="D145" s="391"/>
      <c r="E145" s="23"/>
      <c r="F145" s="23"/>
      <c r="G145" s="392"/>
      <c r="H145" s="392"/>
      <c r="I145" s="392"/>
      <c r="J145" s="392"/>
      <c r="K145" s="392"/>
      <c r="L145" s="392"/>
      <c r="M145" s="392"/>
      <c r="N145" s="23"/>
      <c r="O145" s="39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  <c r="IZ145" s="23"/>
      <c r="JA145" s="23"/>
      <c r="JB145" s="23"/>
      <c r="JC145" s="23"/>
      <c r="JD145" s="23"/>
      <c r="JE145" s="23"/>
      <c r="JF145" s="23"/>
      <c r="JG145" s="23"/>
      <c r="JH145" s="23"/>
      <c r="JI145" s="23"/>
      <c r="JJ145" s="23"/>
      <c r="JK145" s="23"/>
      <c r="JL145" s="23"/>
      <c r="JM145" s="23"/>
      <c r="JN145" s="23"/>
      <c r="JO145" s="23"/>
      <c r="JP145" s="23"/>
      <c r="JQ145" s="23"/>
      <c r="JR145" s="23"/>
      <c r="JS145" s="23"/>
      <c r="JT145" s="23"/>
      <c r="JU145" s="23"/>
      <c r="JV145" s="23"/>
      <c r="JW145" s="23"/>
      <c r="JX145" s="23"/>
      <c r="JY145" s="23"/>
      <c r="JZ145" s="23"/>
      <c r="KA145" s="23"/>
      <c r="KB145" s="23"/>
      <c r="KC145" s="23"/>
      <c r="KD145" s="23"/>
      <c r="KE145" s="23"/>
      <c r="KF145" s="23"/>
      <c r="KG145" s="23"/>
      <c r="KH145" s="23"/>
      <c r="KI145" s="23"/>
      <c r="KJ145" s="23"/>
      <c r="KK145" s="23"/>
      <c r="KL145" s="23"/>
      <c r="KM145" s="23"/>
      <c r="KN145" s="23"/>
      <c r="KO145" s="23"/>
      <c r="KP145" s="23"/>
      <c r="KQ145" s="23"/>
      <c r="KR145" s="23"/>
      <c r="KS145" s="23"/>
      <c r="KT145" s="23"/>
      <c r="KU145" s="23"/>
      <c r="KV145" s="23"/>
      <c r="KW145" s="23"/>
      <c r="KX145" s="23"/>
      <c r="KY145" s="23"/>
      <c r="KZ145" s="23"/>
      <c r="LA145" s="23"/>
      <c r="LB145" s="23"/>
      <c r="LC145" s="23"/>
      <c r="LD145" s="23"/>
      <c r="LE145" s="23"/>
      <c r="LF145" s="23"/>
      <c r="LG145" s="23"/>
      <c r="LH145" s="23"/>
      <c r="LI145" s="23"/>
      <c r="LJ145" s="23"/>
      <c r="LK145" s="23"/>
      <c r="LL145" s="23"/>
      <c r="LM145" s="23"/>
      <c r="LN145" s="23"/>
      <c r="LO145" s="23"/>
    </row>
    <row r="146" spans="1:327">
      <c r="A146" s="390"/>
      <c r="B146" s="23"/>
      <c r="C146" s="391"/>
      <c r="D146" s="391"/>
      <c r="E146" s="23"/>
      <c r="F146" s="23"/>
      <c r="G146" s="392"/>
      <c r="H146" s="392"/>
      <c r="I146" s="392"/>
      <c r="J146" s="392"/>
      <c r="K146" s="392"/>
      <c r="L146" s="392"/>
      <c r="M146" s="392"/>
      <c r="N146" s="23"/>
      <c r="O146" s="39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  <c r="IZ146" s="23"/>
      <c r="JA146" s="23"/>
      <c r="JB146" s="23"/>
      <c r="JC146" s="23"/>
      <c r="JD146" s="23"/>
      <c r="JE146" s="23"/>
      <c r="JF146" s="23"/>
      <c r="JG146" s="23"/>
      <c r="JH146" s="23"/>
      <c r="JI146" s="23"/>
      <c r="JJ146" s="23"/>
      <c r="JK146" s="23"/>
      <c r="JL146" s="23"/>
      <c r="JM146" s="23"/>
      <c r="JN146" s="23"/>
      <c r="JO146" s="23"/>
      <c r="JP146" s="23"/>
      <c r="JQ146" s="23"/>
      <c r="JR146" s="23"/>
      <c r="JS146" s="23"/>
      <c r="JT146" s="23"/>
      <c r="JU146" s="23"/>
      <c r="JV146" s="23"/>
      <c r="JW146" s="23"/>
      <c r="JX146" s="23"/>
      <c r="JY146" s="23"/>
      <c r="JZ146" s="23"/>
      <c r="KA146" s="23"/>
      <c r="KB146" s="23"/>
      <c r="KC146" s="23"/>
      <c r="KD146" s="23"/>
      <c r="KE146" s="23"/>
      <c r="KF146" s="23"/>
      <c r="KG146" s="23"/>
      <c r="KH146" s="23"/>
      <c r="KI146" s="23"/>
      <c r="KJ146" s="23"/>
      <c r="KK146" s="23"/>
      <c r="KL146" s="23"/>
      <c r="KM146" s="23"/>
      <c r="KN146" s="23"/>
      <c r="KO146" s="23"/>
      <c r="KP146" s="23"/>
      <c r="KQ146" s="23"/>
      <c r="KR146" s="23"/>
      <c r="KS146" s="23"/>
      <c r="KT146" s="23"/>
      <c r="KU146" s="23"/>
      <c r="KV146" s="23"/>
      <c r="KW146" s="23"/>
      <c r="KX146" s="23"/>
      <c r="KY146" s="23"/>
      <c r="KZ146" s="23"/>
      <c r="LA146" s="23"/>
      <c r="LB146" s="23"/>
      <c r="LC146" s="23"/>
      <c r="LD146" s="23"/>
      <c r="LE146" s="23"/>
      <c r="LF146" s="23"/>
      <c r="LG146" s="23"/>
      <c r="LH146" s="23"/>
      <c r="LI146" s="23"/>
      <c r="LJ146" s="23"/>
      <c r="LK146" s="23"/>
      <c r="LL146" s="23"/>
      <c r="LM146" s="23"/>
      <c r="LN146" s="23"/>
      <c r="LO146" s="23"/>
    </row>
    <row r="147" spans="1:327">
      <c r="A147" s="390"/>
      <c r="B147" s="23"/>
      <c r="C147" s="391"/>
      <c r="D147" s="391"/>
      <c r="E147" s="23"/>
      <c r="F147" s="23"/>
      <c r="G147" s="392"/>
      <c r="H147" s="392"/>
      <c r="I147" s="392"/>
      <c r="J147" s="392"/>
      <c r="K147" s="392"/>
      <c r="L147" s="392"/>
      <c r="M147" s="392"/>
      <c r="N147" s="23"/>
      <c r="O147" s="39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  <c r="IZ147" s="23"/>
      <c r="JA147" s="23"/>
      <c r="JB147" s="23"/>
      <c r="JC147" s="23"/>
      <c r="JD147" s="23"/>
      <c r="JE147" s="23"/>
      <c r="JF147" s="23"/>
      <c r="JG147" s="23"/>
      <c r="JH147" s="23"/>
      <c r="JI147" s="23"/>
      <c r="JJ147" s="23"/>
      <c r="JK147" s="23"/>
      <c r="JL147" s="23"/>
      <c r="JM147" s="23"/>
      <c r="JN147" s="23"/>
      <c r="JO147" s="23"/>
      <c r="JP147" s="23"/>
      <c r="JQ147" s="23"/>
      <c r="JR147" s="23"/>
      <c r="JS147" s="23"/>
      <c r="JT147" s="23"/>
      <c r="JU147" s="23"/>
      <c r="JV147" s="23"/>
      <c r="JW147" s="23"/>
      <c r="JX147" s="23"/>
      <c r="JY147" s="23"/>
      <c r="JZ147" s="23"/>
      <c r="KA147" s="23"/>
      <c r="KB147" s="23"/>
      <c r="KC147" s="23"/>
      <c r="KD147" s="23"/>
      <c r="KE147" s="23"/>
      <c r="KF147" s="23"/>
      <c r="KG147" s="23"/>
      <c r="KH147" s="23"/>
      <c r="KI147" s="23"/>
      <c r="KJ147" s="23"/>
      <c r="KK147" s="23"/>
      <c r="KL147" s="23"/>
      <c r="KM147" s="23"/>
      <c r="KN147" s="23"/>
      <c r="KO147" s="23"/>
      <c r="KP147" s="23"/>
      <c r="KQ147" s="23"/>
      <c r="KR147" s="23"/>
      <c r="KS147" s="23"/>
      <c r="KT147" s="23"/>
      <c r="KU147" s="23"/>
      <c r="KV147" s="23"/>
      <c r="KW147" s="23"/>
      <c r="KX147" s="23"/>
      <c r="KY147" s="23"/>
      <c r="KZ147" s="23"/>
      <c r="LA147" s="23"/>
      <c r="LB147" s="23"/>
      <c r="LC147" s="23"/>
      <c r="LD147" s="23"/>
      <c r="LE147" s="23"/>
      <c r="LF147" s="23"/>
      <c r="LG147" s="23"/>
      <c r="LH147" s="23"/>
      <c r="LI147" s="23"/>
      <c r="LJ147" s="23"/>
      <c r="LK147" s="23"/>
      <c r="LL147" s="23"/>
      <c r="LM147" s="23"/>
      <c r="LN147" s="23"/>
      <c r="LO147" s="23"/>
    </row>
    <row r="148" spans="1:327">
      <c r="A148" s="390"/>
      <c r="B148" s="23"/>
      <c r="C148" s="391"/>
      <c r="D148" s="391"/>
      <c r="E148" s="23"/>
      <c r="F148" s="23"/>
      <c r="G148" s="392"/>
      <c r="H148" s="392"/>
      <c r="I148" s="392"/>
      <c r="J148" s="392"/>
      <c r="K148" s="392"/>
      <c r="L148" s="392"/>
      <c r="M148" s="392"/>
      <c r="N148" s="23"/>
      <c r="O148" s="39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  <c r="IZ148" s="23"/>
      <c r="JA148" s="23"/>
      <c r="JB148" s="23"/>
      <c r="JC148" s="23"/>
      <c r="JD148" s="23"/>
      <c r="JE148" s="23"/>
      <c r="JF148" s="23"/>
      <c r="JG148" s="23"/>
      <c r="JH148" s="23"/>
      <c r="JI148" s="23"/>
      <c r="JJ148" s="23"/>
      <c r="JK148" s="23"/>
      <c r="JL148" s="23"/>
      <c r="JM148" s="23"/>
      <c r="JN148" s="23"/>
      <c r="JO148" s="23"/>
      <c r="JP148" s="23"/>
      <c r="JQ148" s="23"/>
      <c r="JR148" s="23"/>
      <c r="JS148" s="23"/>
      <c r="JT148" s="23"/>
      <c r="JU148" s="23"/>
      <c r="JV148" s="23"/>
      <c r="JW148" s="23"/>
      <c r="JX148" s="23"/>
      <c r="JY148" s="23"/>
      <c r="JZ148" s="23"/>
      <c r="KA148" s="23"/>
      <c r="KB148" s="23"/>
      <c r="KC148" s="23"/>
      <c r="KD148" s="23"/>
      <c r="KE148" s="23"/>
      <c r="KF148" s="23"/>
      <c r="KG148" s="23"/>
      <c r="KH148" s="23"/>
      <c r="KI148" s="23"/>
      <c r="KJ148" s="23"/>
      <c r="KK148" s="23"/>
      <c r="KL148" s="23"/>
      <c r="KM148" s="23"/>
      <c r="KN148" s="23"/>
      <c r="KO148" s="23"/>
      <c r="KP148" s="23"/>
      <c r="KQ148" s="23"/>
      <c r="KR148" s="23"/>
      <c r="KS148" s="23"/>
      <c r="KT148" s="23"/>
      <c r="KU148" s="23"/>
      <c r="KV148" s="23"/>
      <c r="KW148" s="23"/>
      <c r="KX148" s="23"/>
      <c r="KY148" s="23"/>
      <c r="KZ148" s="23"/>
      <c r="LA148" s="23"/>
      <c r="LB148" s="23"/>
      <c r="LC148" s="23"/>
      <c r="LD148" s="23"/>
      <c r="LE148" s="23"/>
      <c r="LF148" s="23"/>
      <c r="LG148" s="23"/>
      <c r="LH148" s="23"/>
      <c r="LI148" s="23"/>
      <c r="LJ148" s="23"/>
      <c r="LK148" s="23"/>
      <c r="LL148" s="23"/>
      <c r="LM148" s="23"/>
      <c r="LN148" s="23"/>
      <c r="LO148" s="23"/>
    </row>
    <row r="149" spans="1:327">
      <c r="A149" s="390"/>
      <c r="B149" s="23"/>
      <c r="C149" s="391"/>
      <c r="D149" s="391"/>
      <c r="E149" s="23"/>
      <c r="F149" s="23"/>
      <c r="G149" s="392"/>
      <c r="H149" s="392"/>
      <c r="I149" s="392"/>
      <c r="J149" s="392"/>
      <c r="K149" s="392"/>
      <c r="L149" s="392"/>
      <c r="M149" s="392"/>
      <c r="N149" s="23"/>
      <c r="O149" s="39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  <c r="IZ149" s="23"/>
      <c r="JA149" s="23"/>
      <c r="JB149" s="23"/>
      <c r="JC149" s="23"/>
      <c r="JD149" s="23"/>
      <c r="JE149" s="23"/>
      <c r="JF149" s="23"/>
      <c r="JG149" s="23"/>
      <c r="JH149" s="23"/>
      <c r="JI149" s="23"/>
      <c r="JJ149" s="23"/>
      <c r="JK149" s="23"/>
      <c r="JL149" s="23"/>
      <c r="JM149" s="23"/>
      <c r="JN149" s="23"/>
      <c r="JO149" s="23"/>
      <c r="JP149" s="23"/>
      <c r="JQ149" s="23"/>
      <c r="JR149" s="23"/>
      <c r="JS149" s="23"/>
      <c r="JT149" s="23"/>
      <c r="JU149" s="23"/>
      <c r="JV149" s="23"/>
      <c r="JW149" s="23"/>
      <c r="JX149" s="23"/>
      <c r="JY149" s="23"/>
      <c r="JZ149" s="23"/>
      <c r="KA149" s="23"/>
      <c r="KB149" s="23"/>
      <c r="KC149" s="23"/>
      <c r="KD149" s="23"/>
      <c r="KE149" s="23"/>
      <c r="KF149" s="23"/>
      <c r="KG149" s="23"/>
      <c r="KH149" s="23"/>
      <c r="KI149" s="23"/>
      <c r="KJ149" s="23"/>
      <c r="KK149" s="23"/>
      <c r="KL149" s="23"/>
      <c r="KM149" s="23"/>
      <c r="KN149" s="23"/>
      <c r="KO149" s="23"/>
      <c r="KP149" s="23"/>
      <c r="KQ149" s="23"/>
      <c r="KR149" s="23"/>
      <c r="KS149" s="23"/>
      <c r="KT149" s="23"/>
      <c r="KU149" s="23"/>
      <c r="KV149" s="23"/>
      <c r="KW149" s="23"/>
      <c r="KX149" s="23"/>
      <c r="KY149" s="23"/>
      <c r="KZ149" s="23"/>
      <c r="LA149" s="23"/>
      <c r="LB149" s="23"/>
      <c r="LC149" s="23"/>
      <c r="LD149" s="23"/>
      <c r="LE149" s="23"/>
      <c r="LF149" s="23"/>
      <c r="LG149" s="23"/>
      <c r="LH149" s="23"/>
      <c r="LI149" s="23"/>
      <c r="LJ149" s="23"/>
      <c r="LK149" s="23"/>
      <c r="LL149" s="23"/>
      <c r="LM149" s="23"/>
      <c r="LN149" s="23"/>
      <c r="LO149" s="23"/>
    </row>
    <row r="150" spans="1:327">
      <c r="A150" s="390"/>
      <c r="B150" s="23"/>
      <c r="C150" s="391"/>
      <c r="D150" s="391"/>
      <c r="E150" s="23"/>
      <c r="F150" s="23"/>
      <c r="G150" s="392"/>
      <c r="H150" s="392"/>
      <c r="I150" s="392"/>
      <c r="J150" s="392"/>
      <c r="K150" s="392"/>
      <c r="L150" s="392"/>
      <c r="M150" s="392"/>
      <c r="N150" s="23"/>
      <c r="O150" s="39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  <c r="IZ150" s="23"/>
      <c r="JA150" s="23"/>
      <c r="JB150" s="23"/>
      <c r="JC150" s="23"/>
      <c r="JD150" s="23"/>
      <c r="JE150" s="23"/>
      <c r="JF150" s="23"/>
      <c r="JG150" s="23"/>
      <c r="JH150" s="23"/>
      <c r="JI150" s="23"/>
      <c r="JJ150" s="23"/>
      <c r="JK150" s="23"/>
      <c r="JL150" s="23"/>
      <c r="JM150" s="23"/>
      <c r="JN150" s="23"/>
      <c r="JO150" s="23"/>
      <c r="JP150" s="23"/>
      <c r="JQ150" s="23"/>
      <c r="JR150" s="23"/>
      <c r="JS150" s="23"/>
      <c r="JT150" s="23"/>
      <c r="JU150" s="23"/>
      <c r="JV150" s="23"/>
      <c r="JW150" s="23"/>
      <c r="JX150" s="23"/>
      <c r="JY150" s="23"/>
      <c r="JZ150" s="23"/>
      <c r="KA150" s="23"/>
      <c r="KB150" s="23"/>
      <c r="KC150" s="23"/>
      <c r="KD150" s="23"/>
      <c r="KE150" s="23"/>
      <c r="KF150" s="23"/>
      <c r="KG150" s="23"/>
      <c r="KH150" s="23"/>
      <c r="KI150" s="23"/>
      <c r="KJ150" s="23"/>
      <c r="KK150" s="23"/>
      <c r="KL150" s="23"/>
      <c r="KM150" s="23"/>
      <c r="KN150" s="23"/>
      <c r="KO150" s="23"/>
      <c r="KP150" s="23"/>
      <c r="KQ150" s="23"/>
      <c r="KR150" s="23"/>
      <c r="KS150" s="23"/>
      <c r="KT150" s="23"/>
      <c r="KU150" s="23"/>
      <c r="KV150" s="23"/>
      <c r="KW150" s="23"/>
      <c r="KX150" s="23"/>
      <c r="KY150" s="23"/>
      <c r="KZ150" s="23"/>
      <c r="LA150" s="23"/>
      <c r="LB150" s="23"/>
      <c r="LC150" s="23"/>
      <c r="LD150" s="23"/>
      <c r="LE150" s="23"/>
      <c r="LF150" s="23"/>
      <c r="LG150" s="23"/>
      <c r="LH150" s="23"/>
      <c r="LI150" s="23"/>
      <c r="LJ150" s="23"/>
      <c r="LK150" s="23"/>
      <c r="LL150" s="23"/>
      <c r="LM150" s="23"/>
      <c r="LN150" s="23"/>
      <c r="LO150" s="23"/>
    </row>
    <row r="151" spans="1:327">
      <c r="A151" s="390"/>
      <c r="B151" s="23"/>
      <c r="C151" s="391"/>
      <c r="D151" s="391"/>
      <c r="E151" s="23"/>
      <c r="F151" s="23"/>
      <c r="G151" s="392"/>
      <c r="H151" s="392"/>
      <c r="I151" s="392"/>
      <c r="J151" s="392"/>
      <c r="K151" s="392"/>
      <c r="L151" s="392"/>
      <c r="M151" s="392"/>
      <c r="N151" s="23"/>
      <c r="O151" s="39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  <c r="IZ151" s="23"/>
      <c r="JA151" s="23"/>
      <c r="JB151" s="23"/>
      <c r="JC151" s="23"/>
      <c r="JD151" s="23"/>
      <c r="JE151" s="23"/>
      <c r="JF151" s="23"/>
      <c r="JG151" s="23"/>
      <c r="JH151" s="23"/>
      <c r="JI151" s="23"/>
      <c r="JJ151" s="23"/>
      <c r="JK151" s="23"/>
      <c r="JL151" s="23"/>
      <c r="JM151" s="23"/>
      <c r="JN151" s="23"/>
      <c r="JO151" s="23"/>
      <c r="JP151" s="23"/>
      <c r="JQ151" s="23"/>
      <c r="JR151" s="23"/>
      <c r="JS151" s="23"/>
      <c r="JT151" s="23"/>
      <c r="JU151" s="23"/>
      <c r="JV151" s="23"/>
      <c r="JW151" s="23"/>
      <c r="JX151" s="23"/>
      <c r="JY151" s="23"/>
      <c r="JZ151" s="23"/>
      <c r="KA151" s="23"/>
      <c r="KB151" s="23"/>
      <c r="KC151" s="23"/>
      <c r="KD151" s="23"/>
      <c r="KE151" s="23"/>
      <c r="KF151" s="23"/>
      <c r="KG151" s="23"/>
      <c r="KH151" s="23"/>
      <c r="KI151" s="23"/>
      <c r="KJ151" s="23"/>
      <c r="KK151" s="23"/>
      <c r="KL151" s="23"/>
      <c r="KM151" s="23"/>
      <c r="KN151" s="23"/>
      <c r="KO151" s="23"/>
      <c r="KP151" s="23"/>
      <c r="KQ151" s="23"/>
      <c r="KR151" s="23"/>
      <c r="KS151" s="23"/>
      <c r="KT151" s="23"/>
      <c r="KU151" s="23"/>
      <c r="KV151" s="23"/>
      <c r="KW151" s="23"/>
      <c r="KX151" s="23"/>
      <c r="KY151" s="23"/>
      <c r="KZ151" s="23"/>
      <c r="LA151" s="23"/>
      <c r="LB151" s="23"/>
      <c r="LC151" s="23"/>
      <c r="LD151" s="23"/>
      <c r="LE151" s="23"/>
      <c r="LF151" s="23"/>
      <c r="LG151" s="23"/>
      <c r="LH151" s="23"/>
      <c r="LI151" s="23"/>
      <c r="LJ151" s="23"/>
      <c r="LK151" s="23"/>
      <c r="LL151" s="23"/>
      <c r="LM151" s="23"/>
      <c r="LN151" s="23"/>
      <c r="LO151" s="23"/>
    </row>
    <row r="152" spans="1:327">
      <c r="A152" s="390"/>
      <c r="B152" s="23"/>
      <c r="C152" s="391"/>
      <c r="D152" s="391"/>
      <c r="E152" s="23"/>
      <c r="F152" s="23"/>
      <c r="G152" s="392"/>
      <c r="H152" s="392"/>
      <c r="I152" s="392"/>
      <c r="J152" s="392"/>
      <c r="K152" s="392"/>
      <c r="L152" s="392"/>
      <c r="M152" s="392"/>
      <c r="N152" s="23"/>
      <c r="O152" s="39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  <c r="IZ152" s="23"/>
      <c r="JA152" s="23"/>
      <c r="JB152" s="23"/>
      <c r="JC152" s="23"/>
      <c r="JD152" s="23"/>
      <c r="JE152" s="23"/>
      <c r="JF152" s="23"/>
      <c r="JG152" s="23"/>
      <c r="JH152" s="23"/>
      <c r="JI152" s="23"/>
      <c r="JJ152" s="23"/>
      <c r="JK152" s="23"/>
      <c r="JL152" s="23"/>
      <c r="JM152" s="23"/>
      <c r="JN152" s="23"/>
      <c r="JO152" s="23"/>
      <c r="JP152" s="23"/>
      <c r="JQ152" s="23"/>
      <c r="JR152" s="23"/>
      <c r="JS152" s="23"/>
      <c r="JT152" s="23"/>
      <c r="JU152" s="23"/>
      <c r="JV152" s="23"/>
      <c r="JW152" s="23"/>
      <c r="JX152" s="23"/>
      <c r="JY152" s="23"/>
      <c r="JZ152" s="23"/>
      <c r="KA152" s="23"/>
      <c r="KB152" s="23"/>
      <c r="KC152" s="23"/>
      <c r="KD152" s="23"/>
      <c r="KE152" s="23"/>
      <c r="KF152" s="23"/>
      <c r="KG152" s="23"/>
      <c r="KH152" s="23"/>
      <c r="KI152" s="23"/>
      <c r="KJ152" s="23"/>
      <c r="KK152" s="23"/>
      <c r="KL152" s="23"/>
      <c r="KM152" s="23"/>
      <c r="KN152" s="23"/>
      <c r="KO152" s="23"/>
      <c r="KP152" s="23"/>
      <c r="KQ152" s="23"/>
      <c r="KR152" s="23"/>
      <c r="KS152" s="23"/>
      <c r="KT152" s="23"/>
      <c r="KU152" s="23"/>
      <c r="KV152" s="23"/>
      <c r="KW152" s="23"/>
      <c r="KX152" s="23"/>
      <c r="KY152" s="23"/>
      <c r="KZ152" s="23"/>
      <c r="LA152" s="23"/>
      <c r="LB152" s="23"/>
      <c r="LC152" s="23"/>
      <c r="LD152" s="23"/>
      <c r="LE152" s="23"/>
      <c r="LF152" s="23"/>
      <c r="LG152" s="23"/>
      <c r="LH152" s="23"/>
      <c r="LI152" s="23"/>
      <c r="LJ152" s="23"/>
      <c r="LK152" s="23"/>
      <c r="LL152" s="23"/>
      <c r="LM152" s="23"/>
      <c r="LN152" s="23"/>
      <c r="LO152" s="23"/>
    </row>
    <row r="153" spans="1:327">
      <c r="A153" s="390"/>
      <c r="B153" s="23"/>
      <c r="C153" s="391"/>
      <c r="D153" s="391"/>
      <c r="E153" s="23"/>
      <c r="F153" s="23"/>
      <c r="G153" s="392"/>
      <c r="H153" s="392"/>
      <c r="I153" s="392"/>
      <c r="J153" s="392"/>
      <c r="K153" s="392"/>
      <c r="L153" s="392"/>
      <c r="M153" s="392"/>
      <c r="N153" s="23"/>
      <c r="O153" s="39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  <c r="IZ153" s="23"/>
      <c r="JA153" s="23"/>
      <c r="JB153" s="23"/>
      <c r="JC153" s="23"/>
      <c r="JD153" s="23"/>
      <c r="JE153" s="23"/>
      <c r="JF153" s="23"/>
      <c r="JG153" s="23"/>
      <c r="JH153" s="23"/>
      <c r="JI153" s="23"/>
      <c r="JJ153" s="23"/>
      <c r="JK153" s="23"/>
      <c r="JL153" s="23"/>
      <c r="JM153" s="23"/>
      <c r="JN153" s="23"/>
      <c r="JO153" s="23"/>
      <c r="JP153" s="23"/>
      <c r="JQ153" s="23"/>
      <c r="JR153" s="23"/>
      <c r="JS153" s="23"/>
      <c r="JT153" s="23"/>
      <c r="JU153" s="23"/>
      <c r="JV153" s="23"/>
      <c r="JW153" s="23"/>
      <c r="JX153" s="23"/>
      <c r="JY153" s="23"/>
      <c r="JZ153" s="23"/>
      <c r="KA153" s="23"/>
      <c r="KB153" s="23"/>
      <c r="KC153" s="23"/>
      <c r="KD153" s="23"/>
      <c r="KE153" s="23"/>
      <c r="KF153" s="23"/>
      <c r="KG153" s="23"/>
      <c r="KH153" s="23"/>
      <c r="KI153" s="23"/>
      <c r="KJ153" s="23"/>
      <c r="KK153" s="23"/>
      <c r="KL153" s="23"/>
      <c r="KM153" s="23"/>
      <c r="KN153" s="23"/>
      <c r="KO153" s="23"/>
      <c r="KP153" s="23"/>
      <c r="KQ153" s="23"/>
      <c r="KR153" s="23"/>
      <c r="KS153" s="23"/>
      <c r="KT153" s="23"/>
      <c r="KU153" s="23"/>
      <c r="KV153" s="23"/>
      <c r="KW153" s="23"/>
      <c r="KX153" s="23"/>
      <c r="KY153" s="23"/>
      <c r="KZ153" s="23"/>
      <c r="LA153" s="23"/>
      <c r="LB153" s="23"/>
      <c r="LC153" s="23"/>
      <c r="LD153" s="23"/>
      <c r="LE153" s="23"/>
      <c r="LF153" s="23"/>
      <c r="LG153" s="23"/>
      <c r="LH153" s="23"/>
      <c r="LI153" s="23"/>
      <c r="LJ153" s="23"/>
      <c r="LK153" s="23"/>
      <c r="LL153" s="23"/>
      <c r="LM153" s="23"/>
      <c r="LN153" s="23"/>
      <c r="LO153" s="23"/>
    </row>
    <row r="154" spans="1:327">
      <c r="A154" s="390"/>
      <c r="B154" s="23"/>
      <c r="C154" s="391"/>
      <c r="D154" s="391"/>
      <c r="E154" s="23"/>
      <c r="F154" s="23"/>
      <c r="G154" s="392"/>
      <c r="H154" s="392"/>
      <c r="I154" s="392"/>
      <c r="J154" s="392"/>
      <c r="K154" s="392"/>
      <c r="L154" s="392"/>
      <c r="M154" s="392"/>
      <c r="N154" s="23"/>
      <c r="O154" s="39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  <c r="IZ154" s="23"/>
      <c r="JA154" s="23"/>
      <c r="JB154" s="23"/>
      <c r="JC154" s="23"/>
      <c r="JD154" s="23"/>
      <c r="JE154" s="23"/>
      <c r="JF154" s="23"/>
      <c r="JG154" s="23"/>
      <c r="JH154" s="23"/>
      <c r="JI154" s="23"/>
      <c r="JJ154" s="23"/>
      <c r="JK154" s="23"/>
      <c r="JL154" s="23"/>
      <c r="JM154" s="23"/>
      <c r="JN154" s="23"/>
      <c r="JO154" s="23"/>
      <c r="JP154" s="23"/>
      <c r="JQ154" s="23"/>
      <c r="JR154" s="23"/>
      <c r="JS154" s="23"/>
      <c r="JT154" s="23"/>
      <c r="JU154" s="23"/>
      <c r="JV154" s="23"/>
      <c r="JW154" s="23"/>
      <c r="JX154" s="23"/>
      <c r="JY154" s="23"/>
      <c r="JZ154" s="23"/>
      <c r="KA154" s="23"/>
      <c r="KB154" s="23"/>
      <c r="KC154" s="23"/>
      <c r="KD154" s="23"/>
      <c r="KE154" s="23"/>
      <c r="KF154" s="23"/>
      <c r="KG154" s="23"/>
      <c r="KH154" s="23"/>
      <c r="KI154" s="23"/>
      <c r="KJ154" s="23"/>
      <c r="KK154" s="23"/>
      <c r="KL154" s="23"/>
      <c r="KM154" s="23"/>
      <c r="KN154" s="23"/>
      <c r="KO154" s="23"/>
      <c r="KP154" s="23"/>
      <c r="KQ154" s="23"/>
      <c r="KR154" s="23"/>
      <c r="KS154" s="23"/>
      <c r="KT154" s="23"/>
      <c r="KU154" s="23"/>
      <c r="KV154" s="23"/>
      <c r="KW154" s="23"/>
      <c r="KX154" s="23"/>
      <c r="KY154" s="23"/>
      <c r="KZ154" s="23"/>
      <c r="LA154" s="23"/>
      <c r="LB154" s="23"/>
      <c r="LC154" s="23"/>
      <c r="LD154" s="23"/>
      <c r="LE154" s="23"/>
      <c r="LF154" s="23"/>
      <c r="LG154" s="23"/>
      <c r="LH154" s="23"/>
      <c r="LI154" s="23"/>
      <c r="LJ154" s="23"/>
      <c r="LK154" s="23"/>
      <c r="LL154" s="23"/>
      <c r="LM154" s="23"/>
      <c r="LN154" s="23"/>
      <c r="LO154" s="23"/>
    </row>
    <row r="155" spans="1:327">
      <c r="A155" s="390"/>
      <c r="B155" s="23"/>
      <c r="C155" s="391"/>
      <c r="D155" s="391"/>
      <c r="E155" s="23"/>
      <c r="F155" s="23"/>
      <c r="G155" s="392"/>
      <c r="H155" s="392"/>
      <c r="I155" s="392"/>
      <c r="J155" s="392"/>
      <c r="K155" s="392"/>
      <c r="L155" s="392"/>
      <c r="M155" s="392"/>
      <c r="N155" s="23"/>
      <c r="O155" s="39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23"/>
      <c r="KT155" s="23"/>
      <c r="KU155" s="23"/>
      <c r="KV155" s="23"/>
      <c r="KW155" s="23"/>
      <c r="KX155" s="23"/>
      <c r="KY155" s="23"/>
      <c r="KZ155" s="23"/>
      <c r="LA155" s="23"/>
      <c r="LB155" s="23"/>
      <c r="LC155" s="23"/>
      <c r="LD155" s="23"/>
      <c r="LE155" s="23"/>
      <c r="LF155" s="23"/>
      <c r="LG155" s="23"/>
      <c r="LH155" s="23"/>
      <c r="LI155" s="23"/>
      <c r="LJ155" s="23"/>
      <c r="LK155" s="23"/>
      <c r="LL155" s="23"/>
      <c r="LM155" s="23"/>
      <c r="LN155" s="23"/>
      <c r="LO155" s="23"/>
    </row>
    <row r="156" spans="1:327">
      <c r="A156" s="390"/>
      <c r="B156" s="23"/>
      <c r="C156" s="391"/>
      <c r="D156" s="391"/>
      <c r="E156" s="23"/>
      <c r="F156" s="23"/>
      <c r="G156" s="392"/>
      <c r="H156" s="392"/>
      <c r="I156" s="392"/>
      <c r="J156" s="392"/>
      <c r="K156" s="392"/>
      <c r="L156" s="392"/>
      <c r="M156" s="392"/>
      <c r="N156" s="23"/>
      <c r="O156" s="39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/>
      <c r="JQ156" s="23"/>
      <c r="JR156" s="23"/>
      <c r="JS156" s="23"/>
      <c r="JT156" s="23"/>
      <c r="JU156" s="23"/>
      <c r="JV156" s="23"/>
      <c r="JW156" s="23"/>
      <c r="JX156" s="23"/>
      <c r="JY156" s="23"/>
      <c r="JZ156" s="23"/>
      <c r="KA156" s="23"/>
      <c r="KB156" s="23"/>
      <c r="KC156" s="23"/>
      <c r="KD156" s="23"/>
      <c r="KE156" s="23"/>
      <c r="KF156" s="23"/>
      <c r="KG156" s="23"/>
      <c r="KH156" s="23"/>
      <c r="KI156" s="23"/>
      <c r="KJ156" s="23"/>
      <c r="KK156" s="23"/>
      <c r="KL156" s="23"/>
      <c r="KM156" s="23"/>
      <c r="KN156" s="23"/>
      <c r="KO156" s="23"/>
      <c r="KP156" s="23"/>
      <c r="KQ156" s="23"/>
      <c r="KR156" s="23"/>
      <c r="KS156" s="23"/>
      <c r="KT156" s="23"/>
      <c r="KU156" s="23"/>
      <c r="KV156" s="23"/>
      <c r="KW156" s="23"/>
      <c r="KX156" s="23"/>
      <c r="KY156" s="23"/>
      <c r="KZ156" s="23"/>
      <c r="LA156" s="23"/>
      <c r="LB156" s="23"/>
      <c r="LC156" s="23"/>
      <c r="LD156" s="23"/>
      <c r="LE156" s="23"/>
      <c r="LF156" s="23"/>
      <c r="LG156" s="23"/>
      <c r="LH156" s="23"/>
      <c r="LI156" s="23"/>
      <c r="LJ156" s="23"/>
      <c r="LK156" s="23"/>
      <c r="LL156" s="23"/>
      <c r="LM156" s="23"/>
      <c r="LN156" s="23"/>
      <c r="LO156" s="23"/>
    </row>
    <row r="157" spans="1:327">
      <c r="A157" s="390"/>
      <c r="B157" s="23"/>
      <c r="C157" s="391"/>
      <c r="D157" s="391"/>
      <c r="E157" s="23"/>
      <c r="F157" s="23"/>
      <c r="G157" s="392"/>
      <c r="H157" s="392"/>
      <c r="I157" s="392"/>
      <c r="J157" s="392"/>
      <c r="K157" s="392"/>
      <c r="L157" s="392"/>
      <c r="M157" s="392"/>
      <c r="N157" s="23"/>
      <c r="O157" s="39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  <c r="KG157" s="23"/>
      <c r="KH157" s="23"/>
      <c r="KI157" s="23"/>
      <c r="KJ157" s="23"/>
      <c r="KK157" s="23"/>
      <c r="KL157" s="23"/>
      <c r="KM157" s="23"/>
      <c r="KN157" s="23"/>
      <c r="KO157" s="23"/>
      <c r="KP157" s="23"/>
      <c r="KQ157" s="23"/>
      <c r="KR157" s="23"/>
      <c r="KS157" s="23"/>
      <c r="KT157" s="23"/>
      <c r="KU157" s="23"/>
      <c r="KV157" s="23"/>
      <c r="KW157" s="23"/>
      <c r="KX157" s="23"/>
      <c r="KY157" s="23"/>
      <c r="KZ157" s="23"/>
      <c r="LA157" s="23"/>
      <c r="LB157" s="23"/>
      <c r="LC157" s="23"/>
      <c r="LD157" s="23"/>
      <c r="LE157" s="23"/>
      <c r="LF157" s="23"/>
      <c r="LG157" s="23"/>
      <c r="LH157" s="23"/>
      <c r="LI157" s="23"/>
      <c r="LJ157" s="23"/>
      <c r="LK157" s="23"/>
      <c r="LL157" s="23"/>
      <c r="LM157" s="23"/>
      <c r="LN157" s="23"/>
      <c r="LO157" s="23"/>
    </row>
    <row r="158" spans="1:327">
      <c r="A158" s="390"/>
      <c r="B158" s="23"/>
      <c r="C158" s="391"/>
      <c r="D158" s="391"/>
      <c r="E158" s="23"/>
      <c r="F158" s="23"/>
      <c r="G158" s="392"/>
      <c r="H158" s="392"/>
      <c r="I158" s="392"/>
      <c r="J158" s="392"/>
      <c r="K158" s="392"/>
      <c r="L158" s="392"/>
      <c r="M158" s="392"/>
      <c r="N158" s="23"/>
      <c r="O158" s="39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3"/>
      <c r="KB158" s="23"/>
      <c r="KC158" s="23"/>
      <c r="KD158" s="23"/>
      <c r="KE158" s="23"/>
      <c r="KF158" s="23"/>
      <c r="KG158" s="23"/>
      <c r="KH158" s="23"/>
      <c r="KI158" s="23"/>
      <c r="KJ158" s="23"/>
      <c r="KK158" s="23"/>
      <c r="KL158" s="23"/>
      <c r="KM158" s="23"/>
      <c r="KN158" s="23"/>
      <c r="KO158" s="23"/>
      <c r="KP158" s="23"/>
      <c r="KQ158" s="23"/>
      <c r="KR158" s="23"/>
      <c r="KS158" s="23"/>
      <c r="KT158" s="23"/>
      <c r="KU158" s="23"/>
      <c r="KV158" s="23"/>
      <c r="KW158" s="23"/>
      <c r="KX158" s="23"/>
      <c r="KY158" s="23"/>
      <c r="KZ158" s="23"/>
      <c r="LA158" s="23"/>
      <c r="LB158" s="23"/>
      <c r="LC158" s="23"/>
      <c r="LD158" s="23"/>
      <c r="LE158" s="23"/>
      <c r="LF158" s="23"/>
      <c r="LG158" s="23"/>
      <c r="LH158" s="23"/>
      <c r="LI158" s="23"/>
      <c r="LJ158" s="23"/>
      <c r="LK158" s="23"/>
      <c r="LL158" s="23"/>
      <c r="LM158" s="23"/>
      <c r="LN158" s="23"/>
      <c r="LO158" s="23"/>
    </row>
    <row r="159" spans="1:327">
      <c r="A159" s="390"/>
      <c r="B159" s="23"/>
      <c r="C159" s="391"/>
      <c r="D159" s="391"/>
      <c r="E159" s="23"/>
      <c r="F159" s="23"/>
      <c r="G159" s="392"/>
      <c r="H159" s="392"/>
      <c r="I159" s="392"/>
      <c r="J159" s="392"/>
      <c r="K159" s="392"/>
      <c r="L159" s="392"/>
      <c r="M159" s="392"/>
      <c r="N159" s="23"/>
      <c r="O159" s="39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  <c r="KG159" s="23"/>
      <c r="KH159" s="23"/>
      <c r="KI159" s="23"/>
      <c r="KJ159" s="23"/>
      <c r="KK159" s="23"/>
      <c r="KL159" s="23"/>
      <c r="KM159" s="23"/>
      <c r="KN159" s="23"/>
      <c r="KO159" s="23"/>
      <c r="KP159" s="23"/>
      <c r="KQ159" s="23"/>
      <c r="KR159" s="23"/>
      <c r="KS159" s="23"/>
      <c r="KT159" s="23"/>
      <c r="KU159" s="23"/>
      <c r="KV159" s="23"/>
      <c r="KW159" s="23"/>
      <c r="KX159" s="23"/>
      <c r="KY159" s="23"/>
      <c r="KZ159" s="23"/>
      <c r="LA159" s="23"/>
      <c r="LB159" s="23"/>
      <c r="LC159" s="23"/>
      <c r="LD159" s="23"/>
      <c r="LE159" s="23"/>
      <c r="LF159" s="23"/>
      <c r="LG159" s="23"/>
      <c r="LH159" s="23"/>
      <c r="LI159" s="23"/>
      <c r="LJ159" s="23"/>
      <c r="LK159" s="23"/>
      <c r="LL159" s="23"/>
      <c r="LM159" s="23"/>
      <c r="LN159" s="23"/>
      <c r="LO159" s="23"/>
    </row>
    <row r="160" spans="1:327">
      <c r="A160" s="390"/>
      <c r="B160" s="23"/>
      <c r="C160" s="391"/>
      <c r="D160" s="391"/>
      <c r="E160" s="23"/>
      <c r="F160" s="23"/>
      <c r="G160" s="392"/>
      <c r="H160" s="392"/>
      <c r="I160" s="392"/>
      <c r="J160" s="392"/>
      <c r="K160" s="392"/>
      <c r="L160" s="392"/>
      <c r="M160" s="392"/>
      <c r="N160" s="23"/>
      <c r="O160" s="39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/>
      <c r="JQ160" s="23"/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  <c r="KG160" s="23"/>
      <c r="KH160" s="23"/>
      <c r="KI160" s="23"/>
      <c r="KJ160" s="23"/>
      <c r="KK160" s="23"/>
      <c r="KL160" s="23"/>
      <c r="KM160" s="23"/>
      <c r="KN160" s="23"/>
      <c r="KO160" s="23"/>
      <c r="KP160" s="23"/>
      <c r="KQ160" s="23"/>
      <c r="KR160" s="23"/>
      <c r="KS160" s="23"/>
      <c r="KT160" s="23"/>
      <c r="KU160" s="23"/>
      <c r="KV160" s="23"/>
      <c r="KW160" s="23"/>
      <c r="KX160" s="23"/>
      <c r="KY160" s="23"/>
      <c r="KZ160" s="23"/>
      <c r="LA160" s="23"/>
      <c r="LB160" s="23"/>
      <c r="LC160" s="23"/>
      <c r="LD160" s="23"/>
      <c r="LE160" s="23"/>
      <c r="LF160" s="23"/>
      <c r="LG160" s="23"/>
      <c r="LH160" s="23"/>
      <c r="LI160" s="23"/>
      <c r="LJ160" s="23"/>
      <c r="LK160" s="23"/>
      <c r="LL160" s="23"/>
      <c r="LM160" s="23"/>
      <c r="LN160" s="23"/>
      <c r="LO160" s="23"/>
    </row>
    <row r="161" spans="1:327">
      <c r="A161" s="390"/>
      <c r="B161" s="23"/>
      <c r="C161" s="391"/>
      <c r="D161" s="391"/>
      <c r="E161" s="23"/>
      <c r="F161" s="23"/>
      <c r="G161" s="392"/>
      <c r="H161" s="392"/>
      <c r="I161" s="392"/>
      <c r="J161" s="392"/>
      <c r="K161" s="392"/>
      <c r="L161" s="392"/>
      <c r="M161" s="392"/>
      <c r="N161" s="23"/>
      <c r="O161" s="39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/>
      <c r="JQ161" s="23"/>
      <c r="JR161" s="23"/>
      <c r="JS161" s="23"/>
      <c r="JT161" s="23"/>
      <c r="JU161" s="23"/>
      <c r="JV161" s="23"/>
      <c r="JW161" s="23"/>
      <c r="JX161" s="23"/>
      <c r="JY161" s="23"/>
      <c r="JZ161" s="23"/>
      <c r="KA161" s="23"/>
      <c r="KB161" s="23"/>
      <c r="KC161" s="23"/>
      <c r="KD161" s="23"/>
      <c r="KE161" s="23"/>
      <c r="KF161" s="23"/>
      <c r="KG161" s="23"/>
      <c r="KH161" s="23"/>
      <c r="KI161" s="23"/>
      <c r="KJ161" s="23"/>
      <c r="KK161" s="23"/>
      <c r="KL161" s="23"/>
      <c r="KM161" s="23"/>
      <c r="KN161" s="23"/>
      <c r="KO161" s="23"/>
      <c r="KP161" s="23"/>
      <c r="KQ161" s="23"/>
      <c r="KR161" s="23"/>
      <c r="KS161" s="23"/>
      <c r="KT161" s="23"/>
      <c r="KU161" s="23"/>
      <c r="KV161" s="23"/>
      <c r="KW161" s="23"/>
      <c r="KX161" s="23"/>
      <c r="KY161" s="23"/>
      <c r="KZ161" s="23"/>
      <c r="LA161" s="23"/>
      <c r="LB161" s="23"/>
      <c r="LC161" s="23"/>
      <c r="LD161" s="23"/>
      <c r="LE161" s="23"/>
      <c r="LF161" s="23"/>
      <c r="LG161" s="23"/>
      <c r="LH161" s="23"/>
      <c r="LI161" s="23"/>
      <c r="LJ161" s="23"/>
      <c r="LK161" s="23"/>
      <c r="LL161" s="23"/>
      <c r="LM161" s="23"/>
      <c r="LN161" s="23"/>
      <c r="LO161" s="23"/>
    </row>
    <row r="162" spans="1:327">
      <c r="A162" s="390"/>
      <c r="B162" s="23"/>
      <c r="C162" s="391"/>
      <c r="D162" s="391"/>
      <c r="E162" s="23"/>
      <c r="F162" s="23"/>
      <c r="G162" s="392"/>
      <c r="H162" s="392"/>
      <c r="I162" s="392"/>
      <c r="J162" s="392"/>
      <c r="K162" s="392"/>
      <c r="L162" s="392"/>
      <c r="M162" s="392"/>
      <c r="N162" s="23"/>
      <c r="O162" s="39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  <c r="KG162" s="23"/>
      <c r="KH162" s="23"/>
      <c r="KI162" s="23"/>
      <c r="KJ162" s="23"/>
      <c r="KK162" s="23"/>
      <c r="KL162" s="23"/>
      <c r="KM162" s="23"/>
      <c r="KN162" s="23"/>
      <c r="KO162" s="23"/>
      <c r="KP162" s="23"/>
      <c r="KQ162" s="23"/>
      <c r="KR162" s="23"/>
      <c r="KS162" s="23"/>
      <c r="KT162" s="23"/>
      <c r="KU162" s="23"/>
      <c r="KV162" s="23"/>
      <c r="KW162" s="23"/>
      <c r="KX162" s="23"/>
      <c r="KY162" s="23"/>
      <c r="KZ162" s="23"/>
      <c r="LA162" s="23"/>
      <c r="LB162" s="23"/>
      <c r="LC162" s="23"/>
      <c r="LD162" s="23"/>
      <c r="LE162" s="23"/>
      <c r="LF162" s="23"/>
      <c r="LG162" s="23"/>
      <c r="LH162" s="23"/>
      <c r="LI162" s="23"/>
      <c r="LJ162" s="23"/>
      <c r="LK162" s="23"/>
      <c r="LL162" s="23"/>
      <c r="LM162" s="23"/>
      <c r="LN162" s="23"/>
      <c r="LO162" s="23"/>
    </row>
    <row r="163" spans="1:327">
      <c r="A163" s="390"/>
      <c r="B163" s="23"/>
      <c r="C163" s="391"/>
      <c r="D163" s="391"/>
      <c r="E163" s="23"/>
      <c r="F163" s="23"/>
      <c r="G163" s="392"/>
      <c r="H163" s="392"/>
      <c r="I163" s="392"/>
      <c r="J163" s="392"/>
      <c r="K163" s="392"/>
      <c r="L163" s="392"/>
      <c r="M163" s="392"/>
      <c r="N163" s="23"/>
      <c r="O163" s="39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23"/>
      <c r="KT163" s="23"/>
      <c r="KU163" s="23"/>
      <c r="KV163" s="23"/>
      <c r="KW163" s="23"/>
      <c r="KX163" s="23"/>
      <c r="KY163" s="23"/>
      <c r="KZ163" s="23"/>
      <c r="LA163" s="23"/>
      <c r="LB163" s="23"/>
      <c r="LC163" s="23"/>
      <c r="LD163" s="23"/>
      <c r="LE163" s="23"/>
      <c r="LF163" s="23"/>
      <c r="LG163" s="23"/>
      <c r="LH163" s="23"/>
      <c r="LI163" s="23"/>
      <c r="LJ163" s="23"/>
      <c r="LK163" s="23"/>
      <c r="LL163" s="23"/>
      <c r="LM163" s="23"/>
      <c r="LN163" s="23"/>
      <c r="LO163" s="23"/>
    </row>
    <row r="164" spans="1:327">
      <c r="A164" s="390"/>
      <c r="B164" s="23"/>
      <c r="C164" s="391"/>
      <c r="D164" s="391"/>
      <c r="E164" s="23"/>
      <c r="F164" s="23"/>
      <c r="G164" s="392"/>
      <c r="H164" s="392"/>
      <c r="I164" s="392"/>
      <c r="J164" s="392"/>
      <c r="K164" s="392"/>
      <c r="L164" s="392"/>
      <c r="M164" s="392"/>
      <c r="N164" s="23"/>
      <c r="O164" s="39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23"/>
      <c r="KT164" s="23"/>
      <c r="KU164" s="23"/>
      <c r="KV164" s="23"/>
      <c r="KW164" s="23"/>
      <c r="KX164" s="23"/>
      <c r="KY164" s="23"/>
      <c r="KZ164" s="23"/>
      <c r="LA164" s="23"/>
      <c r="LB164" s="23"/>
      <c r="LC164" s="23"/>
      <c r="LD164" s="23"/>
      <c r="LE164" s="23"/>
      <c r="LF164" s="23"/>
      <c r="LG164" s="23"/>
      <c r="LH164" s="23"/>
      <c r="LI164" s="23"/>
      <c r="LJ164" s="23"/>
      <c r="LK164" s="23"/>
      <c r="LL164" s="23"/>
      <c r="LM164" s="23"/>
      <c r="LN164" s="23"/>
      <c r="LO164" s="23"/>
    </row>
    <row r="165" spans="1:327">
      <c r="A165" s="390"/>
      <c r="B165" s="23"/>
      <c r="C165" s="391"/>
      <c r="D165" s="391"/>
      <c r="E165" s="23"/>
      <c r="F165" s="23"/>
      <c r="G165" s="392"/>
      <c r="H165" s="392"/>
      <c r="I165" s="392"/>
      <c r="J165" s="392"/>
      <c r="K165" s="392"/>
      <c r="L165" s="392"/>
      <c r="M165" s="392"/>
      <c r="N165" s="23"/>
      <c r="O165" s="39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  <c r="KG165" s="23"/>
      <c r="KH165" s="23"/>
      <c r="KI165" s="23"/>
      <c r="KJ165" s="23"/>
      <c r="KK165" s="23"/>
      <c r="KL165" s="23"/>
      <c r="KM165" s="23"/>
      <c r="KN165" s="23"/>
      <c r="KO165" s="23"/>
      <c r="KP165" s="23"/>
      <c r="KQ165" s="23"/>
      <c r="KR165" s="23"/>
      <c r="KS165" s="23"/>
      <c r="KT165" s="23"/>
      <c r="KU165" s="23"/>
      <c r="KV165" s="23"/>
      <c r="KW165" s="23"/>
      <c r="KX165" s="23"/>
      <c r="KY165" s="23"/>
      <c r="KZ165" s="23"/>
      <c r="LA165" s="23"/>
      <c r="LB165" s="23"/>
      <c r="LC165" s="23"/>
      <c r="LD165" s="23"/>
      <c r="LE165" s="23"/>
      <c r="LF165" s="23"/>
      <c r="LG165" s="23"/>
      <c r="LH165" s="23"/>
      <c r="LI165" s="23"/>
      <c r="LJ165" s="23"/>
      <c r="LK165" s="23"/>
      <c r="LL165" s="23"/>
      <c r="LM165" s="23"/>
      <c r="LN165" s="23"/>
      <c r="LO165" s="23"/>
    </row>
    <row r="166" spans="1:327">
      <c r="A166" s="390"/>
      <c r="B166" s="23"/>
      <c r="C166" s="391"/>
      <c r="D166" s="391"/>
      <c r="E166" s="23"/>
      <c r="F166" s="23"/>
      <c r="G166" s="392"/>
      <c r="H166" s="392"/>
      <c r="I166" s="392"/>
      <c r="J166" s="392"/>
      <c r="K166" s="392"/>
      <c r="L166" s="392"/>
      <c r="M166" s="392"/>
      <c r="N166" s="23"/>
      <c r="O166" s="39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  <c r="KG166" s="23"/>
      <c r="KH166" s="23"/>
      <c r="KI166" s="23"/>
      <c r="KJ166" s="23"/>
      <c r="KK166" s="23"/>
      <c r="KL166" s="23"/>
      <c r="KM166" s="23"/>
      <c r="KN166" s="23"/>
      <c r="KO166" s="23"/>
      <c r="KP166" s="23"/>
      <c r="KQ166" s="23"/>
      <c r="KR166" s="23"/>
      <c r="KS166" s="23"/>
      <c r="KT166" s="23"/>
      <c r="KU166" s="23"/>
      <c r="KV166" s="23"/>
      <c r="KW166" s="23"/>
      <c r="KX166" s="23"/>
      <c r="KY166" s="23"/>
      <c r="KZ166" s="23"/>
      <c r="LA166" s="23"/>
      <c r="LB166" s="23"/>
      <c r="LC166" s="23"/>
      <c r="LD166" s="23"/>
      <c r="LE166" s="23"/>
      <c r="LF166" s="23"/>
      <c r="LG166" s="23"/>
      <c r="LH166" s="23"/>
      <c r="LI166" s="23"/>
      <c r="LJ166" s="23"/>
      <c r="LK166" s="23"/>
      <c r="LL166" s="23"/>
      <c r="LM166" s="23"/>
      <c r="LN166" s="23"/>
      <c r="LO166" s="23"/>
    </row>
    <row r="167" spans="1:327">
      <c r="A167" s="390"/>
      <c r="B167" s="23"/>
      <c r="C167" s="391"/>
      <c r="D167" s="391"/>
      <c r="E167" s="23"/>
      <c r="F167" s="23"/>
      <c r="G167" s="392"/>
      <c r="H167" s="392"/>
      <c r="I167" s="392"/>
      <c r="J167" s="392"/>
      <c r="K167" s="392"/>
      <c r="L167" s="392"/>
      <c r="M167" s="392"/>
      <c r="N167" s="23"/>
      <c r="O167" s="39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</row>
    <row r="168" spans="1:327">
      <c r="A168" s="390"/>
      <c r="B168" s="23"/>
      <c r="C168" s="391"/>
      <c r="D168" s="391"/>
      <c r="E168" s="23"/>
      <c r="F168" s="23"/>
      <c r="G168" s="392"/>
      <c r="H168" s="392"/>
      <c r="I168" s="392"/>
      <c r="J168" s="392"/>
      <c r="K168" s="392"/>
      <c r="L168" s="392"/>
      <c r="M168" s="392"/>
      <c r="N168" s="23"/>
      <c r="O168" s="39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</row>
    <row r="169" spans="1:327">
      <c r="A169" s="390"/>
      <c r="B169" s="23"/>
      <c r="C169" s="391"/>
      <c r="D169" s="391"/>
      <c r="E169" s="23"/>
      <c r="F169" s="23"/>
      <c r="G169" s="392"/>
      <c r="H169" s="392"/>
      <c r="I169" s="392"/>
      <c r="J169" s="392"/>
      <c r="K169" s="392"/>
      <c r="L169" s="392"/>
      <c r="M169" s="392"/>
      <c r="N169" s="23"/>
      <c r="O169" s="39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  <c r="KG169" s="23"/>
      <c r="KH169" s="23"/>
      <c r="KI169" s="23"/>
      <c r="KJ169" s="23"/>
      <c r="KK169" s="23"/>
      <c r="KL169" s="23"/>
      <c r="KM169" s="23"/>
      <c r="KN169" s="23"/>
      <c r="KO169" s="23"/>
      <c r="KP169" s="23"/>
      <c r="KQ169" s="23"/>
      <c r="KR169" s="23"/>
      <c r="KS169" s="23"/>
      <c r="KT169" s="23"/>
      <c r="KU169" s="23"/>
      <c r="KV169" s="23"/>
      <c r="KW169" s="23"/>
      <c r="KX169" s="23"/>
      <c r="KY169" s="23"/>
      <c r="KZ169" s="23"/>
      <c r="LA169" s="23"/>
      <c r="LB169" s="23"/>
      <c r="LC169" s="23"/>
      <c r="LD169" s="23"/>
      <c r="LE169" s="23"/>
      <c r="LF169" s="23"/>
      <c r="LG169" s="23"/>
      <c r="LH169" s="23"/>
      <c r="LI169" s="23"/>
      <c r="LJ169" s="23"/>
      <c r="LK169" s="23"/>
      <c r="LL169" s="23"/>
      <c r="LM169" s="23"/>
      <c r="LN169" s="23"/>
      <c r="LO169" s="23"/>
    </row>
    <row r="170" spans="1:327">
      <c r="A170" s="390"/>
      <c r="B170" s="23"/>
      <c r="C170" s="391"/>
      <c r="D170" s="391"/>
      <c r="E170" s="23"/>
      <c r="F170" s="23"/>
      <c r="G170" s="392"/>
      <c r="H170" s="392"/>
      <c r="I170" s="392"/>
      <c r="J170" s="392"/>
      <c r="K170" s="392"/>
      <c r="L170" s="392"/>
      <c r="M170" s="392"/>
      <c r="N170" s="23"/>
      <c r="O170" s="39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/>
      <c r="JQ170" s="23"/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  <c r="KG170" s="23"/>
      <c r="KH170" s="23"/>
      <c r="KI170" s="23"/>
      <c r="KJ170" s="23"/>
      <c r="KK170" s="23"/>
      <c r="KL170" s="23"/>
      <c r="KM170" s="23"/>
      <c r="KN170" s="23"/>
      <c r="KO170" s="23"/>
      <c r="KP170" s="23"/>
      <c r="KQ170" s="23"/>
      <c r="KR170" s="23"/>
      <c r="KS170" s="23"/>
      <c r="KT170" s="23"/>
      <c r="KU170" s="23"/>
      <c r="KV170" s="23"/>
      <c r="KW170" s="23"/>
      <c r="KX170" s="23"/>
      <c r="KY170" s="23"/>
      <c r="KZ170" s="23"/>
      <c r="LA170" s="23"/>
      <c r="LB170" s="23"/>
      <c r="LC170" s="23"/>
      <c r="LD170" s="23"/>
      <c r="LE170" s="23"/>
      <c r="LF170" s="23"/>
      <c r="LG170" s="23"/>
      <c r="LH170" s="23"/>
      <c r="LI170" s="23"/>
      <c r="LJ170" s="23"/>
      <c r="LK170" s="23"/>
      <c r="LL170" s="23"/>
      <c r="LM170" s="23"/>
      <c r="LN170" s="23"/>
      <c r="LO170" s="23"/>
    </row>
    <row r="171" spans="1:327">
      <c r="A171" s="390"/>
      <c r="B171" s="23"/>
      <c r="C171" s="391"/>
      <c r="D171" s="391"/>
      <c r="E171" s="23"/>
      <c r="F171" s="23"/>
      <c r="G171" s="392"/>
      <c r="H171" s="392"/>
      <c r="I171" s="392"/>
      <c r="J171" s="392"/>
      <c r="K171" s="392"/>
      <c r="L171" s="392"/>
      <c r="M171" s="392"/>
      <c r="N171" s="23"/>
      <c r="O171" s="39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  <c r="IZ171" s="23"/>
      <c r="JA171" s="23"/>
      <c r="JB171" s="23"/>
      <c r="JC171" s="23"/>
      <c r="JD171" s="23"/>
      <c r="JE171" s="23"/>
      <c r="JF171" s="23"/>
      <c r="JG171" s="23"/>
      <c r="JH171" s="23"/>
      <c r="JI171" s="23"/>
      <c r="JJ171" s="23"/>
      <c r="JK171" s="23"/>
      <c r="JL171" s="23"/>
      <c r="JM171" s="23"/>
      <c r="JN171" s="23"/>
      <c r="JO171" s="23"/>
      <c r="JP171" s="23"/>
      <c r="JQ171" s="23"/>
      <c r="JR171" s="23"/>
      <c r="JS171" s="23"/>
      <c r="JT171" s="23"/>
      <c r="JU171" s="23"/>
      <c r="JV171" s="23"/>
      <c r="JW171" s="23"/>
      <c r="JX171" s="23"/>
      <c r="JY171" s="23"/>
      <c r="JZ171" s="23"/>
      <c r="KA171" s="23"/>
      <c r="KB171" s="23"/>
      <c r="KC171" s="23"/>
      <c r="KD171" s="23"/>
      <c r="KE171" s="23"/>
      <c r="KF171" s="23"/>
      <c r="KG171" s="23"/>
      <c r="KH171" s="23"/>
      <c r="KI171" s="23"/>
      <c r="KJ171" s="23"/>
      <c r="KK171" s="23"/>
      <c r="KL171" s="23"/>
      <c r="KM171" s="23"/>
      <c r="KN171" s="23"/>
      <c r="KO171" s="23"/>
      <c r="KP171" s="23"/>
      <c r="KQ171" s="23"/>
      <c r="KR171" s="23"/>
      <c r="KS171" s="23"/>
      <c r="KT171" s="23"/>
      <c r="KU171" s="23"/>
      <c r="KV171" s="23"/>
      <c r="KW171" s="23"/>
      <c r="KX171" s="23"/>
      <c r="KY171" s="23"/>
      <c r="KZ171" s="23"/>
      <c r="LA171" s="23"/>
      <c r="LB171" s="23"/>
      <c r="LC171" s="23"/>
      <c r="LD171" s="23"/>
      <c r="LE171" s="23"/>
      <c r="LF171" s="23"/>
      <c r="LG171" s="23"/>
      <c r="LH171" s="23"/>
      <c r="LI171" s="23"/>
      <c r="LJ171" s="23"/>
      <c r="LK171" s="23"/>
      <c r="LL171" s="23"/>
      <c r="LM171" s="23"/>
      <c r="LN171" s="23"/>
      <c r="LO171" s="23"/>
    </row>
    <row r="172" spans="1:327">
      <c r="A172" s="390"/>
      <c r="B172" s="23"/>
      <c r="C172" s="391"/>
      <c r="D172" s="391"/>
      <c r="E172" s="23"/>
      <c r="F172" s="23"/>
      <c r="G172" s="392"/>
      <c r="H172" s="392"/>
      <c r="I172" s="392"/>
      <c r="J172" s="392"/>
      <c r="K172" s="392"/>
      <c r="L172" s="392"/>
      <c r="M172" s="392"/>
      <c r="N172" s="23"/>
      <c r="O172" s="39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  <c r="IZ172" s="23"/>
      <c r="JA172" s="23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3"/>
      <c r="JY172" s="23"/>
      <c r="JZ172" s="23"/>
      <c r="KA172" s="23"/>
      <c r="KB172" s="23"/>
      <c r="KC172" s="23"/>
      <c r="KD172" s="23"/>
      <c r="KE172" s="23"/>
      <c r="KF172" s="23"/>
      <c r="KG172" s="23"/>
      <c r="KH172" s="23"/>
      <c r="KI172" s="23"/>
      <c r="KJ172" s="23"/>
      <c r="KK172" s="23"/>
      <c r="KL172" s="23"/>
      <c r="KM172" s="23"/>
      <c r="KN172" s="23"/>
      <c r="KO172" s="23"/>
      <c r="KP172" s="23"/>
      <c r="KQ172" s="23"/>
      <c r="KR172" s="23"/>
      <c r="KS172" s="23"/>
      <c r="KT172" s="23"/>
      <c r="KU172" s="23"/>
      <c r="KV172" s="23"/>
      <c r="KW172" s="23"/>
      <c r="KX172" s="23"/>
      <c r="KY172" s="23"/>
      <c r="KZ172" s="23"/>
      <c r="LA172" s="23"/>
      <c r="LB172" s="23"/>
      <c r="LC172" s="23"/>
      <c r="LD172" s="23"/>
      <c r="LE172" s="23"/>
      <c r="LF172" s="23"/>
      <c r="LG172" s="23"/>
      <c r="LH172" s="23"/>
      <c r="LI172" s="23"/>
      <c r="LJ172" s="23"/>
      <c r="LK172" s="23"/>
      <c r="LL172" s="23"/>
      <c r="LM172" s="23"/>
      <c r="LN172" s="23"/>
      <c r="LO172" s="23"/>
    </row>
    <row r="173" spans="1:327">
      <c r="A173" s="390"/>
      <c r="B173" s="23"/>
      <c r="C173" s="391"/>
      <c r="D173" s="391"/>
      <c r="E173" s="23"/>
      <c r="F173" s="23"/>
      <c r="G173" s="392"/>
      <c r="H173" s="392"/>
      <c r="I173" s="392"/>
      <c r="J173" s="392"/>
      <c r="K173" s="392"/>
      <c r="L173" s="392"/>
      <c r="M173" s="392"/>
      <c r="N173" s="23"/>
      <c r="O173" s="39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  <c r="IZ173" s="23"/>
      <c r="JA173" s="23"/>
      <c r="JB173" s="23"/>
      <c r="JC173" s="23"/>
      <c r="JD173" s="23"/>
      <c r="JE173" s="23"/>
      <c r="JF173" s="23"/>
      <c r="JG173" s="23"/>
      <c r="JH173" s="23"/>
      <c r="JI173" s="23"/>
      <c r="JJ173" s="23"/>
      <c r="JK173" s="23"/>
      <c r="JL173" s="23"/>
      <c r="JM173" s="23"/>
      <c r="JN173" s="23"/>
      <c r="JO173" s="23"/>
      <c r="JP173" s="23"/>
      <c r="JQ173" s="23"/>
      <c r="JR173" s="23"/>
      <c r="JS173" s="23"/>
      <c r="JT173" s="23"/>
      <c r="JU173" s="23"/>
      <c r="JV173" s="23"/>
      <c r="JW173" s="23"/>
      <c r="JX173" s="23"/>
      <c r="JY173" s="23"/>
      <c r="JZ173" s="23"/>
      <c r="KA173" s="23"/>
      <c r="KB173" s="23"/>
      <c r="KC173" s="23"/>
      <c r="KD173" s="23"/>
      <c r="KE173" s="23"/>
      <c r="KF173" s="23"/>
      <c r="KG173" s="23"/>
      <c r="KH173" s="23"/>
      <c r="KI173" s="23"/>
      <c r="KJ173" s="23"/>
      <c r="KK173" s="23"/>
      <c r="KL173" s="23"/>
      <c r="KM173" s="23"/>
      <c r="KN173" s="23"/>
      <c r="KO173" s="23"/>
      <c r="KP173" s="23"/>
      <c r="KQ173" s="23"/>
      <c r="KR173" s="23"/>
      <c r="KS173" s="23"/>
      <c r="KT173" s="23"/>
      <c r="KU173" s="23"/>
      <c r="KV173" s="23"/>
      <c r="KW173" s="23"/>
      <c r="KX173" s="23"/>
      <c r="KY173" s="23"/>
      <c r="KZ173" s="23"/>
      <c r="LA173" s="23"/>
      <c r="LB173" s="23"/>
      <c r="LC173" s="23"/>
      <c r="LD173" s="23"/>
      <c r="LE173" s="23"/>
      <c r="LF173" s="23"/>
      <c r="LG173" s="23"/>
      <c r="LH173" s="23"/>
      <c r="LI173" s="23"/>
      <c r="LJ173" s="23"/>
      <c r="LK173" s="23"/>
      <c r="LL173" s="23"/>
      <c r="LM173" s="23"/>
      <c r="LN173" s="23"/>
      <c r="LO173" s="23"/>
    </row>
    <row r="174" spans="1:327">
      <c r="A174" s="390"/>
      <c r="B174" s="23"/>
      <c r="C174" s="391"/>
      <c r="D174" s="391"/>
      <c r="E174" s="23"/>
      <c r="F174" s="23"/>
      <c r="G174" s="392"/>
      <c r="H174" s="392"/>
      <c r="I174" s="392"/>
      <c r="J174" s="392"/>
      <c r="K174" s="392"/>
      <c r="L174" s="392"/>
      <c r="M174" s="392"/>
      <c r="N174" s="23"/>
      <c r="O174" s="39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  <c r="IZ174" s="23"/>
      <c r="JA174" s="23"/>
      <c r="JB174" s="23"/>
      <c r="JC174" s="23"/>
      <c r="JD174" s="23"/>
      <c r="JE174" s="23"/>
      <c r="JF174" s="23"/>
      <c r="JG174" s="23"/>
      <c r="JH174" s="23"/>
      <c r="JI174" s="23"/>
      <c r="JJ174" s="23"/>
      <c r="JK174" s="23"/>
      <c r="JL174" s="23"/>
      <c r="JM174" s="23"/>
      <c r="JN174" s="23"/>
      <c r="JO174" s="23"/>
      <c r="JP174" s="23"/>
      <c r="JQ174" s="23"/>
      <c r="JR174" s="23"/>
      <c r="JS174" s="23"/>
      <c r="JT174" s="23"/>
      <c r="JU174" s="23"/>
      <c r="JV174" s="23"/>
      <c r="JW174" s="23"/>
      <c r="JX174" s="23"/>
      <c r="JY174" s="23"/>
      <c r="JZ174" s="23"/>
      <c r="KA174" s="23"/>
      <c r="KB174" s="23"/>
      <c r="KC174" s="23"/>
      <c r="KD174" s="23"/>
      <c r="KE174" s="23"/>
      <c r="KF174" s="23"/>
      <c r="KG174" s="23"/>
      <c r="KH174" s="23"/>
      <c r="KI174" s="23"/>
      <c r="KJ174" s="23"/>
      <c r="KK174" s="23"/>
      <c r="KL174" s="23"/>
      <c r="KM174" s="23"/>
      <c r="KN174" s="23"/>
      <c r="KO174" s="23"/>
      <c r="KP174" s="23"/>
      <c r="KQ174" s="23"/>
      <c r="KR174" s="23"/>
      <c r="KS174" s="23"/>
      <c r="KT174" s="23"/>
      <c r="KU174" s="23"/>
      <c r="KV174" s="23"/>
      <c r="KW174" s="23"/>
      <c r="KX174" s="23"/>
      <c r="KY174" s="23"/>
      <c r="KZ174" s="23"/>
      <c r="LA174" s="23"/>
      <c r="LB174" s="23"/>
      <c r="LC174" s="23"/>
      <c r="LD174" s="23"/>
      <c r="LE174" s="23"/>
      <c r="LF174" s="23"/>
      <c r="LG174" s="23"/>
      <c r="LH174" s="23"/>
      <c r="LI174" s="23"/>
      <c r="LJ174" s="23"/>
      <c r="LK174" s="23"/>
      <c r="LL174" s="23"/>
      <c r="LM174" s="23"/>
      <c r="LN174" s="23"/>
      <c r="LO174" s="23"/>
    </row>
    <row r="175" spans="1:327">
      <c r="A175" s="390"/>
      <c r="B175" s="23"/>
      <c r="C175" s="391"/>
      <c r="D175" s="391"/>
      <c r="E175" s="23"/>
      <c r="F175" s="23"/>
      <c r="G175" s="392"/>
      <c r="H175" s="392"/>
      <c r="I175" s="392"/>
      <c r="J175" s="392"/>
      <c r="K175" s="392"/>
      <c r="L175" s="392"/>
      <c r="M175" s="392"/>
      <c r="N175" s="23"/>
      <c r="O175" s="39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/>
      <c r="JQ175" s="23"/>
      <c r="JR175" s="23"/>
      <c r="JS175" s="23"/>
      <c r="JT175" s="23"/>
      <c r="JU175" s="23"/>
      <c r="JV175" s="23"/>
      <c r="JW175" s="23"/>
      <c r="JX175" s="23"/>
      <c r="JY175" s="23"/>
      <c r="JZ175" s="23"/>
      <c r="KA175" s="23"/>
      <c r="KB175" s="23"/>
      <c r="KC175" s="23"/>
      <c r="KD175" s="23"/>
      <c r="KE175" s="23"/>
      <c r="KF175" s="23"/>
      <c r="KG175" s="23"/>
      <c r="KH175" s="23"/>
      <c r="KI175" s="23"/>
      <c r="KJ175" s="23"/>
      <c r="KK175" s="23"/>
      <c r="KL175" s="23"/>
      <c r="KM175" s="23"/>
      <c r="KN175" s="23"/>
      <c r="KO175" s="23"/>
      <c r="KP175" s="23"/>
      <c r="KQ175" s="23"/>
      <c r="KR175" s="23"/>
      <c r="KS175" s="23"/>
      <c r="KT175" s="23"/>
      <c r="KU175" s="23"/>
      <c r="KV175" s="23"/>
      <c r="KW175" s="23"/>
      <c r="KX175" s="23"/>
      <c r="KY175" s="23"/>
      <c r="KZ175" s="23"/>
      <c r="LA175" s="23"/>
      <c r="LB175" s="23"/>
      <c r="LC175" s="23"/>
      <c r="LD175" s="23"/>
      <c r="LE175" s="23"/>
      <c r="LF175" s="23"/>
      <c r="LG175" s="23"/>
      <c r="LH175" s="23"/>
      <c r="LI175" s="23"/>
      <c r="LJ175" s="23"/>
      <c r="LK175" s="23"/>
      <c r="LL175" s="23"/>
      <c r="LM175" s="23"/>
      <c r="LN175" s="23"/>
      <c r="LO175" s="23"/>
    </row>
    <row r="176" spans="1:327">
      <c r="A176" s="390"/>
      <c r="B176" s="23"/>
      <c r="C176" s="391"/>
      <c r="D176" s="391"/>
      <c r="E176" s="23"/>
      <c r="F176" s="23"/>
      <c r="G176" s="392"/>
      <c r="H176" s="392"/>
      <c r="I176" s="392"/>
      <c r="J176" s="392"/>
      <c r="K176" s="392"/>
      <c r="L176" s="392"/>
      <c r="M176" s="392"/>
      <c r="N176" s="23"/>
      <c r="O176" s="39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  <c r="IZ176" s="23"/>
      <c r="JA176" s="23"/>
      <c r="JB176" s="23"/>
      <c r="JC176" s="23"/>
      <c r="JD176" s="23"/>
      <c r="JE176" s="23"/>
      <c r="JF176" s="23"/>
      <c r="JG176" s="23"/>
      <c r="JH176" s="23"/>
      <c r="JI176" s="23"/>
      <c r="JJ176" s="23"/>
      <c r="JK176" s="23"/>
      <c r="JL176" s="23"/>
      <c r="JM176" s="23"/>
      <c r="JN176" s="23"/>
      <c r="JO176" s="23"/>
      <c r="JP176" s="23"/>
      <c r="JQ176" s="23"/>
      <c r="JR176" s="23"/>
      <c r="JS176" s="23"/>
      <c r="JT176" s="23"/>
      <c r="JU176" s="23"/>
      <c r="JV176" s="23"/>
      <c r="JW176" s="23"/>
      <c r="JX176" s="23"/>
      <c r="JY176" s="23"/>
      <c r="JZ176" s="23"/>
      <c r="KA176" s="23"/>
      <c r="KB176" s="23"/>
      <c r="KC176" s="23"/>
      <c r="KD176" s="23"/>
      <c r="KE176" s="23"/>
      <c r="KF176" s="23"/>
      <c r="KG176" s="23"/>
      <c r="KH176" s="23"/>
      <c r="KI176" s="23"/>
      <c r="KJ176" s="23"/>
      <c r="KK176" s="23"/>
      <c r="KL176" s="23"/>
      <c r="KM176" s="23"/>
      <c r="KN176" s="23"/>
      <c r="KO176" s="23"/>
      <c r="KP176" s="23"/>
      <c r="KQ176" s="23"/>
      <c r="KR176" s="23"/>
      <c r="KS176" s="23"/>
      <c r="KT176" s="23"/>
      <c r="KU176" s="23"/>
      <c r="KV176" s="23"/>
      <c r="KW176" s="23"/>
      <c r="KX176" s="23"/>
      <c r="KY176" s="23"/>
      <c r="KZ176" s="23"/>
      <c r="LA176" s="23"/>
      <c r="LB176" s="23"/>
      <c r="LC176" s="23"/>
      <c r="LD176" s="23"/>
      <c r="LE176" s="23"/>
      <c r="LF176" s="23"/>
      <c r="LG176" s="23"/>
      <c r="LH176" s="23"/>
      <c r="LI176" s="23"/>
      <c r="LJ176" s="23"/>
      <c r="LK176" s="23"/>
      <c r="LL176" s="23"/>
      <c r="LM176" s="23"/>
      <c r="LN176" s="23"/>
      <c r="LO176" s="23"/>
    </row>
    <row r="177" spans="1:327">
      <c r="A177" s="390"/>
      <c r="B177" s="23"/>
      <c r="C177" s="391"/>
      <c r="D177" s="391"/>
      <c r="E177" s="23"/>
      <c r="F177" s="23"/>
      <c r="G177" s="392"/>
      <c r="H177" s="392"/>
      <c r="I177" s="392"/>
      <c r="J177" s="392"/>
      <c r="K177" s="392"/>
      <c r="L177" s="392"/>
      <c r="M177" s="392"/>
      <c r="N177" s="23"/>
      <c r="O177" s="39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  <c r="KG177" s="23"/>
      <c r="KH177" s="23"/>
      <c r="KI177" s="23"/>
      <c r="KJ177" s="23"/>
      <c r="KK177" s="23"/>
      <c r="KL177" s="23"/>
      <c r="KM177" s="23"/>
      <c r="KN177" s="23"/>
      <c r="KO177" s="23"/>
      <c r="KP177" s="23"/>
      <c r="KQ177" s="23"/>
      <c r="KR177" s="23"/>
      <c r="KS177" s="23"/>
      <c r="KT177" s="23"/>
      <c r="KU177" s="23"/>
      <c r="KV177" s="23"/>
      <c r="KW177" s="23"/>
      <c r="KX177" s="23"/>
      <c r="KY177" s="23"/>
      <c r="KZ177" s="23"/>
      <c r="LA177" s="23"/>
      <c r="LB177" s="23"/>
      <c r="LC177" s="23"/>
      <c r="LD177" s="23"/>
      <c r="LE177" s="23"/>
      <c r="LF177" s="23"/>
      <c r="LG177" s="23"/>
      <c r="LH177" s="23"/>
      <c r="LI177" s="23"/>
      <c r="LJ177" s="23"/>
      <c r="LK177" s="23"/>
      <c r="LL177" s="23"/>
      <c r="LM177" s="23"/>
      <c r="LN177" s="23"/>
      <c r="LO177" s="23"/>
    </row>
    <row r="178" spans="1:327">
      <c r="A178" s="390"/>
      <c r="B178" s="23"/>
      <c r="C178" s="391"/>
      <c r="D178" s="391"/>
      <c r="E178" s="23"/>
      <c r="F178" s="23"/>
      <c r="G178" s="392"/>
      <c r="H178" s="392"/>
      <c r="I178" s="392"/>
      <c r="J178" s="392"/>
      <c r="K178" s="392"/>
      <c r="L178" s="392"/>
      <c r="M178" s="392"/>
      <c r="N178" s="23"/>
      <c r="O178" s="39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  <c r="KG178" s="23"/>
      <c r="KH178" s="23"/>
      <c r="KI178" s="23"/>
      <c r="KJ178" s="23"/>
      <c r="KK178" s="23"/>
      <c r="KL178" s="23"/>
      <c r="KM178" s="23"/>
      <c r="KN178" s="23"/>
      <c r="KO178" s="23"/>
      <c r="KP178" s="23"/>
      <c r="KQ178" s="23"/>
      <c r="KR178" s="23"/>
      <c r="KS178" s="23"/>
      <c r="KT178" s="23"/>
      <c r="KU178" s="23"/>
      <c r="KV178" s="23"/>
      <c r="KW178" s="23"/>
      <c r="KX178" s="23"/>
      <c r="KY178" s="23"/>
      <c r="KZ178" s="23"/>
      <c r="LA178" s="23"/>
      <c r="LB178" s="23"/>
      <c r="LC178" s="23"/>
      <c r="LD178" s="23"/>
      <c r="LE178" s="23"/>
      <c r="LF178" s="23"/>
      <c r="LG178" s="23"/>
      <c r="LH178" s="23"/>
      <c r="LI178" s="23"/>
      <c r="LJ178" s="23"/>
      <c r="LK178" s="23"/>
      <c r="LL178" s="23"/>
      <c r="LM178" s="23"/>
      <c r="LN178" s="23"/>
      <c r="LO178" s="23"/>
    </row>
    <row r="179" spans="1:327">
      <c r="A179" s="390"/>
      <c r="B179" s="23"/>
      <c r="C179" s="391"/>
      <c r="D179" s="391"/>
      <c r="E179" s="23"/>
      <c r="F179" s="23"/>
      <c r="G179" s="392"/>
      <c r="H179" s="392"/>
      <c r="I179" s="392"/>
      <c r="J179" s="392"/>
      <c r="K179" s="392"/>
      <c r="L179" s="392"/>
      <c r="M179" s="392"/>
      <c r="N179" s="23"/>
      <c r="O179" s="39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  <c r="KG179" s="23"/>
      <c r="KH179" s="23"/>
      <c r="KI179" s="23"/>
      <c r="KJ179" s="23"/>
      <c r="KK179" s="23"/>
      <c r="KL179" s="23"/>
      <c r="KM179" s="23"/>
      <c r="KN179" s="23"/>
      <c r="KO179" s="23"/>
      <c r="KP179" s="23"/>
      <c r="KQ179" s="23"/>
      <c r="KR179" s="23"/>
      <c r="KS179" s="23"/>
      <c r="KT179" s="23"/>
      <c r="KU179" s="23"/>
      <c r="KV179" s="23"/>
      <c r="KW179" s="23"/>
      <c r="KX179" s="23"/>
      <c r="KY179" s="23"/>
      <c r="KZ179" s="23"/>
      <c r="LA179" s="23"/>
      <c r="LB179" s="23"/>
      <c r="LC179" s="23"/>
      <c r="LD179" s="23"/>
      <c r="LE179" s="23"/>
      <c r="LF179" s="23"/>
      <c r="LG179" s="23"/>
      <c r="LH179" s="23"/>
      <c r="LI179" s="23"/>
      <c r="LJ179" s="23"/>
      <c r="LK179" s="23"/>
      <c r="LL179" s="23"/>
      <c r="LM179" s="23"/>
      <c r="LN179" s="23"/>
      <c r="LO179" s="23"/>
    </row>
    <row r="180" spans="1:327">
      <c r="A180" s="390"/>
      <c r="B180" s="23"/>
      <c r="C180" s="391"/>
      <c r="D180" s="391"/>
      <c r="E180" s="23"/>
      <c r="F180" s="23"/>
      <c r="G180" s="392"/>
      <c r="H180" s="392"/>
      <c r="I180" s="392"/>
      <c r="J180" s="392"/>
      <c r="K180" s="392"/>
      <c r="L180" s="392"/>
      <c r="M180" s="392"/>
      <c r="N180" s="23"/>
      <c r="O180" s="39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  <c r="IZ180" s="23"/>
      <c r="JA180" s="23"/>
      <c r="JB180" s="23"/>
      <c r="JC180" s="23"/>
      <c r="JD180" s="23"/>
      <c r="JE180" s="23"/>
      <c r="JF180" s="23"/>
      <c r="JG180" s="23"/>
      <c r="JH180" s="23"/>
      <c r="JI180" s="23"/>
      <c r="JJ180" s="23"/>
      <c r="JK180" s="23"/>
      <c r="JL180" s="23"/>
      <c r="JM180" s="23"/>
      <c r="JN180" s="23"/>
      <c r="JO180" s="23"/>
      <c r="JP180" s="23"/>
      <c r="JQ180" s="23"/>
      <c r="JR180" s="23"/>
      <c r="JS180" s="23"/>
      <c r="JT180" s="23"/>
      <c r="JU180" s="23"/>
      <c r="JV180" s="23"/>
      <c r="JW180" s="23"/>
      <c r="JX180" s="23"/>
      <c r="JY180" s="23"/>
      <c r="JZ180" s="23"/>
      <c r="KA180" s="23"/>
      <c r="KB180" s="23"/>
      <c r="KC180" s="23"/>
      <c r="KD180" s="23"/>
      <c r="KE180" s="23"/>
      <c r="KF180" s="23"/>
      <c r="KG180" s="23"/>
      <c r="KH180" s="23"/>
      <c r="KI180" s="23"/>
      <c r="KJ180" s="23"/>
      <c r="KK180" s="23"/>
      <c r="KL180" s="23"/>
      <c r="KM180" s="23"/>
      <c r="KN180" s="23"/>
      <c r="KO180" s="23"/>
      <c r="KP180" s="23"/>
      <c r="KQ180" s="23"/>
      <c r="KR180" s="23"/>
      <c r="KS180" s="23"/>
      <c r="KT180" s="23"/>
      <c r="KU180" s="23"/>
      <c r="KV180" s="23"/>
      <c r="KW180" s="23"/>
      <c r="KX180" s="23"/>
      <c r="KY180" s="23"/>
      <c r="KZ180" s="23"/>
      <c r="LA180" s="23"/>
      <c r="LB180" s="23"/>
      <c r="LC180" s="23"/>
      <c r="LD180" s="23"/>
      <c r="LE180" s="23"/>
      <c r="LF180" s="23"/>
      <c r="LG180" s="23"/>
      <c r="LH180" s="23"/>
      <c r="LI180" s="23"/>
      <c r="LJ180" s="23"/>
      <c r="LK180" s="23"/>
      <c r="LL180" s="23"/>
      <c r="LM180" s="23"/>
      <c r="LN180" s="23"/>
      <c r="LO180" s="23"/>
    </row>
    <row r="181" spans="1:327">
      <c r="A181" s="390"/>
      <c r="B181" s="23"/>
      <c r="C181" s="391"/>
      <c r="D181" s="391"/>
      <c r="E181" s="23"/>
      <c r="F181" s="23"/>
      <c r="G181" s="392"/>
      <c r="H181" s="392"/>
      <c r="I181" s="392"/>
      <c r="J181" s="392"/>
      <c r="K181" s="392"/>
      <c r="L181" s="392"/>
      <c r="M181" s="392"/>
      <c r="N181" s="23"/>
      <c r="O181" s="39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  <c r="IZ181" s="23"/>
      <c r="JA181" s="23"/>
      <c r="JB181" s="23"/>
      <c r="JC181" s="23"/>
      <c r="JD181" s="23"/>
      <c r="JE181" s="23"/>
      <c r="JF181" s="23"/>
      <c r="JG181" s="23"/>
      <c r="JH181" s="23"/>
      <c r="JI181" s="23"/>
      <c r="JJ181" s="23"/>
      <c r="JK181" s="23"/>
      <c r="JL181" s="23"/>
      <c r="JM181" s="23"/>
      <c r="JN181" s="23"/>
      <c r="JO181" s="23"/>
      <c r="JP181" s="23"/>
      <c r="JQ181" s="23"/>
      <c r="JR181" s="23"/>
      <c r="JS181" s="23"/>
      <c r="JT181" s="23"/>
      <c r="JU181" s="23"/>
      <c r="JV181" s="23"/>
      <c r="JW181" s="23"/>
      <c r="JX181" s="23"/>
      <c r="JY181" s="23"/>
      <c r="JZ181" s="23"/>
      <c r="KA181" s="23"/>
      <c r="KB181" s="23"/>
      <c r="KC181" s="23"/>
      <c r="KD181" s="23"/>
      <c r="KE181" s="23"/>
      <c r="KF181" s="23"/>
      <c r="KG181" s="23"/>
      <c r="KH181" s="23"/>
      <c r="KI181" s="23"/>
      <c r="KJ181" s="23"/>
      <c r="KK181" s="23"/>
      <c r="KL181" s="23"/>
      <c r="KM181" s="23"/>
      <c r="KN181" s="23"/>
      <c r="KO181" s="23"/>
      <c r="KP181" s="23"/>
      <c r="KQ181" s="23"/>
      <c r="KR181" s="23"/>
      <c r="KS181" s="23"/>
      <c r="KT181" s="23"/>
      <c r="KU181" s="23"/>
      <c r="KV181" s="23"/>
      <c r="KW181" s="23"/>
      <c r="KX181" s="23"/>
      <c r="KY181" s="23"/>
      <c r="KZ181" s="23"/>
      <c r="LA181" s="23"/>
      <c r="LB181" s="23"/>
      <c r="LC181" s="23"/>
      <c r="LD181" s="23"/>
      <c r="LE181" s="23"/>
      <c r="LF181" s="23"/>
      <c r="LG181" s="23"/>
      <c r="LH181" s="23"/>
      <c r="LI181" s="23"/>
      <c r="LJ181" s="23"/>
      <c r="LK181" s="23"/>
      <c r="LL181" s="23"/>
      <c r="LM181" s="23"/>
      <c r="LN181" s="23"/>
      <c r="LO181" s="23"/>
    </row>
    <row r="182" spans="1:327">
      <c r="A182" s="390"/>
      <c r="B182" s="23"/>
      <c r="C182" s="391"/>
      <c r="D182" s="391"/>
      <c r="E182" s="23"/>
      <c r="F182" s="23"/>
      <c r="G182" s="392"/>
      <c r="H182" s="392"/>
      <c r="I182" s="392"/>
      <c r="J182" s="392"/>
      <c r="K182" s="392"/>
      <c r="L182" s="392"/>
      <c r="M182" s="392"/>
      <c r="N182" s="23"/>
      <c r="O182" s="39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  <c r="IZ182" s="23"/>
      <c r="JA182" s="23"/>
      <c r="JB182" s="23"/>
      <c r="JC182" s="23"/>
      <c r="JD182" s="23"/>
      <c r="JE182" s="23"/>
      <c r="JF182" s="23"/>
      <c r="JG182" s="23"/>
      <c r="JH182" s="23"/>
      <c r="JI182" s="23"/>
      <c r="JJ182" s="23"/>
      <c r="JK182" s="23"/>
      <c r="JL182" s="23"/>
      <c r="JM182" s="23"/>
      <c r="JN182" s="23"/>
      <c r="JO182" s="23"/>
      <c r="JP182" s="23"/>
      <c r="JQ182" s="23"/>
      <c r="JR182" s="23"/>
      <c r="JS182" s="23"/>
      <c r="JT182" s="23"/>
      <c r="JU182" s="23"/>
      <c r="JV182" s="23"/>
      <c r="JW182" s="23"/>
      <c r="JX182" s="23"/>
      <c r="JY182" s="23"/>
      <c r="JZ182" s="23"/>
      <c r="KA182" s="23"/>
      <c r="KB182" s="23"/>
      <c r="KC182" s="23"/>
      <c r="KD182" s="23"/>
      <c r="KE182" s="23"/>
      <c r="KF182" s="23"/>
      <c r="KG182" s="23"/>
      <c r="KH182" s="23"/>
      <c r="KI182" s="23"/>
      <c r="KJ182" s="23"/>
      <c r="KK182" s="23"/>
      <c r="KL182" s="23"/>
      <c r="KM182" s="23"/>
      <c r="KN182" s="23"/>
      <c r="KO182" s="23"/>
      <c r="KP182" s="23"/>
      <c r="KQ182" s="23"/>
      <c r="KR182" s="23"/>
      <c r="KS182" s="23"/>
      <c r="KT182" s="23"/>
      <c r="KU182" s="23"/>
      <c r="KV182" s="23"/>
      <c r="KW182" s="23"/>
      <c r="KX182" s="23"/>
      <c r="KY182" s="23"/>
      <c r="KZ182" s="23"/>
      <c r="LA182" s="23"/>
      <c r="LB182" s="23"/>
      <c r="LC182" s="23"/>
      <c r="LD182" s="23"/>
      <c r="LE182" s="23"/>
      <c r="LF182" s="23"/>
      <c r="LG182" s="23"/>
      <c r="LH182" s="23"/>
      <c r="LI182" s="23"/>
      <c r="LJ182" s="23"/>
      <c r="LK182" s="23"/>
      <c r="LL182" s="23"/>
      <c r="LM182" s="23"/>
      <c r="LN182" s="23"/>
      <c r="LO182" s="23"/>
    </row>
    <row r="183" spans="1:327">
      <c r="A183" s="390"/>
      <c r="B183" s="23"/>
      <c r="C183" s="391"/>
      <c r="D183" s="391"/>
      <c r="E183" s="23"/>
      <c r="F183" s="23"/>
      <c r="G183" s="392"/>
      <c r="H183" s="392"/>
      <c r="I183" s="392"/>
      <c r="J183" s="392"/>
      <c r="K183" s="392"/>
      <c r="L183" s="392"/>
      <c r="M183" s="392"/>
      <c r="N183" s="23"/>
      <c r="O183" s="39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  <c r="IZ183" s="23"/>
      <c r="JA183" s="23"/>
      <c r="JB183" s="23"/>
      <c r="JC183" s="23"/>
      <c r="JD183" s="23"/>
      <c r="JE183" s="23"/>
      <c r="JF183" s="23"/>
      <c r="JG183" s="23"/>
      <c r="JH183" s="23"/>
      <c r="JI183" s="23"/>
      <c r="JJ183" s="23"/>
      <c r="JK183" s="23"/>
      <c r="JL183" s="23"/>
      <c r="JM183" s="23"/>
      <c r="JN183" s="23"/>
      <c r="JO183" s="23"/>
      <c r="JP183" s="23"/>
      <c r="JQ183" s="23"/>
      <c r="JR183" s="23"/>
      <c r="JS183" s="23"/>
      <c r="JT183" s="23"/>
      <c r="JU183" s="23"/>
      <c r="JV183" s="23"/>
      <c r="JW183" s="23"/>
      <c r="JX183" s="23"/>
      <c r="JY183" s="23"/>
      <c r="JZ183" s="23"/>
      <c r="KA183" s="23"/>
      <c r="KB183" s="23"/>
      <c r="KC183" s="23"/>
      <c r="KD183" s="23"/>
      <c r="KE183" s="23"/>
      <c r="KF183" s="23"/>
      <c r="KG183" s="23"/>
      <c r="KH183" s="23"/>
      <c r="KI183" s="23"/>
      <c r="KJ183" s="23"/>
      <c r="KK183" s="23"/>
      <c r="KL183" s="23"/>
      <c r="KM183" s="23"/>
      <c r="KN183" s="23"/>
      <c r="KO183" s="23"/>
      <c r="KP183" s="23"/>
      <c r="KQ183" s="23"/>
      <c r="KR183" s="23"/>
      <c r="KS183" s="23"/>
      <c r="KT183" s="23"/>
      <c r="KU183" s="23"/>
      <c r="KV183" s="23"/>
      <c r="KW183" s="23"/>
      <c r="KX183" s="23"/>
      <c r="KY183" s="23"/>
      <c r="KZ183" s="23"/>
      <c r="LA183" s="23"/>
      <c r="LB183" s="23"/>
      <c r="LC183" s="23"/>
      <c r="LD183" s="23"/>
      <c r="LE183" s="23"/>
      <c r="LF183" s="23"/>
      <c r="LG183" s="23"/>
      <c r="LH183" s="23"/>
      <c r="LI183" s="23"/>
      <c r="LJ183" s="23"/>
      <c r="LK183" s="23"/>
      <c r="LL183" s="23"/>
      <c r="LM183" s="23"/>
      <c r="LN183" s="23"/>
      <c r="LO183" s="23"/>
    </row>
    <row r="184" spans="1:327">
      <c r="A184" s="390"/>
      <c r="B184" s="23"/>
      <c r="C184" s="391"/>
      <c r="D184" s="391"/>
      <c r="E184" s="23"/>
      <c r="F184" s="23"/>
      <c r="G184" s="392"/>
      <c r="H184" s="392"/>
      <c r="I184" s="392"/>
      <c r="J184" s="392"/>
      <c r="K184" s="392"/>
      <c r="L184" s="392"/>
      <c r="M184" s="392"/>
      <c r="N184" s="23"/>
      <c r="O184" s="39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/>
      <c r="JQ184" s="23"/>
      <c r="JR184" s="23"/>
      <c r="JS184" s="23"/>
      <c r="JT184" s="23"/>
      <c r="JU184" s="23"/>
      <c r="JV184" s="23"/>
      <c r="JW184" s="23"/>
      <c r="JX184" s="23"/>
      <c r="JY184" s="23"/>
      <c r="JZ184" s="23"/>
      <c r="KA184" s="23"/>
      <c r="KB184" s="23"/>
      <c r="KC184" s="23"/>
      <c r="KD184" s="23"/>
      <c r="KE184" s="23"/>
      <c r="KF184" s="23"/>
      <c r="KG184" s="23"/>
      <c r="KH184" s="23"/>
      <c r="KI184" s="23"/>
      <c r="KJ184" s="23"/>
      <c r="KK184" s="23"/>
      <c r="KL184" s="23"/>
      <c r="KM184" s="23"/>
      <c r="KN184" s="23"/>
      <c r="KO184" s="23"/>
      <c r="KP184" s="23"/>
      <c r="KQ184" s="23"/>
      <c r="KR184" s="23"/>
      <c r="KS184" s="23"/>
      <c r="KT184" s="23"/>
      <c r="KU184" s="23"/>
      <c r="KV184" s="23"/>
      <c r="KW184" s="23"/>
      <c r="KX184" s="23"/>
      <c r="KY184" s="23"/>
      <c r="KZ184" s="23"/>
      <c r="LA184" s="23"/>
      <c r="LB184" s="23"/>
      <c r="LC184" s="23"/>
      <c r="LD184" s="23"/>
      <c r="LE184" s="23"/>
      <c r="LF184" s="23"/>
      <c r="LG184" s="23"/>
      <c r="LH184" s="23"/>
      <c r="LI184" s="23"/>
      <c r="LJ184" s="23"/>
      <c r="LK184" s="23"/>
      <c r="LL184" s="23"/>
      <c r="LM184" s="23"/>
      <c r="LN184" s="23"/>
      <c r="LO184" s="23"/>
    </row>
    <row r="185" spans="1:327">
      <c r="A185" s="390"/>
      <c r="B185" s="23"/>
      <c r="C185" s="391"/>
      <c r="D185" s="391"/>
      <c r="E185" s="23"/>
      <c r="F185" s="23"/>
      <c r="G185" s="392"/>
      <c r="H185" s="392"/>
      <c r="I185" s="392"/>
      <c r="J185" s="392"/>
      <c r="K185" s="392"/>
      <c r="L185" s="392"/>
      <c r="M185" s="392"/>
      <c r="N185" s="23"/>
      <c r="O185" s="39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  <c r="IZ185" s="23"/>
      <c r="JA185" s="23"/>
      <c r="JB185" s="23"/>
      <c r="JC185" s="23"/>
      <c r="JD185" s="23"/>
      <c r="JE185" s="23"/>
      <c r="JF185" s="23"/>
      <c r="JG185" s="23"/>
      <c r="JH185" s="23"/>
      <c r="JI185" s="23"/>
      <c r="JJ185" s="23"/>
      <c r="JK185" s="23"/>
      <c r="JL185" s="23"/>
      <c r="JM185" s="23"/>
      <c r="JN185" s="23"/>
      <c r="JO185" s="23"/>
      <c r="JP185" s="23"/>
      <c r="JQ185" s="23"/>
      <c r="JR185" s="23"/>
      <c r="JS185" s="23"/>
      <c r="JT185" s="23"/>
      <c r="JU185" s="23"/>
      <c r="JV185" s="23"/>
      <c r="JW185" s="23"/>
      <c r="JX185" s="23"/>
      <c r="JY185" s="23"/>
      <c r="JZ185" s="23"/>
      <c r="KA185" s="23"/>
      <c r="KB185" s="23"/>
      <c r="KC185" s="23"/>
      <c r="KD185" s="23"/>
      <c r="KE185" s="23"/>
      <c r="KF185" s="23"/>
      <c r="KG185" s="23"/>
      <c r="KH185" s="23"/>
      <c r="KI185" s="23"/>
      <c r="KJ185" s="23"/>
      <c r="KK185" s="23"/>
      <c r="KL185" s="23"/>
      <c r="KM185" s="23"/>
      <c r="KN185" s="23"/>
      <c r="KO185" s="23"/>
      <c r="KP185" s="23"/>
      <c r="KQ185" s="23"/>
      <c r="KR185" s="23"/>
      <c r="KS185" s="23"/>
      <c r="KT185" s="23"/>
      <c r="KU185" s="23"/>
      <c r="KV185" s="23"/>
      <c r="KW185" s="23"/>
      <c r="KX185" s="23"/>
      <c r="KY185" s="23"/>
      <c r="KZ185" s="23"/>
      <c r="LA185" s="23"/>
      <c r="LB185" s="23"/>
      <c r="LC185" s="23"/>
      <c r="LD185" s="23"/>
      <c r="LE185" s="23"/>
      <c r="LF185" s="23"/>
      <c r="LG185" s="23"/>
      <c r="LH185" s="23"/>
      <c r="LI185" s="23"/>
      <c r="LJ185" s="23"/>
      <c r="LK185" s="23"/>
      <c r="LL185" s="23"/>
      <c r="LM185" s="23"/>
      <c r="LN185" s="23"/>
      <c r="LO185" s="23"/>
    </row>
    <row r="186" spans="1:327">
      <c r="A186" s="390"/>
      <c r="B186" s="23"/>
      <c r="C186" s="391"/>
      <c r="D186" s="391"/>
      <c r="E186" s="23"/>
      <c r="F186" s="23"/>
      <c r="G186" s="392"/>
      <c r="H186" s="392"/>
      <c r="I186" s="392"/>
      <c r="J186" s="392"/>
      <c r="K186" s="392"/>
      <c r="L186" s="392"/>
      <c r="M186" s="392"/>
      <c r="N186" s="23"/>
      <c r="O186" s="39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  <c r="IZ186" s="23"/>
      <c r="JA186" s="23"/>
      <c r="JB186" s="23"/>
      <c r="JC186" s="23"/>
      <c r="JD186" s="23"/>
      <c r="JE186" s="23"/>
      <c r="JF186" s="23"/>
      <c r="JG186" s="23"/>
      <c r="JH186" s="23"/>
      <c r="JI186" s="23"/>
      <c r="JJ186" s="23"/>
      <c r="JK186" s="23"/>
      <c r="JL186" s="23"/>
      <c r="JM186" s="23"/>
      <c r="JN186" s="23"/>
      <c r="JO186" s="23"/>
      <c r="JP186" s="23"/>
      <c r="JQ186" s="23"/>
      <c r="JR186" s="23"/>
      <c r="JS186" s="23"/>
      <c r="JT186" s="23"/>
      <c r="JU186" s="23"/>
      <c r="JV186" s="23"/>
      <c r="JW186" s="23"/>
      <c r="JX186" s="23"/>
      <c r="JY186" s="23"/>
      <c r="JZ186" s="23"/>
      <c r="KA186" s="23"/>
      <c r="KB186" s="23"/>
      <c r="KC186" s="23"/>
      <c r="KD186" s="23"/>
      <c r="KE186" s="23"/>
      <c r="KF186" s="23"/>
      <c r="KG186" s="23"/>
      <c r="KH186" s="23"/>
      <c r="KI186" s="23"/>
      <c r="KJ186" s="23"/>
      <c r="KK186" s="23"/>
      <c r="KL186" s="23"/>
      <c r="KM186" s="23"/>
      <c r="KN186" s="23"/>
      <c r="KO186" s="23"/>
      <c r="KP186" s="23"/>
      <c r="KQ186" s="23"/>
      <c r="KR186" s="23"/>
      <c r="KS186" s="23"/>
      <c r="KT186" s="23"/>
      <c r="KU186" s="23"/>
      <c r="KV186" s="23"/>
      <c r="KW186" s="23"/>
      <c r="KX186" s="23"/>
      <c r="KY186" s="23"/>
      <c r="KZ186" s="23"/>
      <c r="LA186" s="23"/>
      <c r="LB186" s="23"/>
      <c r="LC186" s="23"/>
      <c r="LD186" s="23"/>
      <c r="LE186" s="23"/>
      <c r="LF186" s="23"/>
      <c r="LG186" s="23"/>
      <c r="LH186" s="23"/>
      <c r="LI186" s="23"/>
      <c r="LJ186" s="23"/>
      <c r="LK186" s="23"/>
      <c r="LL186" s="23"/>
      <c r="LM186" s="23"/>
      <c r="LN186" s="23"/>
      <c r="LO186" s="23"/>
    </row>
    <row r="187" spans="1:327">
      <c r="A187" s="390"/>
      <c r="B187" s="23"/>
      <c r="C187" s="391"/>
      <c r="D187" s="391"/>
      <c r="E187" s="23"/>
      <c r="F187" s="23"/>
      <c r="G187" s="392"/>
      <c r="H187" s="392"/>
      <c r="I187" s="392"/>
      <c r="J187" s="392"/>
      <c r="K187" s="392"/>
      <c r="L187" s="392"/>
      <c r="M187" s="392"/>
      <c r="N187" s="23"/>
      <c r="O187" s="39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/>
      <c r="JQ187" s="23"/>
      <c r="JR187" s="23"/>
      <c r="JS187" s="23"/>
      <c r="JT187" s="23"/>
      <c r="JU187" s="23"/>
      <c r="JV187" s="23"/>
      <c r="JW187" s="23"/>
      <c r="JX187" s="23"/>
      <c r="JY187" s="23"/>
      <c r="JZ187" s="23"/>
      <c r="KA187" s="23"/>
      <c r="KB187" s="23"/>
      <c r="KC187" s="23"/>
      <c r="KD187" s="23"/>
      <c r="KE187" s="23"/>
      <c r="KF187" s="23"/>
      <c r="KG187" s="23"/>
      <c r="KH187" s="23"/>
      <c r="KI187" s="23"/>
      <c r="KJ187" s="23"/>
      <c r="KK187" s="23"/>
      <c r="KL187" s="23"/>
      <c r="KM187" s="23"/>
      <c r="KN187" s="23"/>
      <c r="KO187" s="23"/>
      <c r="KP187" s="23"/>
      <c r="KQ187" s="23"/>
      <c r="KR187" s="23"/>
      <c r="KS187" s="23"/>
      <c r="KT187" s="23"/>
      <c r="KU187" s="23"/>
      <c r="KV187" s="23"/>
      <c r="KW187" s="23"/>
      <c r="KX187" s="23"/>
      <c r="KY187" s="23"/>
      <c r="KZ187" s="23"/>
      <c r="LA187" s="23"/>
      <c r="LB187" s="23"/>
      <c r="LC187" s="23"/>
      <c r="LD187" s="23"/>
      <c r="LE187" s="23"/>
      <c r="LF187" s="23"/>
      <c r="LG187" s="23"/>
      <c r="LH187" s="23"/>
      <c r="LI187" s="23"/>
      <c r="LJ187" s="23"/>
      <c r="LK187" s="23"/>
      <c r="LL187" s="23"/>
      <c r="LM187" s="23"/>
      <c r="LN187" s="23"/>
      <c r="LO187" s="23"/>
    </row>
    <row r="188" spans="1:327">
      <c r="A188" s="390"/>
      <c r="B188" s="23"/>
      <c r="C188" s="391"/>
      <c r="D188" s="391"/>
      <c r="E188" s="23"/>
      <c r="F188" s="23"/>
      <c r="G188" s="392"/>
      <c r="H188" s="392"/>
      <c r="I188" s="392"/>
      <c r="J188" s="392"/>
      <c r="K188" s="392"/>
      <c r="L188" s="392"/>
      <c r="M188" s="392"/>
      <c r="N188" s="23"/>
      <c r="O188" s="39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  <c r="IZ188" s="23"/>
      <c r="JA188" s="23"/>
      <c r="JB188" s="23"/>
      <c r="JC188" s="23"/>
      <c r="JD188" s="23"/>
      <c r="JE188" s="23"/>
      <c r="JF188" s="23"/>
      <c r="JG188" s="23"/>
      <c r="JH188" s="23"/>
      <c r="JI188" s="23"/>
      <c r="JJ188" s="23"/>
      <c r="JK188" s="23"/>
      <c r="JL188" s="23"/>
      <c r="JM188" s="23"/>
      <c r="JN188" s="23"/>
      <c r="JO188" s="23"/>
      <c r="JP188" s="23"/>
      <c r="JQ188" s="23"/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3"/>
      <c r="KF188" s="23"/>
      <c r="KG188" s="23"/>
      <c r="KH188" s="23"/>
      <c r="KI188" s="23"/>
      <c r="KJ188" s="23"/>
      <c r="KK188" s="23"/>
      <c r="KL188" s="23"/>
      <c r="KM188" s="23"/>
      <c r="KN188" s="23"/>
      <c r="KO188" s="23"/>
      <c r="KP188" s="23"/>
      <c r="KQ188" s="23"/>
      <c r="KR188" s="23"/>
      <c r="KS188" s="23"/>
      <c r="KT188" s="23"/>
      <c r="KU188" s="23"/>
      <c r="KV188" s="23"/>
      <c r="KW188" s="23"/>
      <c r="KX188" s="23"/>
      <c r="KY188" s="23"/>
      <c r="KZ188" s="23"/>
      <c r="LA188" s="23"/>
      <c r="LB188" s="23"/>
      <c r="LC188" s="23"/>
      <c r="LD188" s="23"/>
      <c r="LE188" s="23"/>
      <c r="LF188" s="23"/>
      <c r="LG188" s="23"/>
      <c r="LH188" s="23"/>
      <c r="LI188" s="23"/>
      <c r="LJ188" s="23"/>
      <c r="LK188" s="23"/>
      <c r="LL188" s="23"/>
      <c r="LM188" s="23"/>
      <c r="LN188" s="23"/>
      <c r="LO188" s="23"/>
    </row>
    <row r="189" spans="1:327">
      <c r="A189" s="390"/>
      <c r="B189" s="23"/>
      <c r="C189" s="391"/>
      <c r="D189" s="391"/>
      <c r="E189" s="23"/>
      <c r="F189" s="23"/>
      <c r="G189" s="392"/>
      <c r="H189" s="392"/>
      <c r="I189" s="392"/>
      <c r="J189" s="392"/>
      <c r="K189" s="392"/>
      <c r="L189" s="392"/>
      <c r="M189" s="392"/>
      <c r="N189" s="23"/>
      <c r="O189" s="39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3"/>
      <c r="JU189" s="23"/>
      <c r="JV189" s="23"/>
      <c r="JW189" s="23"/>
      <c r="JX189" s="23"/>
      <c r="JY189" s="23"/>
      <c r="JZ189" s="23"/>
      <c r="KA189" s="23"/>
      <c r="KB189" s="23"/>
      <c r="KC189" s="23"/>
      <c r="KD189" s="23"/>
      <c r="KE189" s="23"/>
      <c r="KF189" s="23"/>
      <c r="KG189" s="23"/>
      <c r="KH189" s="23"/>
      <c r="KI189" s="23"/>
      <c r="KJ189" s="23"/>
      <c r="KK189" s="23"/>
      <c r="KL189" s="23"/>
      <c r="KM189" s="23"/>
      <c r="KN189" s="23"/>
      <c r="KO189" s="23"/>
      <c r="KP189" s="23"/>
      <c r="KQ189" s="23"/>
      <c r="KR189" s="23"/>
      <c r="KS189" s="23"/>
      <c r="KT189" s="23"/>
      <c r="KU189" s="23"/>
      <c r="KV189" s="23"/>
      <c r="KW189" s="23"/>
      <c r="KX189" s="23"/>
      <c r="KY189" s="23"/>
      <c r="KZ189" s="23"/>
      <c r="LA189" s="23"/>
      <c r="LB189" s="23"/>
      <c r="LC189" s="23"/>
      <c r="LD189" s="23"/>
      <c r="LE189" s="23"/>
      <c r="LF189" s="23"/>
      <c r="LG189" s="23"/>
      <c r="LH189" s="23"/>
      <c r="LI189" s="23"/>
      <c r="LJ189" s="23"/>
      <c r="LK189" s="23"/>
      <c r="LL189" s="23"/>
      <c r="LM189" s="23"/>
      <c r="LN189" s="23"/>
      <c r="LO189" s="23"/>
    </row>
    <row r="190" spans="1:327">
      <c r="A190" s="390"/>
      <c r="B190" s="23"/>
      <c r="C190" s="391"/>
      <c r="D190" s="391"/>
      <c r="E190" s="23"/>
      <c r="F190" s="23"/>
      <c r="G190" s="392"/>
      <c r="H190" s="392"/>
      <c r="I190" s="392"/>
      <c r="J190" s="392"/>
      <c r="K190" s="392"/>
      <c r="L190" s="392"/>
      <c r="M190" s="392"/>
      <c r="N190" s="23"/>
      <c r="O190" s="39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3"/>
      <c r="JU190" s="23"/>
      <c r="JV190" s="23"/>
      <c r="JW190" s="23"/>
      <c r="JX190" s="23"/>
      <c r="JY190" s="23"/>
      <c r="JZ190" s="23"/>
      <c r="KA190" s="23"/>
      <c r="KB190" s="23"/>
      <c r="KC190" s="23"/>
      <c r="KD190" s="23"/>
      <c r="KE190" s="23"/>
      <c r="KF190" s="23"/>
      <c r="KG190" s="23"/>
      <c r="KH190" s="23"/>
      <c r="KI190" s="23"/>
      <c r="KJ190" s="23"/>
      <c r="KK190" s="23"/>
      <c r="KL190" s="23"/>
      <c r="KM190" s="23"/>
      <c r="KN190" s="23"/>
      <c r="KO190" s="23"/>
      <c r="KP190" s="23"/>
      <c r="KQ190" s="23"/>
      <c r="KR190" s="23"/>
      <c r="KS190" s="23"/>
      <c r="KT190" s="23"/>
      <c r="KU190" s="23"/>
      <c r="KV190" s="23"/>
      <c r="KW190" s="23"/>
      <c r="KX190" s="23"/>
      <c r="KY190" s="23"/>
      <c r="KZ190" s="23"/>
      <c r="LA190" s="23"/>
      <c r="LB190" s="23"/>
      <c r="LC190" s="23"/>
      <c r="LD190" s="23"/>
      <c r="LE190" s="23"/>
      <c r="LF190" s="23"/>
      <c r="LG190" s="23"/>
      <c r="LH190" s="23"/>
      <c r="LI190" s="23"/>
      <c r="LJ190" s="23"/>
      <c r="LK190" s="23"/>
      <c r="LL190" s="23"/>
      <c r="LM190" s="23"/>
      <c r="LN190" s="23"/>
      <c r="LO190" s="23"/>
    </row>
    <row r="191" spans="1:327">
      <c r="A191" s="390"/>
      <c r="B191" s="23"/>
      <c r="C191" s="391"/>
      <c r="D191" s="391"/>
      <c r="E191" s="23"/>
      <c r="F191" s="23"/>
      <c r="G191" s="392"/>
      <c r="H191" s="392"/>
      <c r="I191" s="392"/>
      <c r="J191" s="392"/>
      <c r="K191" s="392"/>
      <c r="L191" s="392"/>
      <c r="M191" s="392"/>
      <c r="N191" s="23"/>
      <c r="O191" s="39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  <c r="KO191" s="23"/>
      <c r="KP191" s="23"/>
      <c r="KQ191" s="23"/>
      <c r="KR191" s="23"/>
      <c r="KS191" s="23"/>
      <c r="KT191" s="23"/>
      <c r="KU191" s="23"/>
      <c r="KV191" s="23"/>
      <c r="KW191" s="23"/>
      <c r="KX191" s="23"/>
      <c r="KY191" s="23"/>
      <c r="KZ191" s="23"/>
      <c r="LA191" s="23"/>
      <c r="LB191" s="23"/>
      <c r="LC191" s="23"/>
      <c r="LD191" s="23"/>
      <c r="LE191" s="23"/>
      <c r="LF191" s="23"/>
      <c r="LG191" s="23"/>
      <c r="LH191" s="23"/>
      <c r="LI191" s="23"/>
      <c r="LJ191" s="23"/>
      <c r="LK191" s="23"/>
      <c r="LL191" s="23"/>
      <c r="LM191" s="23"/>
      <c r="LN191" s="23"/>
      <c r="LO191" s="23"/>
    </row>
    <row r="192" spans="1:327">
      <c r="A192" s="390"/>
      <c r="B192" s="23"/>
      <c r="C192" s="391"/>
      <c r="D192" s="391"/>
      <c r="E192" s="23"/>
      <c r="F192" s="23"/>
      <c r="G192" s="392"/>
      <c r="H192" s="392"/>
      <c r="I192" s="392"/>
      <c r="J192" s="392"/>
      <c r="K192" s="392"/>
      <c r="L192" s="392"/>
      <c r="M192" s="392"/>
      <c r="N192" s="23"/>
      <c r="O192" s="39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  <c r="IZ192" s="23"/>
      <c r="JA192" s="23"/>
      <c r="JB192" s="23"/>
      <c r="JC192" s="23"/>
      <c r="JD192" s="23"/>
      <c r="JE192" s="23"/>
      <c r="JF192" s="23"/>
      <c r="JG192" s="23"/>
      <c r="JH192" s="23"/>
      <c r="JI192" s="23"/>
      <c r="JJ192" s="23"/>
      <c r="JK192" s="23"/>
      <c r="JL192" s="23"/>
      <c r="JM192" s="23"/>
      <c r="JN192" s="23"/>
      <c r="JO192" s="23"/>
      <c r="JP192" s="23"/>
      <c r="JQ192" s="23"/>
      <c r="JR192" s="23"/>
      <c r="JS192" s="23"/>
      <c r="JT192" s="23"/>
      <c r="JU192" s="23"/>
      <c r="JV192" s="23"/>
      <c r="JW192" s="23"/>
      <c r="JX192" s="23"/>
      <c r="JY192" s="23"/>
      <c r="JZ192" s="23"/>
      <c r="KA192" s="23"/>
      <c r="KB192" s="23"/>
      <c r="KC192" s="23"/>
      <c r="KD192" s="23"/>
      <c r="KE192" s="23"/>
      <c r="KF192" s="23"/>
      <c r="KG192" s="23"/>
      <c r="KH192" s="23"/>
      <c r="KI192" s="23"/>
      <c r="KJ192" s="23"/>
      <c r="KK192" s="23"/>
      <c r="KL192" s="23"/>
      <c r="KM192" s="23"/>
      <c r="KN192" s="23"/>
      <c r="KO192" s="23"/>
      <c r="KP192" s="23"/>
      <c r="KQ192" s="23"/>
      <c r="KR192" s="23"/>
      <c r="KS192" s="23"/>
      <c r="KT192" s="23"/>
      <c r="KU192" s="23"/>
      <c r="KV192" s="23"/>
      <c r="KW192" s="23"/>
      <c r="KX192" s="23"/>
      <c r="KY192" s="23"/>
      <c r="KZ192" s="23"/>
      <c r="LA192" s="23"/>
      <c r="LB192" s="23"/>
      <c r="LC192" s="23"/>
      <c r="LD192" s="23"/>
      <c r="LE192" s="23"/>
      <c r="LF192" s="23"/>
      <c r="LG192" s="23"/>
      <c r="LH192" s="23"/>
      <c r="LI192" s="23"/>
      <c r="LJ192" s="23"/>
      <c r="LK192" s="23"/>
      <c r="LL192" s="23"/>
      <c r="LM192" s="23"/>
      <c r="LN192" s="23"/>
      <c r="LO192" s="23"/>
    </row>
    <row r="193" spans="1:327">
      <c r="A193" s="390"/>
      <c r="B193" s="23"/>
      <c r="C193" s="391"/>
      <c r="D193" s="391"/>
      <c r="E193" s="23"/>
      <c r="F193" s="23"/>
      <c r="G193" s="392"/>
      <c r="H193" s="392"/>
      <c r="I193" s="392"/>
      <c r="J193" s="392"/>
      <c r="K193" s="392"/>
      <c r="L193" s="392"/>
      <c r="M193" s="392"/>
      <c r="N193" s="23"/>
      <c r="O193" s="39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  <c r="IZ193" s="23"/>
      <c r="JA193" s="23"/>
      <c r="JB193" s="23"/>
      <c r="JC193" s="23"/>
      <c r="JD193" s="23"/>
      <c r="JE193" s="23"/>
      <c r="JF193" s="23"/>
      <c r="JG193" s="23"/>
      <c r="JH193" s="23"/>
      <c r="JI193" s="23"/>
      <c r="JJ193" s="23"/>
      <c r="JK193" s="23"/>
      <c r="JL193" s="23"/>
      <c r="JM193" s="23"/>
      <c r="JN193" s="23"/>
      <c r="JO193" s="23"/>
      <c r="JP193" s="23"/>
      <c r="JQ193" s="23"/>
      <c r="JR193" s="23"/>
      <c r="JS193" s="23"/>
      <c r="JT193" s="23"/>
      <c r="JU193" s="23"/>
      <c r="JV193" s="23"/>
      <c r="JW193" s="23"/>
      <c r="JX193" s="23"/>
      <c r="JY193" s="23"/>
      <c r="JZ193" s="23"/>
      <c r="KA193" s="23"/>
      <c r="KB193" s="23"/>
      <c r="KC193" s="23"/>
      <c r="KD193" s="23"/>
      <c r="KE193" s="23"/>
      <c r="KF193" s="23"/>
      <c r="KG193" s="23"/>
      <c r="KH193" s="23"/>
      <c r="KI193" s="23"/>
      <c r="KJ193" s="23"/>
      <c r="KK193" s="23"/>
      <c r="KL193" s="23"/>
      <c r="KM193" s="23"/>
      <c r="KN193" s="23"/>
      <c r="KO193" s="23"/>
      <c r="KP193" s="23"/>
      <c r="KQ193" s="23"/>
      <c r="KR193" s="23"/>
      <c r="KS193" s="23"/>
      <c r="KT193" s="23"/>
      <c r="KU193" s="23"/>
      <c r="KV193" s="23"/>
      <c r="KW193" s="23"/>
      <c r="KX193" s="23"/>
      <c r="KY193" s="23"/>
      <c r="KZ193" s="23"/>
      <c r="LA193" s="23"/>
      <c r="LB193" s="23"/>
      <c r="LC193" s="23"/>
      <c r="LD193" s="23"/>
      <c r="LE193" s="23"/>
      <c r="LF193" s="23"/>
      <c r="LG193" s="23"/>
      <c r="LH193" s="23"/>
      <c r="LI193" s="23"/>
      <c r="LJ193" s="23"/>
      <c r="LK193" s="23"/>
      <c r="LL193" s="23"/>
      <c r="LM193" s="23"/>
      <c r="LN193" s="23"/>
      <c r="LO193" s="23"/>
    </row>
    <row r="194" spans="1:327">
      <c r="A194" s="390"/>
      <c r="B194" s="23"/>
      <c r="C194" s="391"/>
      <c r="D194" s="391"/>
      <c r="E194" s="23"/>
      <c r="F194" s="23"/>
      <c r="G194" s="392"/>
      <c r="H194" s="392"/>
      <c r="I194" s="392"/>
      <c r="J194" s="392"/>
      <c r="K194" s="392"/>
      <c r="L194" s="392"/>
      <c r="M194" s="392"/>
      <c r="N194" s="23"/>
      <c r="O194" s="39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  <c r="IZ194" s="23"/>
      <c r="JA194" s="23"/>
      <c r="JB194" s="23"/>
      <c r="JC194" s="23"/>
      <c r="JD194" s="23"/>
      <c r="JE194" s="23"/>
      <c r="JF194" s="23"/>
      <c r="JG194" s="23"/>
      <c r="JH194" s="23"/>
      <c r="JI194" s="23"/>
      <c r="JJ194" s="23"/>
      <c r="JK194" s="23"/>
      <c r="JL194" s="23"/>
      <c r="JM194" s="23"/>
      <c r="JN194" s="23"/>
      <c r="JO194" s="23"/>
      <c r="JP194" s="23"/>
      <c r="JQ194" s="23"/>
      <c r="JR194" s="23"/>
      <c r="JS194" s="23"/>
      <c r="JT194" s="23"/>
      <c r="JU194" s="23"/>
      <c r="JV194" s="23"/>
      <c r="JW194" s="23"/>
      <c r="JX194" s="23"/>
      <c r="JY194" s="23"/>
      <c r="JZ194" s="23"/>
      <c r="KA194" s="23"/>
      <c r="KB194" s="23"/>
      <c r="KC194" s="23"/>
      <c r="KD194" s="23"/>
      <c r="KE194" s="23"/>
      <c r="KF194" s="23"/>
      <c r="KG194" s="23"/>
      <c r="KH194" s="23"/>
      <c r="KI194" s="23"/>
      <c r="KJ194" s="23"/>
      <c r="KK194" s="23"/>
      <c r="KL194" s="23"/>
      <c r="KM194" s="23"/>
      <c r="KN194" s="23"/>
      <c r="KO194" s="23"/>
      <c r="KP194" s="23"/>
      <c r="KQ194" s="23"/>
      <c r="KR194" s="23"/>
      <c r="KS194" s="23"/>
      <c r="KT194" s="23"/>
      <c r="KU194" s="23"/>
      <c r="KV194" s="23"/>
      <c r="KW194" s="23"/>
      <c r="KX194" s="23"/>
      <c r="KY194" s="23"/>
      <c r="KZ194" s="23"/>
      <c r="LA194" s="23"/>
      <c r="LB194" s="23"/>
      <c r="LC194" s="23"/>
      <c r="LD194" s="23"/>
      <c r="LE194" s="23"/>
      <c r="LF194" s="23"/>
      <c r="LG194" s="23"/>
      <c r="LH194" s="23"/>
      <c r="LI194" s="23"/>
      <c r="LJ194" s="23"/>
      <c r="LK194" s="23"/>
      <c r="LL194" s="23"/>
      <c r="LM194" s="23"/>
      <c r="LN194" s="23"/>
      <c r="LO194" s="23"/>
    </row>
    <row r="195" spans="1:327">
      <c r="A195" s="390"/>
      <c r="B195" s="23"/>
      <c r="C195" s="391"/>
      <c r="D195" s="391"/>
      <c r="E195" s="23"/>
      <c r="F195" s="23"/>
      <c r="G195" s="392"/>
      <c r="H195" s="392"/>
      <c r="I195" s="392"/>
      <c r="J195" s="392"/>
      <c r="K195" s="392"/>
      <c r="L195" s="392"/>
      <c r="M195" s="392"/>
      <c r="N195" s="23"/>
      <c r="O195" s="39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  <c r="IZ195" s="23"/>
      <c r="JA195" s="23"/>
      <c r="JB195" s="23"/>
      <c r="JC195" s="23"/>
      <c r="JD195" s="23"/>
      <c r="JE195" s="23"/>
      <c r="JF195" s="23"/>
      <c r="JG195" s="23"/>
      <c r="JH195" s="23"/>
      <c r="JI195" s="23"/>
      <c r="JJ195" s="23"/>
      <c r="JK195" s="23"/>
      <c r="JL195" s="23"/>
      <c r="JM195" s="23"/>
      <c r="JN195" s="23"/>
      <c r="JO195" s="23"/>
      <c r="JP195" s="23"/>
      <c r="JQ195" s="23"/>
      <c r="JR195" s="23"/>
      <c r="JS195" s="23"/>
      <c r="JT195" s="23"/>
      <c r="JU195" s="23"/>
      <c r="JV195" s="23"/>
      <c r="JW195" s="23"/>
      <c r="JX195" s="23"/>
      <c r="JY195" s="23"/>
      <c r="JZ195" s="23"/>
      <c r="KA195" s="23"/>
      <c r="KB195" s="23"/>
      <c r="KC195" s="23"/>
      <c r="KD195" s="23"/>
      <c r="KE195" s="23"/>
      <c r="KF195" s="23"/>
      <c r="KG195" s="23"/>
      <c r="KH195" s="23"/>
      <c r="KI195" s="23"/>
      <c r="KJ195" s="23"/>
      <c r="KK195" s="23"/>
      <c r="KL195" s="23"/>
      <c r="KM195" s="23"/>
      <c r="KN195" s="23"/>
      <c r="KO195" s="23"/>
      <c r="KP195" s="23"/>
      <c r="KQ195" s="23"/>
      <c r="KR195" s="23"/>
      <c r="KS195" s="23"/>
      <c r="KT195" s="23"/>
      <c r="KU195" s="23"/>
      <c r="KV195" s="23"/>
      <c r="KW195" s="23"/>
      <c r="KX195" s="23"/>
      <c r="KY195" s="23"/>
      <c r="KZ195" s="23"/>
      <c r="LA195" s="23"/>
      <c r="LB195" s="23"/>
      <c r="LC195" s="23"/>
      <c r="LD195" s="23"/>
      <c r="LE195" s="23"/>
      <c r="LF195" s="23"/>
      <c r="LG195" s="23"/>
      <c r="LH195" s="23"/>
      <c r="LI195" s="23"/>
      <c r="LJ195" s="23"/>
      <c r="LK195" s="23"/>
      <c r="LL195" s="23"/>
      <c r="LM195" s="23"/>
      <c r="LN195" s="23"/>
      <c r="LO195" s="23"/>
    </row>
    <row r="196" spans="1:327">
      <c r="A196" s="390"/>
      <c r="B196" s="23"/>
      <c r="C196" s="391"/>
      <c r="D196" s="391"/>
      <c r="E196" s="23"/>
      <c r="F196" s="23"/>
      <c r="G196" s="392"/>
      <c r="H196" s="392"/>
      <c r="I196" s="392"/>
      <c r="J196" s="392"/>
      <c r="K196" s="392"/>
      <c r="L196" s="392"/>
      <c r="M196" s="392"/>
      <c r="N196" s="23"/>
      <c r="O196" s="39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  <c r="IZ196" s="23"/>
      <c r="JA196" s="23"/>
      <c r="JB196" s="23"/>
      <c r="JC196" s="23"/>
      <c r="JD196" s="23"/>
      <c r="JE196" s="23"/>
      <c r="JF196" s="23"/>
      <c r="JG196" s="23"/>
      <c r="JH196" s="23"/>
      <c r="JI196" s="23"/>
      <c r="JJ196" s="23"/>
      <c r="JK196" s="23"/>
      <c r="JL196" s="23"/>
      <c r="JM196" s="23"/>
      <c r="JN196" s="23"/>
      <c r="JO196" s="23"/>
      <c r="JP196" s="23"/>
      <c r="JQ196" s="23"/>
      <c r="JR196" s="23"/>
      <c r="JS196" s="23"/>
      <c r="JT196" s="23"/>
      <c r="JU196" s="23"/>
      <c r="JV196" s="23"/>
      <c r="JW196" s="23"/>
      <c r="JX196" s="23"/>
      <c r="JY196" s="23"/>
      <c r="JZ196" s="23"/>
      <c r="KA196" s="23"/>
      <c r="KB196" s="23"/>
      <c r="KC196" s="23"/>
      <c r="KD196" s="23"/>
      <c r="KE196" s="23"/>
      <c r="KF196" s="23"/>
      <c r="KG196" s="23"/>
      <c r="KH196" s="23"/>
      <c r="KI196" s="23"/>
      <c r="KJ196" s="23"/>
      <c r="KK196" s="23"/>
      <c r="KL196" s="23"/>
      <c r="KM196" s="23"/>
      <c r="KN196" s="23"/>
      <c r="KO196" s="23"/>
      <c r="KP196" s="23"/>
      <c r="KQ196" s="23"/>
      <c r="KR196" s="23"/>
      <c r="KS196" s="23"/>
      <c r="KT196" s="23"/>
      <c r="KU196" s="23"/>
      <c r="KV196" s="23"/>
      <c r="KW196" s="23"/>
      <c r="KX196" s="23"/>
      <c r="KY196" s="23"/>
      <c r="KZ196" s="23"/>
      <c r="LA196" s="23"/>
      <c r="LB196" s="23"/>
      <c r="LC196" s="23"/>
      <c r="LD196" s="23"/>
      <c r="LE196" s="23"/>
      <c r="LF196" s="23"/>
      <c r="LG196" s="23"/>
      <c r="LH196" s="23"/>
      <c r="LI196" s="23"/>
      <c r="LJ196" s="23"/>
      <c r="LK196" s="23"/>
      <c r="LL196" s="23"/>
      <c r="LM196" s="23"/>
      <c r="LN196" s="23"/>
      <c r="LO196" s="23"/>
    </row>
    <row r="197" spans="1:327">
      <c r="A197" s="390"/>
      <c r="B197" s="23"/>
      <c r="C197" s="391"/>
      <c r="D197" s="391"/>
      <c r="E197" s="23"/>
      <c r="F197" s="23"/>
      <c r="G197" s="392"/>
      <c r="H197" s="392"/>
      <c r="I197" s="392"/>
      <c r="J197" s="392"/>
      <c r="K197" s="392"/>
      <c r="L197" s="392"/>
      <c r="M197" s="392"/>
      <c r="N197" s="23"/>
      <c r="O197" s="39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3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/>
      <c r="JQ197" s="23"/>
      <c r="JR197" s="23"/>
      <c r="JS197" s="23"/>
      <c r="JT197" s="23"/>
      <c r="JU197" s="23"/>
      <c r="JV197" s="23"/>
      <c r="JW197" s="23"/>
      <c r="JX197" s="23"/>
      <c r="JY197" s="23"/>
      <c r="JZ197" s="23"/>
      <c r="KA197" s="23"/>
      <c r="KB197" s="23"/>
      <c r="KC197" s="23"/>
      <c r="KD197" s="23"/>
      <c r="KE197" s="23"/>
      <c r="KF197" s="23"/>
      <c r="KG197" s="23"/>
      <c r="KH197" s="23"/>
      <c r="KI197" s="23"/>
      <c r="KJ197" s="23"/>
      <c r="KK197" s="23"/>
      <c r="KL197" s="23"/>
      <c r="KM197" s="23"/>
      <c r="KN197" s="23"/>
      <c r="KO197" s="23"/>
      <c r="KP197" s="23"/>
      <c r="KQ197" s="23"/>
      <c r="KR197" s="23"/>
      <c r="KS197" s="23"/>
      <c r="KT197" s="23"/>
      <c r="KU197" s="23"/>
      <c r="KV197" s="23"/>
      <c r="KW197" s="23"/>
      <c r="KX197" s="23"/>
      <c r="KY197" s="23"/>
      <c r="KZ197" s="23"/>
      <c r="LA197" s="23"/>
      <c r="LB197" s="23"/>
      <c r="LC197" s="23"/>
      <c r="LD197" s="23"/>
      <c r="LE197" s="23"/>
      <c r="LF197" s="23"/>
      <c r="LG197" s="23"/>
      <c r="LH197" s="23"/>
      <c r="LI197" s="23"/>
      <c r="LJ197" s="23"/>
      <c r="LK197" s="23"/>
      <c r="LL197" s="23"/>
      <c r="LM197" s="23"/>
      <c r="LN197" s="23"/>
      <c r="LO197" s="23"/>
    </row>
    <row r="198" spans="1:327">
      <c r="A198" s="390"/>
      <c r="B198" s="23"/>
      <c r="C198" s="391"/>
      <c r="D198" s="391"/>
      <c r="E198" s="23"/>
      <c r="F198" s="23"/>
      <c r="G198" s="392"/>
      <c r="H198" s="392"/>
      <c r="I198" s="392"/>
      <c r="J198" s="392"/>
      <c r="K198" s="392"/>
      <c r="L198" s="392"/>
      <c r="M198" s="392"/>
      <c r="N198" s="23"/>
      <c r="O198" s="39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  <c r="IZ198" s="23"/>
      <c r="JA198" s="23"/>
      <c r="JB198" s="23"/>
      <c r="JC198" s="23"/>
      <c r="JD198" s="23"/>
      <c r="JE198" s="23"/>
      <c r="JF198" s="23"/>
      <c r="JG198" s="23"/>
      <c r="JH198" s="23"/>
      <c r="JI198" s="23"/>
      <c r="JJ198" s="23"/>
      <c r="JK198" s="23"/>
      <c r="JL198" s="23"/>
      <c r="JM198" s="23"/>
      <c r="JN198" s="23"/>
      <c r="JO198" s="23"/>
      <c r="JP198" s="23"/>
      <c r="JQ198" s="23"/>
      <c r="JR198" s="23"/>
      <c r="JS198" s="23"/>
      <c r="JT198" s="23"/>
      <c r="JU198" s="23"/>
      <c r="JV198" s="23"/>
      <c r="JW198" s="23"/>
      <c r="JX198" s="23"/>
      <c r="JY198" s="23"/>
      <c r="JZ198" s="23"/>
      <c r="KA198" s="23"/>
      <c r="KB198" s="23"/>
      <c r="KC198" s="23"/>
      <c r="KD198" s="23"/>
      <c r="KE198" s="23"/>
      <c r="KF198" s="23"/>
      <c r="KG198" s="23"/>
      <c r="KH198" s="23"/>
      <c r="KI198" s="23"/>
      <c r="KJ198" s="23"/>
      <c r="KK198" s="23"/>
      <c r="KL198" s="23"/>
      <c r="KM198" s="23"/>
      <c r="KN198" s="23"/>
      <c r="KO198" s="23"/>
      <c r="KP198" s="23"/>
      <c r="KQ198" s="23"/>
      <c r="KR198" s="23"/>
      <c r="KS198" s="23"/>
      <c r="KT198" s="23"/>
      <c r="KU198" s="23"/>
      <c r="KV198" s="23"/>
      <c r="KW198" s="23"/>
      <c r="KX198" s="23"/>
      <c r="KY198" s="23"/>
      <c r="KZ198" s="23"/>
      <c r="LA198" s="23"/>
      <c r="LB198" s="23"/>
      <c r="LC198" s="23"/>
      <c r="LD198" s="23"/>
      <c r="LE198" s="23"/>
      <c r="LF198" s="23"/>
      <c r="LG198" s="23"/>
      <c r="LH198" s="23"/>
      <c r="LI198" s="23"/>
      <c r="LJ198" s="23"/>
      <c r="LK198" s="23"/>
      <c r="LL198" s="23"/>
      <c r="LM198" s="23"/>
      <c r="LN198" s="23"/>
      <c r="LO198" s="23"/>
    </row>
    <row r="199" spans="1:327">
      <c r="A199" s="390"/>
      <c r="B199" s="23"/>
      <c r="C199" s="391"/>
      <c r="D199" s="391"/>
      <c r="E199" s="23"/>
      <c r="F199" s="23"/>
      <c r="G199" s="392"/>
      <c r="H199" s="392"/>
      <c r="I199" s="392"/>
      <c r="J199" s="392"/>
      <c r="K199" s="392"/>
      <c r="L199" s="392"/>
      <c r="M199" s="392"/>
      <c r="N199" s="23"/>
      <c r="O199" s="39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/>
      <c r="JZ199" s="23"/>
      <c r="KA199" s="23"/>
      <c r="KB199" s="23"/>
      <c r="KC199" s="23"/>
      <c r="KD199" s="23"/>
      <c r="KE199" s="23"/>
      <c r="KF199" s="23"/>
      <c r="KG199" s="23"/>
      <c r="KH199" s="23"/>
      <c r="KI199" s="23"/>
      <c r="KJ199" s="23"/>
      <c r="KK199" s="23"/>
      <c r="KL199" s="23"/>
      <c r="KM199" s="23"/>
      <c r="KN199" s="23"/>
      <c r="KO199" s="23"/>
      <c r="KP199" s="23"/>
      <c r="KQ199" s="23"/>
      <c r="KR199" s="23"/>
      <c r="KS199" s="23"/>
      <c r="KT199" s="23"/>
      <c r="KU199" s="23"/>
      <c r="KV199" s="23"/>
      <c r="KW199" s="23"/>
      <c r="KX199" s="23"/>
      <c r="KY199" s="23"/>
      <c r="KZ199" s="23"/>
      <c r="LA199" s="23"/>
      <c r="LB199" s="23"/>
      <c r="LC199" s="23"/>
      <c r="LD199" s="23"/>
      <c r="LE199" s="23"/>
      <c r="LF199" s="23"/>
      <c r="LG199" s="23"/>
      <c r="LH199" s="23"/>
      <c r="LI199" s="23"/>
      <c r="LJ199" s="23"/>
      <c r="LK199" s="23"/>
      <c r="LL199" s="23"/>
      <c r="LM199" s="23"/>
      <c r="LN199" s="23"/>
      <c r="LO199" s="23"/>
    </row>
    <row r="200" spans="1:327">
      <c r="A200" s="390"/>
      <c r="B200" s="23"/>
      <c r="C200" s="391"/>
      <c r="D200" s="391"/>
      <c r="E200" s="23"/>
      <c r="F200" s="23"/>
      <c r="G200" s="392"/>
      <c r="H200" s="392"/>
      <c r="I200" s="392"/>
      <c r="J200" s="392"/>
      <c r="K200" s="392"/>
      <c r="L200" s="392"/>
      <c r="M200" s="392"/>
      <c r="N200" s="23"/>
      <c r="O200" s="39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  <c r="KG200" s="23"/>
      <c r="KH200" s="23"/>
      <c r="KI200" s="23"/>
      <c r="KJ200" s="23"/>
      <c r="KK200" s="23"/>
      <c r="KL200" s="23"/>
      <c r="KM200" s="23"/>
      <c r="KN200" s="23"/>
      <c r="KO200" s="23"/>
      <c r="KP200" s="23"/>
      <c r="KQ200" s="23"/>
      <c r="KR200" s="23"/>
      <c r="KS200" s="23"/>
      <c r="KT200" s="23"/>
      <c r="KU200" s="23"/>
      <c r="KV200" s="23"/>
      <c r="KW200" s="23"/>
      <c r="KX200" s="23"/>
      <c r="KY200" s="23"/>
      <c r="KZ200" s="23"/>
      <c r="LA200" s="23"/>
      <c r="LB200" s="23"/>
      <c r="LC200" s="23"/>
      <c r="LD200" s="23"/>
      <c r="LE200" s="23"/>
      <c r="LF200" s="23"/>
      <c r="LG200" s="23"/>
      <c r="LH200" s="23"/>
      <c r="LI200" s="23"/>
      <c r="LJ200" s="23"/>
      <c r="LK200" s="23"/>
      <c r="LL200" s="23"/>
      <c r="LM200" s="23"/>
      <c r="LN200" s="23"/>
      <c r="LO200" s="23"/>
    </row>
    <row r="201" spans="1:327">
      <c r="A201" s="390"/>
      <c r="B201" s="23"/>
      <c r="C201" s="391"/>
      <c r="D201" s="391"/>
      <c r="E201" s="23"/>
      <c r="F201" s="23"/>
      <c r="G201" s="392"/>
      <c r="H201" s="392"/>
      <c r="I201" s="392"/>
      <c r="J201" s="392"/>
      <c r="K201" s="392"/>
      <c r="L201" s="392"/>
      <c r="M201" s="392"/>
      <c r="N201" s="23"/>
      <c r="O201" s="39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/>
      <c r="JQ201" s="23"/>
      <c r="JR201" s="23"/>
      <c r="JS201" s="23"/>
      <c r="JT201" s="23"/>
      <c r="JU201" s="23"/>
      <c r="JV201" s="23"/>
      <c r="JW201" s="23"/>
      <c r="JX201" s="23"/>
      <c r="JY201" s="23"/>
      <c r="JZ201" s="23"/>
      <c r="KA201" s="23"/>
      <c r="KB201" s="23"/>
      <c r="KC201" s="23"/>
      <c r="KD201" s="23"/>
      <c r="KE201" s="23"/>
      <c r="KF201" s="23"/>
      <c r="KG201" s="23"/>
      <c r="KH201" s="23"/>
      <c r="KI201" s="23"/>
      <c r="KJ201" s="23"/>
      <c r="KK201" s="23"/>
      <c r="KL201" s="23"/>
      <c r="KM201" s="23"/>
      <c r="KN201" s="23"/>
      <c r="KO201" s="23"/>
      <c r="KP201" s="23"/>
      <c r="KQ201" s="23"/>
      <c r="KR201" s="23"/>
      <c r="KS201" s="23"/>
      <c r="KT201" s="23"/>
      <c r="KU201" s="23"/>
      <c r="KV201" s="23"/>
      <c r="KW201" s="23"/>
      <c r="KX201" s="23"/>
      <c r="KY201" s="23"/>
      <c r="KZ201" s="23"/>
      <c r="LA201" s="23"/>
      <c r="LB201" s="23"/>
      <c r="LC201" s="23"/>
      <c r="LD201" s="23"/>
      <c r="LE201" s="23"/>
      <c r="LF201" s="23"/>
      <c r="LG201" s="23"/>
      <c r="LH201" s="23"/>
      <c r="LI201" s="23"/>
      <c r="LJ201" s="23"/>
      <c r="LK201" s="23"/>
      <c r="LL201" s="23"/>
      <c r="LM201" s="23"/>
      <c r="LN201" s="23"/>
      <c r="LO201" s="23"/>
    </row>
    <row r="202" spans="1:327">
      <c r="A202" s="390"/>
      <c r="B202" s="23"/>
      <c r="C202" s="391"/>
      <c r="D202" s="391"/>
      <c r="E202" s="23"/>
      <c r="F202" s="23"/>
      <c r="G202" s="392"/>
      <c r="H202" s="392"/>
      <c r="I202" s="392"/>
      <c r="J202" s="392"/>
      <c r="K202" s="392"/>
      <c r="L202" s="392"/>
      <c r="M202" s="392"/>
      <c r="N202" s="23"/>
      <c r="O202" s="39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  <c r="IZ202" s="23"/>
      <c r="JA202" s="23"/>
      <c r="JB202" s="23"/>
      <c r="JC202" s="23"/>
      <c r="JD202" s="23"/>
      <c r="JE202" s="23"/>
      <c r="JF202" s="23"/>
      <c r="JG202" s="23"/>
      <c r="JH202" s="23"/>
      <c r="JI202" s="23"/>
      <c r="JJ202" s="23"/>
      <c r="JK202" s="23"/>
      <c r="JL202" s="23"/>
      <c r="JM202" s="23"/>
      <c r="JN202" s="23"/>
      <c r="JO202" s="23"/>
      <c r="JP202" s="23"/>
      <c r="JQ202" s="23"/>
      <c r="JR202" s="23"/>
      <c r="JS202" s="23"/>
      <c r="JT202" s="23"/>
      <c r="JU202" s="23"/>
      <c r="JV202" s="23"/>
      <c r="JW202" s="23"/>
      <c r="JX202" s="23"/>
      <c r="JY202" s="23"/>
      <c r="JZ202" s="23"/>
      <c r="KA202" s="23"/>
      <c r="KB202" s="23"/>
      <c r="KC202" s="23"/>
      <c r="KD202" s="23"/>
      <c r="KE202" s="23"/>
      <c r="KF202" s="23"/>
      <c r="KG202" s="23"/>
      <c r="KH202" s="23"/>
      <c r="KI202" s="23"/>
      <c r="KJ202" s="23"/>
      <c r="KK202" s="23"/>
      <c r="KL202" s="23"/>
      <c r="KM202" s="23"/>
      <c r="KN202" s="23"/>
      <c r="KO202" s="23"/>
      <c r="KP202" s="23"/>
      <c r="KQ202" s="23"/>
      <c r="KR202" s="23"/>
      <c r="KS202" s="23"/>
      <c r="KT202" s="23"/>
      <c r="KU202" s="23"/>
      <c r="KV202" s="23"/>
      <c r="KW202" s="23"/>
      <c r="KX202" s="23"/>
      <c r="KY202" s="23"/>
      <c r="KZ202" s="23"/>
      <c r="LA202" s="23"/>
      <c r="LB202" s="23"/>
      <c r="LC202" s="23"/>
      <c r="LD202" s="23"/>
      <c r="LE202" s="23"/>
      <c r="LF202" s="23"/>
      <c r="LG202" s="23"/>
      <c r="LH202" s="23"/>
      <c r="LI202" s="23"/>
      <c r="LJ202" s="23"/>
      <c r="LK202" s="23"/>
      <c r="LL202" s="23"/>
      <c r="LM202" s="23"/>
      <c r="LN202" s="23"/>
      <c r="LO202" s="23"/>
    </row>
    <row r="203" spans="1:327">
      <c r="A203" s="390"/>
      <c r="B203" s="23"/>
      <c r="C203" s="391"/>
      <c r="D203" s="391"/>
      <c r="E203" s="23"/>
      <c r="F203" s="23"/>
      <c r="G203" s="392"/>
      <c r="H203" s="392"/>
      <c r="I203" s="392"/>
      <c r="J203" s="392"/>
      <c r="K203" s="392"/>
      <c r="L203" s="392"/>
      <c r="M203" s="392"/>
      <c r="N203" s="23"/>
      <c r="O203" s="39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  <c r="KG203" s="23"/>
      <c r="KH203" s="23"/>
      <c r="KI203" s="23"/>
      <c r="KJ203" s="23"/>
      <c r="KK203" s="23"/>
      <c r="KL203" s="23"/>
      <c r="KM203" s="23"/>
      <c r="KN203" s="23"/>
      <c r="KO203" s="23"/>
      <c r="KP203" s="23"/>
      <c r="KQ203" s="23"/>
      <c r="KR203" s="23"/>
      <c r="KS203" s="23"/>
      <c r="KT203" s="23"/>
      <c r="KU203" s="23"/>
      <c r="KV203" s="23"/>
      <c r="KW203" s="23"/>
      <c r="KX203" s="23"/>
      <c r="KY203" s="23"/>
      <c r="KZ203" s="23"/>
      <c r="LA203" s="23"/>
      <c r="LB203" s="23"/>
      <c r="LC203" s="23"/>
      <c r="LD203" s="23"/>
      <c r="LE203" s="23"/>
      <c r="LF203" s="23"/>
      <c r="LG203" s="23"/>
      <c r="LH203" s="23"/>
      <c r="LI203" s="23"/>
      <c r="LJ203" s="23"/>
      <c r="LK203" s="23"/>
      <c r="LL203" s="23"/>
      <c r="LM203" s="23"/>
      <c r="LN203" s="23"/>
      <c r="LO203" s="23"/>
    </row>
    <row r="204" spans="1:327">
      <c r="A204" s="390"/>
      <c r="B204" s="23"/>
      <c r="C204" s="391"/>
      <c r="D204" s="391"/>
      <c r="E204" s="23"/>
      <c r="F204" s="23"/>
      <c r="G204" s="392"/>
      <c r="H204" s="392"/>
      <c r="I204" s="392"/>
      <c r="J204" s="392"/>
      <c r="K204" s="392"/>
      <c r="L204" s="392"/>
      <c r="M204" s="392"/>
      <c r="N204" s="23"/>
      <c r="O204" s="39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  <c r="IZ204" s="23"/>
      <c r="JA204" s="23"/>
      <c r="JB204" s="23"/>
      <c r="JC204" s="23"/>
      <c r="JD204" s="23"/>
      <c r="JE204" s="23"/>
      <c r="JF204" s="23"/>
      <c r="JG204" s="23"/>
      <c r="JH204" s="23"/>
      <c r="JI204" s="23"/>
      <c r="JJ204" s="23"/>
      <c r="JK204" s="23"/>
      <c r="JL204" s="23"/>
      <c r="JM204" s="23"/>
      <c r="JN204" s="23"/>
      <c r="JO204" s="23"/>
      <c r="JP204" s="23"/>
      <c r="JQ204" s="23"/>
      <c r="JR204" s="23"/>
      <c r="JS204" s="23"/>
      <c r="JT204" s="23"/>
      <c r="JU204" s="23"/>
      <c r="JV204" s="23"/>
      <c r="JW204" s="23"/>
      <c r="JX204" s="23"/>
      <c r="JY204" s="23"/>
      <c r="JZ204" s="23"/>
      <c r="KA204" s="23"/>
      <c r="KB204" s="23"/>
      <c r="KC204" s="23"/>
      <c r="KD204" s="23"/>
      <c r="KE204" s="23"/>
      <c r="KF204" s="23"/>
      <c r="KG204" s="23"/>
      <c r="KH204" s="23"/>
      <c r="KI204" s="23"/>
      <c r="KJ204" s="23"/>
      <c r="KK204" s="23"/>
      <c r="KL204" s="23"/>
      <c r="KM204" s="23"/>
      <c r="KN204" s="23"/>
      <c r="KO204" s="23"/>
      <c r="KP204" s="23"/>
      <c r="KQ204" s="23"/>
      <c r="KR204" s="23"/>
      <c r="KS204" s="23"/>
      <c r="KT204" s="23"/>
      <c r="KU204" s="23"/>
      <c r="KV204" s="23"/>
      <c r="KW204" s="23"/>
      <c r="KX204" s="23"/>
      <c r="KY204" s="23"/>
      <c r="KZ204" s="23"/>
      <c r="LA204" s="23"/>
      <c r="LB204" s="23"/>
      <c r="LC204" s="23"/>
      <c r="LD204" s="23"/>
      <c r="LE204" s="23"/>
      <c r="LF204" s="23"/>
      <c r="LG204" s="23"/>
      <c r="LH204" s="23"/>
      <c r="LI204" s="23"/>
      <c r="LJ204" s="23"/>
      <c r="LK204" s="23"/>
      <c r="LL204" s="23"/>
      <c r="LM204" s="23"/>
      <c r="LN204" s="23"/>
      <c r="LO204" s="23"/>
    </row>
    <row r="205" spans="1:327">
      <c r="A205" s="390"/>
      <c r="B205" s="23"/>
      <c r="C205" s="391"/>
      <c r="D205" s="391"/>
      <c r="E205" s="23"/>
      <c r="F205" s="23"/>
      <c r="G205" s="392"/>
      <c r="H205" s="392"/>
      <c r="I205" s="392"/>
      <c r="J205" s="392"/>
      <c r="K205" s="392"/>
      <c r="L205" s="392"/>
      <c r="M205" s="392"/>
      <c r="N205" s="23"/>
      <c r="O205" s="39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  <c r="IZ205" s="23"/>
      <c r="JA205" s="23"/>
      <c r="JB205" s="23"/>
      <c r="JC205" s="23"/>
      <c r="JD205" s="23"/>
      <c r="JE205" s="23"/>
      <c r="JF205" s="23"/>
      <c r="JG205" s="23"/>
      <c r="JH205" s="23"/>
      <c r="JI205" s="23"/>
      <c r="JJ205" s="23"/>
      <c r="JK205" s="23"/>
      <c r="JL205" s="23"/>
      <c r="JM205" s="23"/>
      <c r="JN205" s="23"/>
      <c r="JO205" s="23"/>
      <c r="JP205" s="23"/>
      <c r="JQ205" s="23"/>
      <c r="JR205" s="23"/>
      <c r="JS205" s="23"/>
      <c r="JT205" s="23"/>
      <c r="JU205" s="23"/>
      <c r="JV205" s="23"/>
      <c r="JW205" s="23"/>
      <c r="JX205" s="23"/>
      <c r="JY205" s="23"/>
      <c r="JZ205" s="23"/>
      <c r="KA205" s="23"/>
      <c r="KB205" s="23"/>
      <c r="KC205" s="23"/>
      <c r="KD205" s="23"/>
      <c r="KE205" s="23"/>
      <c r="KF205" s="23"/>
      <c r="KG205" s="23"/>
      <c r="KH205" s="23"/>
      <c r="KI205" s="23"/>
      <c r="KJ205" s="23"/>
      <c r="KK205" s="23"/>
      <c r="KL205" s="23"/>
      <c r="KM205" s="23"/>
      <c r="KN205" s="23"/>
      <c r="KO205" s="23"/>
      <c r="KP205" s="23"/>
      <c r="KQ205" s="23"/>
      <c r="KR205" s="23"/>
      <c r="KS205" s="23"/>
      <c r="KT205" s="23"/>
      <c r="KU205" s="23"/>
      <c r="KV205" s="23"/>
      <c r="KW205" s="23"/>
      <c r="KX205" s="23"/>
      <c r="KY205" s="23"/>
      <c r="KZ205" s="23"/>
      <c r="LA205" s="23"/>
      <c r="LB205" s="23"/>
      <c r="LC205" s="23"/>
      <c r="LD205" s="23"/>
      <c r="LE205" s="23"/>
      <c r="LF205" s="23"/>
      <c r="LG205" s="23"/>
      <c r="LH205" s="23"/>
      <c r="LI205" s="23"/>
      <c r="LJ205" s="23"/>
      <c r="LK205" s="23"/>
      <c r="LL205" s="23"/>
      <c r="LM205" s="23"/>
      <c r="LN205" s="23"/>
      <c r="LO205" s="23"/>
    </row>
    <row r="206" spans="1:327">
      <c r="A206" s="390"/>
      <c r="B206" s="23"/>
      <c r="C206" s="391"/>
      <c r="D206" s="391"/>
      <c r="E206" s="23"/>
      <c r="F206" s="23"/>
      <c r="G206" s="392"/>
      <c r="H206" s="392"/>
      <c r="I206" s="392"/>
      <c r="J206" s="392"/>
      <c r="K206" s="392"/>
      <c r="L206" s="392"/>
      <c r="M206" s="392"/>
      <c r="N206" s="23"/>
      <c r="O206" s="39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/>
      <c r="JQ206" s="23"/>
      <c r="JR206" s="23"/>
      <c r="JS206" s="23"/>
      <c r="JT206" s="23"/>
      <c r="JU206" s="23"/>
      <c r="JV206" s="23"/>
      <c r="JW206" s="23"/>
      <c r="JX206" s="23"/>
      <c r="JY206" s="23"/>
      <c r="JZ206" s="23"/>
      <c r="KA206" s="23"/>
      <c r="KB206" s="23"/>
      <c r="KC206" s="23"/>
      <c r="KD206" s="23"/>
      <c r="KE206" s="23"/>
      <c r="KF206" s="23"/>
      <c r="KG206" s="23"/>
      <c r="KH206" s="23"/>
      <c r="KI206" s="23"/>
      <c r="KJ206" s="23"/>
      <c r="KK206" s="23"/>
      <c r="KL206" s="23"/>
      <c r="KM206" s="23"/>
      <c r="KN206" s="23"/>
      <c r="KO206" s="23"/>
      <c r="KP206" s="23"/>
      <c r="KQ206" s="23"/>
      <c r="KR206" s="23"/>
      <c r="KS206" s="23"/>
      <c r="KT206" s="23"/>
      <c r="KU206" s="23"/>
      <c r="KV206" s="23"/>
      <c r="KW206" s="23"/>
      <c r="KX206" s="23"/>
      <c r="KY206" s="23"/>
      <c r="KZ206" s="23"/>
      <c r="LA206" s="23"/>
      <c r="LB206" s="23"/>
      <c r="LC206" s="23"/>
      <c r="LD206" s="23"/>
      <c r="LE206" s="23"/>
      <c r="LF206" s="23"/>
      <c r="LG206" s="23"/>
      <c r="LH206" s="23"/>
      <c r="LI206" s="23"/>
      <c r="LJ206" s="23"/>
      <c r="LK206" s="23"/>
      <c r="LL206" s="23"/>
      <c r="LM206" s="23"/>
      <c r="LN206" s="23"/>
      <c r="LO206" s="23"/>
    </row>
    <row r="207" spans="1:327">
      <c r="A207" s="390"/>
      <c r="B207" s="23"/>
      <c r="C207" s="391"/>
      <c r="D207" s="391"/>
      <c r="E207" s="23"/>
      <c r="F207" s="23"/>
      <c r="G207" s="392"/>
      <c r="H207" s="392"/>
      <c r="I207" s="392"/>
      <c r="J207" s="392"/>
      <c r="K207" s="392"/>
      <c r="L207" s="392"/>
      <c r="M207" s="392"/>
      <c r="N207" s="23"/>
      <c r="O207" s="39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  <c r="KG207" s="23"/>
      <c r="KH207" s="23"/>
      <c r="KI207" s="23"/>
      <c r="KJ207" s="23"/>
      <c r="KK207" s="23"/>
      <c r="KL207" s="23"/>
      <c r="KM207" s="23"/>
      <c r="KN207" s="23"/>
      <c r="KO207" s="23"/>
      <c r="KP207" s="23"/>
      <c r="KQ207" s="23"/>
      <c r="KR207" s="23"/>
      <c r="KS207" s="23"/>
      <c r="KT207" s="23"/>
      <c r="KU207" s="23"/>
      <c r="KV207" s="23"/>
      <c r="KW207" s="23"/>
      <c r="KX207" s="23"/>
      <c r="KY207" s="23"/>
      <c r="KZ207" s="23"/>
      <c r="LA207" s="23"/>
      <c r="LB207" s="23"/>
      <c r="LC207" s="23"/>
      <c r="LD207" s="23"/>
      <c r="LE207" s="23"/>
      <c r="LF207" s="23"/>
      <c r="LG207" s="23"/>
      <c r="LH207" s="23"/>
      <c r="LI207" s="23"/>
      <c r="LJ207" s="23"/>
      <c r="LK207" s="23"/>
      <c r="LL207" s="23"/>
      <c r="LM207" s="23"/>
      <c r="LN207" s="23"/>
      <c r="LO207" s="23"/>
    </row>
    <row r="208" spans="1:327">
      <c r="A208" s="390"/>
      <c r="B208" s="23"/>
      <c r="C208" s="391"/>
      <c r="D208" s="391"/>
      <c r="E208" s="23"/>
      <c r="F208" s="23"/>
      <c r="G208" s="392"/>
      <c r="H208" s="392"/>
      <c r="I208" s="392"/>
      <c r="J208" s="392"/>
      <c r="K208" s="392"/>
      <c r="L208" s="392"/>
      <c r="M208" s="392"/>
      <c r="N208" s="23"/>
      <c r="O208" s="39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  <c r="KG208" s="23"/>
      <c r="KH208" s="23"/>
      <c r="KI208" s="23"/>
      <c r="KJ208" s="23"/>
      <c r="KK208" s="23"/>
      <c r="KL208" s="23"/>
      <c r="KM208" s="23"/>
      <c r="KN208" s="23"/>
      <c r="KO208" s="23"/>
      <c r="KP208" s="23"/>
      <c r="KQ208" s="23"/>
      <c r="KR208" s="23"/>
      <c r="KS208" s="23"/>
      <c r="KT208" s="23"/>
      <c r="KU208" s="23"/>
      <c r="KV208" s="23"/>
      <c r="KW208" s="23"/>
      <c r="KX208" s="23"/>
      <c r="KY208" s="23"/>
      <c r="KZ208" s="23"/>
      <c r="LA208" s="23"/>
      <c r="LB208" s="23"/>
      <c r="LC208" s="23"/>
      <c r="LD208" s="23"/>
      <c r="LE208" s="23"/>
      <c r="LF208" s="23"/>
      <c r="LG208" s="23"/>
      <c r="LH208" s="23"/>
      <c r="LI208" s="23"/>
      <c r="LJ208" s="23"/>
      <c r="LK208" s="23"/>
      <c r="LL208" s="23"/>
      <c r="LM208" s="23"/>
      <c r="LN208" s="23"/>
      <c r="LO208" s="23"/>
    </row>
    <row r="209" spans="1:327">
      <c r="A209" s="390"/>
      <c r="B209" s="23"/>
      <c r="C209" s="391"/>
      <c r="D209" s="391"/>
      <c r="E209" s="23"/>
      <c r="F209" s="23"/>
      <c r="G209" s="392"/>
      <c r="H209" s="392"/>
      <c r="I209" s="392"/>
      <c r="J209" s="392"/>
      <c r="K209" s="392"/>
      <c r="L209" s="392"/>
      <c r="M209" s="392"/>
      <c r="N209" s="23"/>
      <c r="O209" s="39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  <c r="KG209" s="23"/>
      <c r="KH209" s="23"/>
      <c r="KI209" s="23"/>
      <c r="KJ209" s="23"/>
      <c r="KK209" s="23"/>
      <c r="KL209" s="23"/>
      <c r="KM209" s="23"/>
      <c r="KN209" s="23"/>
      <c r="KO209" s="23"/>
      <c r="KP209" s="23"/>
      <c r="KQ209" s="23"/>
      <c r="KR209" s="23"/>
      <c r="KS209" s="23"/>
      <c r="KT209" s="23"/>
      <c r="KU209" s="23"/>
      <c r="KV209" s="23"/>
      <c r="KW209" s="23"/>
      <c r="KX209" s="23"/>
      <c r="KY209" s="23"/>
      <c r="KZ209" s="23"/>
      <c r="LA209" s="23"/>
      <c r="LB209" s="23"/>
      <c r="LC209" s="23"/>
      <c r="LD209" s="23"/>
      <c r="LE209" s="23"/>
      <c r="LF209" s="23"/>
      <c r="LG209" s="23"/>
      <c r="LH209" s="23"/>
      <c r="LI209" s="23"/>
      <c r="LJ209" s="23"/>
      <c r="LK209" s="23"/>
      <c r="LL209" s="23"/>
      <c r="LM209" s="23"/>
      <c r="LN209" s="23"/>
      <c r="LO209" s="23"/>
    </row>
    <row r="210" spans="1:327">
      <c r="A210" s="390"/>
      <c r="B210" s="23"/>
      <c r="C210" s="391"/>
      <c r="D210" s="391"/>
      <c r="E210" s="23"/>
      <c r="F210" s="23"/>
      <c r="G210" s="392"/>
      <c r="H210" s="392"/>
      <c r="I210" s="392"/>
      <c r="J210" s="392"/>
      <c r="K210" s="392"/>
      <c r="L210" s="392"/>
      <c r="M210" s="392"/>
      <c r="N210" s="23"/>
      <c r="O210" s="39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  <c r="IZ210" s="23"/>
      <c r="JA210" s="23"/>
      <c r="JB210" s="23"/>
      <c r="JC210" s="23"/>
      <c r="JD210" s="23"/>
      <c r="JE210" s="23"/>
      <c r="JF210" s="23"/>
      <c r="JG210" s="23"/>
      <c r="JH210" s="23"/>
      <c r="JI210" s="23"/>
      <c r="JJ210" s="23"/>
      <c r="JK210" s="23"/>
      <c r="JL210" s="23"/>
      <c r="JM210" s="23"/>
      <c r="JN210" s="23"/>
      <c r="JO210" s="23"/>
      <c r="JP210" s="23"/>
      <c r="JQ210" s="23"/>
      <c r="JR210" s="23"/>
      <c r="JS210" s="23"/>
      <c r="JT210" s="23"/>
      <c r="JU210" s="23"/>
      <c r="JV210" s="23"/>
      <c r="JW210" s="23"/>
      <c r="JX210" s="23"/>
      <c r="JY210" s="23"/>
      <c r="JZ210" s="23"/>
      <c r="KA210" s="23"/>
      <c r="KB210" s="23"/>
      <c r="KC210" s="23"/>
      <c r="KD210" s="23"/>
      <c r="KE210" s="23"/>
      <c r="KF210" s="23"/>
      <c r="KG210" s="23"/>
      <c r="KH210" s="23"/>
      <c r="KI210" s="23"/>
      <c r="KJ210" s="23"/>
      <c r="KK210" s="23"/>
      <c r="KL210" s="23"/>
      <c r="KM210" s="23"/>
      <c r="KN210" s="23"/>
      <c r="KO210" s="23"/>
      <c r="KP210" s="23"/>
      <c r="KQ210" s="23"/>
      <c r="KR210" s="23"/>
      <c r="KS210" s="23"/>
      <c r="KT210" s="23"/>
      <c r="KU210" s="23"/>
      <c r="KV210" s="23"/>
      <c r="KW210" s="23"/>
      <c r="KX210" s="23"/>
      <c r="KY210" s="23"/>
      <c r="KZ210" s="23"/>
      <c r="LA210" s="23"/>
      <c r="LB210" s="23"/>
      <c r="LC210" s="23"/>
      <c r="LD210" s="23"/>
      <c r="LE210" s="23"/>
      <c r="LF210" s="23"/>
      <c r="LG210" s="23"/>
      <c r="LH210" s="23"/>
      <c r="LI210" s="23"/>
      <c r="LJ210" s="23"/>
      <c r="LK210" s="23"/>
      <c r="LL210" s="23"/>
      <c r="LM210" s="23"/>
      <c r="LN210" s="23"/>
      <c r="LO210" s="23"/>
    </row>
    <row r="211" spans="1:327">
      <c r="A211" s="390"/>
      <c r="B211" s="23"/>
      <c r="C211" s="391"/>
      <c r="D211" s="391"/>
      <c r="E211" s="23"/>
      <c r="F211" s="23"/>
      <c r="G211" s="392"/>
      <c r="H211" s="392"/>
      <c r="I211" s="392"/>
      <c r="J211" s="392"/>
      <c r="K211" s="392"/>
      <c r="L211" s="392"/>
      <c r="M211" s="392"/>
      <c r="N211" s="23"/>
      <c r="O211" s="39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  <c r="IZ211" s="23"/>
      <c r="JA211" s="23"/>
      <c r="JB211" s="23"/>
      <c r="JC211" s="23"/>
      <c r="JD211" s="23"/>
      <c r="JE211" s="23"/>
      <c r="JF211" s="23"/>
      <c r="JG211" s="23"/>
      <c r="JH211" s="23"/>
      <c r="JI211" s="23"/>
      <c r="JJ211" s="23"/>
      <c r="JK211" s="23"/>
      <c r="JL211" s="23"/>
      <c r="JM211" s="23"/>
      <c r="JN211" s="23"/>
      <c r="JO211" s="23"/>
      <c r="JP211" s="23"/>
      <c r="JQ211" s="23"/>
      <c r="JR211" s="23"/>
      <c r="JS211" s="23"/>
      <c r="JT211" s="23"/>
      <c r="JU211" s="23"/>
      <c r="JV211" s="23"/>
      <c r="JW211" s="23"/>
      <c r="JX211" s="23"/>
      <c r="JY211" s="23"/>
      <c r="JZ211" s="23"/>
      <c r="KA211" s="23"/>
      <c r="KB211" s="23"/>
      <c r="KC211" s="23"/>
      <c r="KD211" s="23"/>
      <c r="KE211" s="23"/>
      <c r="KF211" s="23"/>
      <c r="KG211" s="23"/>
      <c r="KH211" s="23"/>
      <c r="KI211" s="23"/>
      <c r="KJ211" s="23"/>
      <c r="KK211" s="23"/>
      <c r="KL211" s="23"/>
      <c r="KM211" s="23"/>
      <c r="KN211" s="23"/>
      <c r="KO211" s="23"/>
      <c r="KP211" s="23"/>
      <c r="KQ211" s="23"/>
      <c r="KR211" s="23"/>
      <c r="KS211" s="23"/>
      <c r="KT211" s="23"/>
      <c r="KU211" s="23"/>
      <c r="KV211" s="23"/>
      <c r="KW211" s="23"/>
      <c r="KX211" s="23"/>
      <c r="KY211" s="23"/>
      <c r="KZ211" s="23"/>
      <c r="LA211" s="23"/>
      <c r="LB211" s="23"/>
      <c r="LC211" s="23"/>
      <c r="LD211" s="23"/>
      <c r="LE211" s="23"/>
      <c r="LF211" s="23"/>
      <c r="LG211" s="23"/>
      <c r="LH211" s="23"/>
      <c r="LI211" s="23"/>
      <c r="LJ211" s="23"/>
      <c r="LK211" s="23"/>
      <c r="LL211" s="23"/>
      <c r="LM211" s="23"/>
      <c r="LN211" s="23"/>
      <c r="LO211" s="23"/>
    </row>
    <row r="212" spans="1:327">
      <c r="A212" s="390"/>
      <c r="B212" s="23"/>
      <c r="C212" s="391"/>
      <c r="D212" s="391"/>
      <c r="E212" s="23"/>
      <c r="F212" s="23"/>
      <c r="G212" s="392"/>
      <c r="H212" s="392"/>
      <c r="I212" s="392"/>
      <c r="J212" s="392"/>
      <c r="K212" s="392"/>
      <c r="L212" s="392"/>
      <c r="M212" s="392"/>
      <c r="N212" s="23"/>
      <c r="O212" s="39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  <c r="IZ212" s="23"/>
      <c r="JA212" s="23"/>
      <c r="JB212" s="23"/>
      <c r="JC212" s="23"/>
      <c r="JD212" s="23"/>
      <c r="JE212" s="23"/>
      <c r="JF212" s="23"/>
      <c r="JG212" s="23"/>
      <c r="JH212" s="23"/>
      <c r="JI212" s="23"/>
      <c r="JJ212" s="23"/>
      <c r="JK212" s="23"/>
      <c r="JL212" s="23"/>
      <c r="JM212" s="23"/>
      <c r="JN212" s="23"/>
      <c r="JO212" s="23"/>
      <c r="JP212" s="23"/>
      <c r="JQ212" s="23"/>
      <c r="JR212" s="23"/>
      <c r="JS212" s="23"/>
      <c r="JT212" s="23"/>
      <c r="JU212" s="23"/>
      <c r="JV212" s="23"/>
      <c r="JW212" s="23"/>
      <c r="JX212" s="23"/>
      <c r="JY212" s="23"/>
      <c r="JZ212" s="23"/>
      <c r="KA212" s="23"/>
      <c r="KB212" s="23"/>
      <c r="KC212" s="23"/>
      <c r="KD212" s="23"/>
      <c r="KE212" s="23"/>
      <c r="KF212" s="23"/>
      <c r="KG212" s="23"/>
      <c r="KH212" s="23"/>
      <c r="KI212" s="23"/>
      <c r="KJ212" s="23"/>
      <c r="KK212" s="23"/>
      <c r="KL212" s="23"/>
      <c r="KM212" s="23"/>
      <c r="KN212" s="23"/>
      <c r="KO212" s="23"/>
      <c r="KP212" s="23"/>
      <c r="KQ212" s="23"/>
      <c r="KR212" s="23"/>
      <c r="KS212" s="23"/>
      <c r="KT212" s="23"/>
      <c r="KU212" s="23"/>
      <c r="KV212" s="23"/>
      <c r="KW212" s="23"/>
      <c r="KX212" s="23"/>
      <c r="KY212" s="23"/>
      <c r="KZ212" s="23"/>
      <c r="LA212" s="23"/>
      <c r="LB212" s="23"/>
      <c r="LC212" s="23"/>
      <c r="LD212" s="23"/>
      <c r="LE212" s="23"/>
      <c r="LF212" s="23"/>
      <c r="LG212" s="23"/>
      <c r="LH212" s="23"/>
      <c r="LI212" s="23"/>
      <c r="LJ212" s="23"/>
      <c r="LK212" s="23"/>
      <c r="LL212" s="23"/>
      <c r="LM212" s="23"/>
      <c r="LN212" s="23"/>
      <c r="LO212" s="23"/>
    </row>
    <row r="213" spans="1:327">
      <c r="A213" s="390"/>
      <c r="B213" s="23"/>
      <c r="C213" s="391"/>
      <c r="D213" s="391"/>
      <c r="E213" s="23"/>
      <c r="F213" s="23"/>
      <c r="G213" s="392"/>
      <c r="H213" s="392"/>
      <c r="I213" s="392"/>
      <c r="J213" s="392"/>
      <c r="K213" s="392"/>
      <c r="L213" s="392"/>
      <c r="M213" s="392"/>
      <c r="N213" s="23"/>
      <c r="O213" s="39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  <c r="IZ213" s="23"/>
      <c r="JA213" s="23"/>
      <c r="JB213" s="23"/>
      <c r="JC213" s="23"/>
      <c r="JD213" s="23"/>
      <c r="JE213" s="23"/>
      <c r="JF213" s="23"/>
      <c r="JG213" s="23"/>
      <c r="JH213" s="23"/>
      <c r="JI213" s="23"/>
      <c r="JJ213" s="23"/>
      <c r="JK213" s="23"/>
      <c r="JL213" s="23"/>
      <c r="JM213" s="23"/>
      <c r="JN213" s="23"/>
      <c r="JO213" s="23"/>
      <c r="JP213" s="23"/>
      <c r="JQ213" s="23"/>
      <c r="JR213" s="23"/>
      <c r="JS213" s="23"/>
      <c r="JT213" s="23"/>
      <c r="JU213" s="23"/>
      <c r="JV213" s="23"/>
      <c r="JW213" s="23"/>
      <c r="JX213" s="23"/>
      <c r="JY213" s="23"/>
      <c r="JZ213" s="23"/>
      <c r="KA213" s="23"/>
      <c r="KB213" s="23"/>
      <c r="KC213" s="23"/>
      <c r="KD213" s="23"/>
      <c r="KE213" s="23"/>
      <c r="KF213" s="23"/>
      <c r="KG213" s="23"/>
      <c r="KH213" s="23"/>
      <c r="KI213" s="23"/>
      <c r="KJ213" s="23"/>
      <c r="KK213" s="23"/>
      <c r="KL213" s="23"/>
      <c r="KM213" s="23"/>
      <c r="KN213" s="23"/>
      <c r="KO213" s="23"/>
      <c r="KP213" s="23"/>
      <c r="KQ213" s="23"/>
      <c r="KR213" s="23"/>
      <c r="KS213" s="23"/>
      <c r="KT213" s="23"/>
      <c r="KU213" s="23"/>
      <c r="KV213" s="23"/>
      <c r="KW213" s="23"/>
      <c r="KX213" s="23"/>
      <c r="KY213" s="23"/>
      <c r="KZ213" s="23"/>
      <c r="LA213" s="23"/>
      <c r="LB213" s="23"/>
      <c r="LC213" s="23"/>
      <c r="LD213" s="23"/>
      <c r="LE213" s="23"/>
      <c r="LF213" s="23"/>
      <c r="LG213" s="23"/>
      <c r="LH213" s="23"/>
      <c r="LI213" s="23"/>
      <c r="LJ213" s="23"/>
      <c r="LK213" s="23"/>
      <c r="LL213" s="23"/>
      <c r="LM213" s="23"/>
      <c r="LN213" s="23"/>
      <c r="LO213" s="23"/>
    </row>
    <row r="214" spans="1:327">
      <c r="A214" s="390"/>
      <c r="B214" s="23"/>
      <c r="C214" s="391"/>
      <c r="D214" s="391"/>
      <c r="E214" s="23"/>
      <c r="F214" s="23"/>
      <c r="G214" s="392"/>
      <c r="H214" s="392"/>
      <c r="I214" s="392"/>
      <c r="J214" s="392"/>
      <c r="K214" s="392"/>
      <c r="L214" s="392"/>
      <c r="M214" s="392"/>
      <c r="N214" s="23"/>
      <c r="O214" s="39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  <c r="IZ214" s="23"/>
      <c r="JA214" s="23"/>
      <c r="JB214" s="23"/>
      <c r="JC214" s="23"/>
      <c r="JD214" s="23"/>
      <c r="JE214" s="23"/>
      <c r="JF214" s="23"/>
      <c r="JG214" s="23"/>
      <c r="JH214" s="23"/>
      <c r="JI214" s="23"/>
      <c r="JJ214" s="23"/>
      <c r="JK214" s="23"/>
      <c r="JL214" s="23"/>
      <c r="JM214" s="23"/>
      <c r="JN214" s="23"/>
      <c r="JO214" s="23"/>
      <c r="JP214" s="23"/>
      <c r="JQ214" s="23"/>
      <c r="JR214" s="23"/>
      <c r="JS214" s="23"/>
      <c r="JT214" s="23"/>
      <c r="JU214" s="23"/>
      <c r="JV214" s="23"/>
      <c r="JW214" s="23"/>
      <c r="JX214" s="23"/>
      <c r="JY214" s="23"/>
      <c r="JZ214" s="23"/>
      <c r="KA214" s="23"/>
      <c r="KB214" s="23"/>
      <c r="KC214" s="23"/>
      <c r="KD214" s="23"/>
      <c r="KE214" s="23"/>
      <c r="KF214" s="23"/>
      <c r="KG214" s="23"/>
      <c r="KH214" s="23"/>
      <c r="KI214" s="23"/>
      <c r="KJ214" s="23"/>
      <c r="KK214" s="23"/>
      <c r="KL214" s="23"/>
      <c r="KM214" s="23"/>
      <c r="KN214" s="23"/>
      <c r="KO214" s="23"/>
      <c r="KP214" s="23"/>
      <c r="KQ214" s="23"/>
      <c r="KR214" s="23"/>
      <c r="KS214" s="23"/>
      <c r="KT214" s="23"/>
      <c r="KU214" s="23"/>
      <c r="KV214" s="23"/>
      <c r="KW214" s="23"/>
      <c r="KX214" s="23"/>
      <c r="KY214" s="23"/>
      <c r="KZ214" s="23"/>
      <c r="LA214" s="23"/>
      <c r="LB214" s="23"/>
      <c r="LC214" s="23"/>
      <c r="LD214" s="23"/>
      <c r="LE214" s="23"/>
      <c r="LF214" s="23"/>
      <c r="LG214" s="23"/>
      <c r="LH214" s="23"/>
      <c r="LI214" s="23"/>
      <c r="LJ214" s="23"/>
      <c r="LK214" s="23"/>
      <c r="LL214" s="23"/>
      <c r="LM214" s="23"/>
      <c r="LN214" s="23"/>
      <c r="LO214" s="23"/>
    </row>
    <row r="215" spans="1:327">
      <c r="A215" s="390"/>
      <c r="B215" s="23"/>
      <c r="C215" s="391"/>
      <c r="D215" s="391"/>
      <c r="E215" s="23"/>
      <c r="F215" s="23"/>
      <c r="G215" s="392"/>
      <c r="H215" s="392"/>
      <c r="I215" s="392"/>
      <c r="J215" s="392"/>
      <c r="K215" s="392"/>
      <c r="L215" s="392"/>
      <c r="M215" s="392"/>
      <c r="N215" s="23"/>
      <c r="O215" s="39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  <c r="IZ215" s="23"/>
      <c r="JA215" s="23"/>
      <c r="JB215" s="23"/>
      <c r="JC215" s="23"/>
      <c r="JD215" s="23"/>
      <c r="JE215" s="23"/>
      <c r="JF215" s="23"/>
      <c r="JG215" s="23"/>
      <c r="JH215" s="23"/>
      <c r="JI215" s="23"/>
      <c r="JJ215" s="23"/>
      <c r="JK215" s="23"/>
      <c r="JL215" s="23"/>
      <c r="JM215" s="23"/>
      <c r="JN215" s="23"/>
      <c r="JO215" s="23"/>
      <c r="JP215" s="23"/>
      <c r="JQ215" s="23"/>
      <c r="JR215" s="23"/>
      <c r="JS215" s="23"/>
      <c r="JT215" s="23"/>
      <c r="JU215" s="23"/>
      <c r="JV215" s="23"/>
      <c r="JW215" s="23"/>
      <c r="JX215" s="23"/>
      <c r="JY215" s="23"/>
      <c r="JZ215" s="23"/>
      <c r="KA215" s="23"/>
      <c r="KB215" s="23"/>
      <c r="KC215" s="23"/>
      <c r="KD215" s="23"/>
      <c r="KE215" s="23"/>
      <c r="KF215" s="23"/>
      <c r="KG215" s="23"/>
      <c r="KH215" s="23"/>
      <c r="KI215" s="23"/>
      <c r="KJ215" s="23"/>
      <c r="KK215" s="23"/>
      <c r="KL215" s="23"/>
      <c r="KM215" s="23"/>
      <c r="KN215" s="23"/>
      <c r="KO215" s="23"/>
      <c r="KP215" s="23"/>
      <c r="KQ215" s="23"/>
      <c r="KR215" s="23"/>
      <c r="KS215" s="23"/>
      <c r="KT215" s="23"/>
      <c r="KU215" s="23"/>
      <c r="KV215" s="23"/>
      <c r="KW215" s="23"/>
      <c r="KX215" s="23"/>
      <c r="KY215" s="23"/>
      <c r="KZ215" s="23"/>
      <c r="LA215" s="23"/>
      <c r="LB215" s="23"/>
      <c r="LC215" s="23"/>
      <c r="LD215" s="23"/>
      <c r="LE215" s="23"/>
      <c r="LF215" s="23"/>
      <c r="LG215" s="23"/>
      <c r="LH215" s="23"/>
      <c r="LI215" s="23"/>
      <c r="LJ215" s="23"/>
      <c r="LK215" s="23"/>
      <c r="LL215" s="23"/>
      <c r="LM215" s="23"/>
      <c r="LN215" s="23"/>
      <c r="LO215" s="23"/>
    </row>
    <row r="216" spans="1:327">
      <c r="A216" s="390"/>
      <c r="B216" s="23"/>
      <c r="C216" s="391"/>
      <c r="D216" s="391"/>
      <c r="E216" s="23"/>
      <c r="F216" s="23"/>
      <c r="G216" s="392"/>
      <c r="H216" s="392"/>
      <c r="I216" s="392"/>
      <c r="J216" s="392"/>
      <c r="K216" s="392"/>
      <c r="L216" s="392"/>
      <c r="M216" s="392"/>
      <c r="N216" s="23"/>
      <c r="O216" s="39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  <c r="IZ216" s="23"/>
      <c r="JA216" s="23"/>
      <c r="JB216" s="23"/>
      <c r="JC216" s="23"/>
      <c r="JD216" s="23"/>
      <c r="JE216" s="23"/>
      <c r="JF216" s="23"/>
      <c r="JG216" s="23"/>
      <c r="JH216" s="23"/>
      <c r="JI216" s="23"/>
      <c r="JJ216" s="23"/>
      <c r="JK216" s="23"/>
      <c r="JL216" s="23"/>
      <c r="JM216" s="23"/>
      <c r="JN216" s="23"/>
      <c r="JO216" s="23"/>
      <c r="JP216" s="23"/>
      <c r="JQ216" s="23"/>
      <c r="JR216" s="23"/>
      <c r="JS216" s="23"/>
      <c r="JT216" s="23"/>
      <c r="JU216" s="23"/>
      <c r="JV216" s="23"/>
      <c r="JW216" s="23"/>
      <c r="JX216" s="23"/>
      <c r="JY216" s="23"/>
      <c r="JZ216" s="23"/>
      <c r="KA216" s="23"/>
      <c r="KB216" s="23"/>
      <c r="KC216" s="23"/>
      <c r="KD216" s="23"/>
      <c r="KE216" s="23"/>
      <c r="KF216" s="23"/>
      <c r="KG216" s="23"/>
      <c r="KH216" s="23"/>
      <c r="KI216" s="23"/>
      <c r="KJ216" s="23"/>
      <c r="KK216" s="23"/>
      <c r="KL216" s="23"/>
      <c r="KM216" s="23"/>
      <c r="KN216" s="23"/>
      <c r="KO216" s="23"/>
      <c r="KP216" s="23"/>
      <c r="KQ216" s="23"/>
      <c r="KR216" s="23"/>
      <c r="KS216" s="23"/>
      <c r="KT216" s="23"/>
      <c r="KU216" s="23"/>
      <c r="KV216" s="23"/>
      <c r="KW216" s="23"/>
      <c r="KX216" s="23"/>
      <c r="KY216" s="23"/>
      <c r="KZ216" s="23"/>
      <c r="LA216" s="23"/>
      <c r="LB216" s="23"/>
      <c r="LC216" s="23"/>
      <c r="LD216" s="23"/>
      <c r="LE216" s="23"/>
      <c r="LF216" s="23"/>
      <c r="LG216" s="23"/>
      <c r="LH216" s="23"/>
      <c r="LI216" s="23"/>
      <c r="LJ216" s="23"/>
      <c r="LK216" s="23"/>
      <c r="LL216" s="23"/>
      <c r="LM216" s="23"/>
      <c r="LN216" s="23"/>
      <c r="LO216" s="23"/>
    </row>
    <row r="217" spans="1:327">
      <c r="A217" s="390"/>
      <c r="B217" s="23"/>
      <c r="C217" s="391"/>
      <c r="D217" s="391"/>
      <c r="E217" s="23"/>
      <c r="F217" s="23"/>
      <c r="G217" s="392"/>
      <c r="H217" s="392"/>
      <c r="I217" s="392"/>
      <c r="J217" s="392"/>
      <c r="K217" s="392"/>
      <c r="L217" s="392"/>
      <c r="M217" s="392"/>
      <c r="N217" s="23"/>
      <c r="O217" s="39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  <c r="KG217" s="23"/>
      <c r="KH217" s="23"/>
      <c r="KI217" s="23"/>
      <c r="KJ217" s="23"/>
      <c r="KK217" s="23"/>
      <c r="KL217" s="23"/>
      <c r="KM217" s="23"/>
      <c r="KN217" s="23"/>
      <c r="KO217" s="23"/>
      <c r="KP217" s="23"/>
      <c r="KQ217" s="23"/>
      <c r="KR217" s="23"/>
      <c r="KS217" s="23"/>
      <c r="KT217" s="23"/>
      <c r="KU217" s="23"/>
      <c r="KV217" s="23"/>
      <c r="KW217" s="23"/>
      <c r="KX217" s="23"/>
      <c r="KY217" s="23"/>
      <c r="KZ217" s="23"/>
      <c r="LA217" s="23"/>
      <c r="LB217" s="23"/>
      <c r="LC217" s="23"/>
      <c r="LD217" s="23"/>
      <c r="LE217" s="23"/>
      <c r="LF217" s="23"/>
      <c r="LG217" s="23"/>
      <c r="LH217" s="23"/>
      <c r="LI217" s="23"/>
      <c r="LJ217" s="23"/>
      <c r="LK217" s="23"/>
      <c r="LL217" s="23"/>
      <c r="LM217" s="23"/>
      <c r="LN217" s="23"/>
      <c r="LO217" s="23"/>
    </row>
    <row r="218" spans="1:327">
      <c r="A218" s="390"/>
      <c r="B218" s="23"/>
      <c r="C218" s="391"/>
      <c r="D218" s="391"/>
      <c r="E218" s="23"/>
      <c r="F218" s="23"/>
      <c r="G218" s="392"/>
      <c r="H218" s="392"/>
      <c r="I218" s="392"/>
      <c r="J218" s="392"/>
      <c r="K218" s="392"/>
      <c r="L218" s="392"/>
      <c r="M218" s="392"/>
      <c r="N218" s="23"/>
      <c r="O218" s="39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  <c r="IZ218" s="23"/>
      <c r="JA218" s="23"/>
      <c r="JB218" s="23"/>
      <c r="JC218" s="23"/>
      <c r="JD218" s="23"/>
      <c r="JE218" s="23"/>
      <c r="JF218" s="23"/>
      <c r="JG218" s="23"/>
      <c r="JH218" s="23"/>
      <c r="JI218" s="23"/>
      <c r="JJ218" s="23"/>
      <c r="JK218" s="23"/>
      <c r="JL218" s="23"/>
      <c r="JM218" s="23"/>
      <c r="JN218" s="23"/>
      <c r="JO218" s="23"/>
      <c r="JP218" s="23"/>
      <c r="JQ218" s="23"/>
      <c r="JR218" s="23"/>
      <c r="JS218" s="23"/>
      <c r="JT218" s="23"/>
      <c r="JU218" s="23"/>
      <c r="JV218" s="23"/>
      <c r="JW218" s="23"/>
      <c r="JX218" s="23"/>
      <c r="JY218" s="23"/>
      <c r="JZ218" s="23"/>
      <c r="KA218" s="23"/>
      <c r="KB218" s="23"/>
      <c r="KC218" s="23"/>
      <c r="KD218" s="23"/>
      <c r="KE218" s="23"/>
      <c r="KF218" s="23"/>
      <c r="KG218" s="23"/>
      <c r="KH218" s="23"/>
      <c r="KI218" s="23"/>
      <c r="KJ218" s="23"/>
      <c r="KK218" s="23"/>
      <c r="KL218" s="23"/>
      <c r="KM218" s="23"/>
      <c r="KN218" s="23"/>
      <c r="KO218" s="23"/>
      <c r="KP218" s="23"/>
      <c r="KQ218" s="23"/>
      <c r="KR218" s="23"/>
      <c r="KS218" s="23"/>
      <c r="KT218" s="23"/>
      <c r="KU218" s="23"/>
      <c r="KV218" s="23"/>
      <c r="KW218" s="23"/>
      <c r="KX218" s="23"/>
      <c r="KY218" s="23"/>
      <c r="KZ218" s="23"/>
      <c r="LA218" s="23"/>
      <c r="LB218" s="23"/>
      <c r="LC218" s="23"/>
      <c r="LD218" s="23"/>
      <c r="LE218" s="23"/>
      <c r="LF218" s="23"/>
      <c r="LG218" s="23"/>
      <c r="LH218" s="23"/>
      <c r="LI218" s="23"/>
      <c r="LJ218" s="23"/>
      <c r="LK218" s="23"/>
      <c r="LL218" s="23"/>
      <c r="LM218" s="23"/>
      <c r="LN218" s="23"/>
      <c r="LO218" s="23"/>
    </row>
    <row r="219" spans="1:327">
      <c r="A219" s="390"/>
      <c r="B219" s="23"/>
      <c r="C219" s="391"/>
      <c r="D219" s="391"/>
      <c r="E219" s="23"/>
      <c r="F219" s="23"/>
      <c r="G219" s="392"/>
      <c r="H219" s="392"/>
      <c r="I219" s="392"/>
      <c r="J219" s="392"/>
      <c r="K219" s="392"/>
      <c r="L219" s="392"/>
      <c r="M219" s="392"/>
      <c r="N219" s="23"/>
      <c r="O219" s="39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  <c r="KG219" s="23"/>
      <c r="KH219" s="23"/>
      <c r="KI219" s="23"/>
      <c r="KJ219" s="23"/>
      <c r="KK219" s="23"/>
      <c r="KL219" s="23"/>
      <c r="KM219" s="23"/>
      <c r="KN219" s="23"/>
      <c r="KO219" s="23"/>
      <c r="KP219" s="23"/>
      <c r="KQ219" s="23"/>
      <c r="KR219" s="23"/>
      <c r="KS219" s="23"/>
      <c r="KT219" s="23"/>
      <c r="KU219" s="23"/>
      <c r="KV219" s="23"/>
      <c r="KW219" s="23"/>
      <c r="KX219" s="23"/>
      <c r="KY219" s="23"/>
      <c r="KZ219" s="23"/>
      <c r="LA219" s="23"/>
      <c r="LB219" s="23"/>
      <c r="LC219" s="23"/>
      <c r="LD219" s="23"/>
      <c r="LE219" s="23"/>
      <c r="LF219" s="23"/>
      <c r="LG219" s="23"/>
      <c r="LH219" s="23"/>
      <c r="LI219" s="23"/>
      <c r="LJ219" s="23"/>
      <c r="LK219" s="23"/>
      <c r="LL219" s="23"/>
      <c r="LM219" s="23"/>
      <c r="LN219" s="23"/>
      <c r="LO219" s="23"/>
    </row>
    <row r="220" spans="1:327">
      <c r="A220" s="390"/>
      <c r="B220" s="23"/>
      <c r="C220" s="391"/>
      <c r="D220" s="391"/>
      <c r="E220" s="23"/>
      <c r="F220" s="23"/>
      <c r="G220" s="392"/>
      <c r="H220" s="392"/>
      <c r="I220" s="392"/>
      <c r="J220" s="392"/>
      <c r="K220" s="392"/>
      <c r="L220" s="392"/>
      <c r="M220" s="392"/>
      <c r="N220" s="23"/>
      <c r="O220" s="39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  <c r="KG220" s="23"/>
      <c r="KH220" s="23"/>
      <c r="KI220" s="23"/>
      <c r="KJ220" s="23"/>
      <c r="KK220" s="23"/>
      <c r="KL220" s="23"/>
      <c r="KM220" s="23"/>
      <c r="KN220" s="23"/>
      <c r="KO220" s="23"/>
      <c r="KP220" s="23"/>
      <c r="KQ220" s="23"/>
      <c r="KR220" s="23"/>
      <c r="KS220" s="23"/>
      <c r="KT220" s="23"/>
      <c r="KU220" s="23"/>
      <c r="KV220" s="23"/>
      <c r="KW220" s="23"/>
      <c r="KX220" s="23"/>
      <c r="KY220" s="23"/>
      <c r="KZ220" s="23"/>
      <c r="LA220" s="23"/>
      <c r="LB220" s="23"/>
      <c r="LC220" s="23"/>
      <c r="LD220" s="23"/>
      <c r="LE220" s="23"/>
      <c r="LF220" s="23"/>
      <c r="LG220" s="23"/>
      <c r="LH220" s="23"/>
      <c r="LI220" s="23"/>
      <c r="LJ220" s="23"/>
      <c r="LK220" s="23"/>
      <c r="LL220" s="23"/>
      <c r="LM220" s="23"/>
      <c r="LN220" s="23"/>
      <c r="LO220" s="23"/>
    </row>
    <row r="221" spans="1:327">
      <c r="A221" s="390"/>
      <c r="B221" s="23"/>
      <c r="C221" s="391"/>
      <c r="D221" s="391"/>
      <c r="E221" s="23"/>
      <c r="F221" s="23"/>
      <c r="G221" s="392"/>
      <c r="H221" s="392"/>
      <c r="I221" s="392"/>
      <c r="J221" s="392"/>
      <c r="K221" s="392"/>
      <c r="L221" s="392"/>
      <c r="M221" s="392"/>
      <c r="N221" s="23"/>
      <c r="O221" s="39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  <c r="IZ221" s="23"/>
      <c r="JA221" s="23"/>
      <c r="JB221" s="23"/>
      <c r="JC221" s="23"/>
      <c r="JD221" s="23"/>
      <c r="JE221" s="23"/>
      <c r="JF221" s="23"/>
      <c r="JG221" s="23"/>
      <c r="JH221" s="23"/>
      <c r="JI221" s="23"/>
      <c r="JJ221" s="23"/>
      <c r="JK221" s="23"/>
      <c r="JL221" s="23"/>
      <c r="JM221" s="23"/>
      <c r="JN221" s="23"/>
      <c r="JO221" s="23"/>
      <c r="JP221" s="23"/>
      <c r="JQ221" s="23"/>
      <c r="JR221" s="23"/>
      <c r="JS221" s="23"/>
      <c r="JT221" s="23"/>
      <c r="JU221" s="23"/>
      <c r="JV221" s="23"/>
      <c r="JW221" s="23"/>
      <c r="JX221" s="23"/>
      <c r="JY221" s="23"/>
      <c r="JZ221" s="23"/>
      <c r="KA221" s="23"/>
      <c r="KB221" s="23"/>
      <c r="KC221" s="23"/>
      <c r="KD221" s="23"/>
      <c r="KE221" s="23"/>
      <c r="KF221" s="23"/>
      <c r="KG221" s="23"/>
      <c r="KH221" s="23"/>
      <c r="KI221" s="23"/>
      <c r="KJ221" s="23"/>
      <c r="KK221" s="23"/>
      <c r="KL221" s="23"/>
      <c r="KM221" s="23"/>
      <c r="KN221" s="23"/>
      <c r="KO221" s="23"/>
      <c r="KP221" s="23"/>
      <c r="KQ221" s="23"/>
      <c r="KR221" s="23"/>
      <c r="KS221" s="23"/>
      <c r="KT221" s="23"/>
      <c r="KU221" s="23"/>
      <c r="KV221" s="23"/>
      <c r="KW221" s="23"/>
      <c r="KX221" s="23"/>
      <c r="KY221" s="23"/>
      <c r="KZ221" s="23"/>
      <c r="LA221" s="23"/>
      <c r="LB221" s="23"/>
      <c r="LC221" s="23"/>
      <c r="LD221" s="23"/>
      <c r="LE221" s="23"/>
      <c r="LF221" s="23"/>
      <c r="LG221" s="23"/>
      <c r="LH221" s="23"/>
      <c r="LI221" s="23"/>
      <c r="LJ221" s="23"/>
      <c r="LK221" s="23"/>
      <c r="LL221" s="23"/>
      <c r="LM221" s="23"/>
      <c r="LN221" s="23"/>
      <c r="LO221" s="23"/>
    </row>
    <row r="222" spans="1:327">
      <c r="A222" s="390"/>
      <c r="B222" s="23"/>
      <c r="C222" s="391"/>
      <c r="D222" s="391"/>
      <c r="E222" s="23"/>
      <c r="F222" s="23"/>
      <c r="G222" s="392"/>
      <c r="H222" s="392"/>
      <c r="I222" s="392"/>
      <c r="J222" s="392"/>
      <c r="K222" s="392"/>
      <c r="L222" s="392"/>
      <c r="M222" s="392"/>
      <c r="N222" s="23"/>
      <c r="O222" s="39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  <c r="IZ222" s="23"/>
      <c r="JA222" s="23"/>
      <c r="JB222" s="23"/>
      <c r="JC222" s="23"/>
      <c r="JD222" s="23"/>
      <c r="JE222" s="23"/>
      <c r="JF222" s="23"/>
      <c r="JG222" s="23"/>
      <c r="JH222" s="23"/>
      <c r="JI222" s="23"/>
      <c r="JJ222" s="23"/>
      <c r="JK222" s="23"/>
      <c r="JL222" s="23"/>
      <c r="JM222" s="23"/>
      <c r="JN222" s="23"/>
      <c r="JO222" s="23"/>
      <c r="JP222" s="23"/>
      <c r="JQ222" s="23"/>
      <c r="JR222" s="23"/>
      <c r="JS222" s="23"/>
      <c r="JT222" s="23"/>
      <c r="JU222" s="23"/>
      <c r="JV222" s="23"/>
      <c r="JW222" s="23"/>
      <c r="JX222" s="23"/>
      <c r="JY222" s="23"/>
      <c r="JZ222" s="23"/>
      <c r="KA222" s="23"/>
      <c r="KB222" s="23"/>
      <c r="KC222" s="23"/>
      <c r="KD222" s="23"/>
      <c r="KE222" s="23"/>
      <c r="KF222" s="23"/>
      <c r="KG222" s="23"/>
      <c r="KH222" s="23"/>
      <c r="KI222" s="23"/>
      <c r="KJ222" s="23"/>
      <c r="KK222" s="23"/>
      <c r="KL222" s="23"/>
      <c r="KM222" s="23"/>
      <c r="KN222" s="23"/>
      <c r="KO222" s="23"/>
      <c r="KP222" s="23"/>
      <c r="KQ222" s="23"/>
      <c r="KR222" s="23"/>
      <c r="KS222" s="23"/>
      <c r="KT222" s="23"/>
      <c r="KU222" s="23"/>
      <c r="KV222" s="23"/>
      <c r="KW222" s="23"/>
      <c r="KX222" s="23"/>
      <c r="KY222" s="23"/>
      <c r="KZ222" s="23"/>
      <c r="LA222" s="23"/>
      <c r="LB222" s="23"/>
      <c r="LC222" s="23"/>
      <c r="LD222" s="23"/>
      <c r="LE222" s="23"/>
      <c r="LF222" s="23"/>
      <c r="LG222" s="23"/>
      <c r="LH222" s="23"/>
      <c r="LI222" s="23"/>
      <c r="LJ222" s="23"/>
      <c r="LK222" s="23"/>
      <c r="LL222" s="23"/>
      <c r="LM222" s="23"/>
      <c r="LN222" s="23"/>
      <c r="LO222" s="23"/>
    </row>
    <row r="223" spans="1:327">
      <c r="A223" s="390"/>
      <c r="B223" s="23"/>
      <c r="C223" s="391"/>
      <c r="D223" s="391"/>
      <c r="E223" s="23"/>
      <c r="F223" s="23"/>
      <c r="G223" s="392"/>
      <c r="H223" s="392"/>
      <c r="I223" s="392"/>
      <c r="J223" s="392"/>
      <c r="K223" s="392"/>
      <c r="L223" s="392"/>
      <c r="M223" s="392"/>
      <c r="N223" s="23"/>
      <c r="O223" s="39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  <c r="IZ223" s="23"/>
      <c r="JA223" s="23"/>
      <c r="JB223" s="23"/>
      <c r="JC223" s="23"/>
      <c r="JD223" s="23"/>
      <c r="JE223" s="23"/>
      <c r="JF223" s="23"/>
      <c r="JG223" s="23"/>
      <c r="JH223" s="23"/>
      <c r="JI223" s="23"/>
      <c r="JJ223" s="23"/>
      <c r="JK223" s="23"/>
      <c r="JL223" s="23"/>
      <c r="JM223" s="23"/>
      <c r="JN223" s="23"/>
      <c r="JO223" s="23"/>
      <c r="JP223" s="23"/>
      <c r="JQ223" s="23"/>
      <c r="JR223" s="23"/>
      <c r="JS223" s="23"/>
      <c r="JT223" s="23"/>
      <c r="JU223" s="23"/>
      <c r="JV223" s="23"/>
      <c r="JW223" s="23"/>
      <c r="JX223" s="23"/>
      <c r="JY223" s="23"/>
      <c r="JZ223" s="23"/>
      <c r="KA223" s="23"/>
      <c r="KB223" s="23"/>
      <c r="KC223" s="23"/>
      <c r="KD223" s="23"/>
      <c r="KE223" s="23"/>
      <c r="KF223" s="23"/>
      <c r="KG223" s="23"/>
      <c r="KH223" s="23"/>
      <c r="KI223" s="23"/>
      <c r="KJ223" s="23"/>
      <c r="KK223" s="23"/>
      <c r="KL223" s="23"/>
      <c r="KM223" s="23"/>
      <c r="KN223" s="23"/>
      <c r="KO223" s="23"/>
      <c r="KP223" s="23"/>
      <c r="KQ223" s="23"/>
      <c r="KR223" s="23"/>
      <c r="KS223" s="23"/>
      <c r="KT223" s="23"/>
      <c r="KU223" s="23"/>
      <c r="KV223" s="23"/>
      <c r="KW223" s="23"/>
      <c r="KX223" s="23"/>
      <c r="KY223" s="23"/>
      <c r="KZ223" s="23"/>
      <c r="LA223" s="23"/>
      <c r="LB223" s="23"/>
      <c r="LC223" s="23"/>
      <c r="LD223" s="23"/>
      <c r="LE223" s="23"/>
      <c r="LF223" s="23"/>
      <c r="LG223" s="23"/>
      <c r="LH223" s="23"/>
      <c r="LI223" s="23"/>
      <c r="LJ223" s="23"/>
      <c r="LK223" s="23"/>
      <c r="LL223" s="23"/>
      <c r="LM223" s="23"/>
      <c r="LN223" s="23"/>
      <c r="LO223" s="23"/>
    </row>
    <row r="224" spans="1:327">
      <c r="A224" s="390"/>
      <c r="B224" s="23"/>
      <c r="C224" s="391"/>
      <c r="D224" s="391"/>
      <c r="E224" s="23"/>
      <c r="F224" s="23"/>
      <c r="G224" s="392"/>
      <c r="H224" s="392"/>
      <c r="I224" s="392"/>
      <c r="J224" s="392"/>
      <c r="K224" s="392"/>
      <c r="L224" s="392"/>
      <c r="M224" s="392"/>
      <c r="N224" s="23"/>
      <c r="O224" s="39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  <c r="KG224" s="23"/>
      <c r="KH224" s="23"/>
      <c r="KI224" s="23"/>
      <c r="KJ224" s="23"/>
      <c r="KK224" s="23"/>
      <c r="KL224" s="23"/>
      <c r="KM224" s="23"/>
      <c r="KN224" s="23"/>
      <c r="KO224" s="23"/>
      <c r="KP224" s="23"/>
      <c r="KQ224" s="23"/>
      <c r="KR224" s="23"/>
      <c r="KS224" s="23"/>
      <c r="KT224" s="23"/>
      <c r="KU224" s="23"/>
      <c r="KV224" s="23"/>
      <c r="KW224" s="23"/>
      <c r="KX224" s="23"/>
      <c r="KY224" s="23"/>
      <c r="KZ224" s="23"/>
      <c r="LA224" s="23"/>
      <c r="LB224" s="23"/>
      <c r="LC224" s="23"/>
      <c r="LD224" s="23"/>
      <c r="LE224" s="23"/>
      <c r="LF224" s="23"/>
      <c r="LG224" s="23"/>
      <c r="LH224" s="23"/>
      <c r="LI224" s="23"/>
      <c r="LJ224" s="23"/>
      <c r="LK224" s="23"/>
      <c r="LL224" s="23"/>
      <c r="LM224" s="23"/>
      <c r="LN224" s="23"/>
      <c r="LO224" s="23"/>
    </row>
    <row r="225" spans="1:327">
      <c r="A225" s="390"/>
      <c r="B225" s="23"/>
      <c r="C225" s="391"/>
      <c r="D225" s="391"/>
      <c r="E225" s="23"/>
      <c r="F225" s="23"/>
      <c r="G225" s="392"/>
      <c r="H225" s="392"/>
      <c r="I225" s="392"/>
      <c r="J225" s="392"/>
      <c r="K225" s="392"/>
      <c r="L225" s="392"/>
      <c r="M225" s="392"/>
      <c r="N225" s="23"/>
      <c r="O225" s="39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/>
      <c r="JQ225" s="23"/>
      <c r="JR225" s="23"/>
      <c r="JS225" s="23"/>
      <c r="JT225" s="23"/>
      <c r="JU225" s="23"/>
      <c r="JV225" s="23"/>
      <c r="JW225" s="23"/>
      <c r="JX225" s="23"/>
      <c r="JY225" s="23"/>
      <c r="JZ225" s="23"/>
      <c r="KA225" s="23"/>
      <c r="KB225" s="23"/>
      <c r="KC225" s="23"/>
      <c r="KD225" s="23"/>
      <c r="KE225" s="23"/>
      <c r="KF225" s="23"/>
      <c r="KG225" s="23"/>
      <c r="KH225" s="23"/>
      <c r="KI225" s="23"/>
      <c r="KJ225" s="23"/>
      <c r="KK225" s="23"/>
      <c r="KL225" s="23"/>
      <c r="KM225" s="23"/>
      <c r="KN225" s="23"/>
      <c r="KO225" s="23"/>
      <c r="KP225" s="23"/>
      <c r="KQ225" s="23"/>
      <c r="KR225" s="23"/>
      <c r="KS225" s="23"/>
      <c r="KT225" s="23"/>
      <c r="KU225" s="23"/>
      <c r="KV225" s="23"/>
      <c r="KW225" s="23"/>
      <c r="KX225" s="23"/>
      <c r="KY225" s="23"/>
      <c r="KZ225" s="23"/>
      <c r="LA225" s="23"/>
      <c r="LB225" s="23"/>
      <c r="LC225" s="23"/>
      <c r="LD225" s="23"/>
      <c r="LE225" s="23"/>
      <c r="LF225" s="23"/>
      <c r="LG225" s="23"/>
      <c r="LH225" s="23"/>
      <c r="LI225" s="23"/>
      <c r="LJ225" s="23"/>
      <c r="LK225" s="23"/>
      <c r="LL225" s="23"/>
      <c r="LM225" s="23"/>
      <c r="LN225" s="23"/>
      <c r="LO225" s="23"/>
    </row>
    <row r="226" spans="1:327">
      <c r="A226" s="390"/>
      <c r="B226" s="23"/>
      <c r="C226" s="391"/>
      <c r="D226" s="391"/>
      <c r="E226" s="23"/>
      <c r="F226" s="23"/>
      <c r="G226" s="392"/>
      <c r="H226" s="392"/>
      <c r="I226" s="392"/>
      <c r="J226" s="392"/>
      <c r="K226" s="392"/>
      <c r="L226" s="392"/>
      <c r="M226" s="392"/>
      <c r="N226" s="23"/>
      <c r="O226" s="39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  <c r="IZ226" s="23"/>
      <c r="JA226" s="23"/>
      <c r="JB226" s="23"/>
      <c r="JC226" s="23"/>
      <c r="JD226" s="23"/>
      <c r="JE226" s="23"/>
      <c r="JF226" s="23"/>
      <c r="JG226" s="23"/>
      <c r="JH226" s="23"/>
      <c r="JI226" s="23"/>
      <c r="JJ226" s="23"/>
      <c r="JK226" s="23"/>
      <c r="JL226" s="23"/>
      <c r="JM226" s="23"/>
      <c r="JN226" s="23"/>
      <c r="JO226" s="23"/>
      <c r="JP226" s="23"/>
      <c r="JQ226" s="23"/>
      <c r="JR226" s="23"/>
      <c r="JS226" s="23"/>
      <c r="JT226" s="23"/>
      <c r="JU226" s="23"/>
      <c r="JV226" s="23"/>
      <c r="JW226" s="23"/>
      <c r="JX226" s="23"/>
      <c r="JY226" s="23"/>
      <c r="JZ226" s="23"/>
      <c r="KA226" s="23"/>
      <c r="KB226" s="23"/>
      <c r="KC226" s="23"/>
      <c r="KD226" s="23"/>
      <c r="KE226" s="23"/>
      <c r="KF226" s="23"/>
      <c r="KG226" s="23"/>
      <c r="KH226" s="23"/>
      <c r="KI226" s="23"/>
      <c r="KJ226" s="23"/>
      <c r="KK226" s="23"/>
      <c r="KL226" s="23"/>
      <c r="KM226" s="23"/>
      <c r="KN226" s="23"/>
      <c r="KO226" s="23"/>
      <c r="KP226" s="23"/>
      <c r="KQ226" s="23"/>
      <c r="KR226" s="23"/>
      <c r="KS226" s="23"/>
      <c r="KT226" s="23"/>
      <c r="KU226" s="23"/>
      <c r="KV226" s="23"/>
      <c r="KW226" s="23"/>
      <c r="KX226" s="23"/>
      <c r="KY226" s="23"/>
      <c r="KZ226" s="23"/>
      <c r="LA226" s="23"/>
      <c r="LB226" s="23"/>
      <c r="LC226" s="23"/>
      <c r="LD226" s="23"/>
      <c r="LE226" s="23"/>
      <c r="LF226" s="23"/>
      <c r="LG226" s="23"/>
      <c r="LH226" s="23"/>
      <c r="LI226" s="23"/>
      <c r="LJ226" s="23"/>
      <c r="LK226" s="23"/>
      <c r="LL226" s="23"/>
      <c r="LM226" s="23"/>
      <c r="LN226" s="23"/>
      <c r="LO226" s="23"/>
    </row>
    <row r="227" spans="1:327">
      <c r="A227" s="390"/>
      <c r="B227" s="23"/>
      <c r="C227" s="391"/>
      <c r="D227" s="391"/>
      <c r="E227" s="23"/>
      <c r="F227" s="23"/>
      <c r="G227" s="392"/>
      <c r="H227" s="392"/>
      <c r="I227" s="392"/>
      <c r="J227" s="392"/>
      <c r="K227" s="392"/>
      <c r="L227" s="392"/>
      <c r="M227" s="392"/>
      <c r="N227" s="23"/>
      <c r="O227" s="39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  <c r="IZ227" s="23"/>
      <c r="JA227" s="23"/>
      <c r="JB227" s="23"/>
      <c r="JC227" s="23"/>
      <c r="JD227" s="23"/>
      <c r="JE227" s="23"/>
      <c r="JF227" s="23"/>
      <c r="JG227" s="23"/>
      <c r="JH227" s="23"/>
      <c r="JI227" s="23"/>
      <c r="JJ227" s="23"/>
      <c r="JK227" s="23"/>
      <c r="JL227" s="23"/>
      <c r="JM227" s="23"/>
      <c r="JN227" s="23"/>
      <c r="JO227" s="23"/>
      <c r="JP227" s="23"/>
      <c r="JQ227" s="23"/>
      <c r="JR227" s="23"/>
      <c r="JS227" s="23"/>
      <c r="JT227" s="23"/>
      <c r="JU227" s="23"/>
      <c r="JV227" s="23"/>
      <c r="JW227" s="23"/>
      <c r="JX227" s="23"/>
      <c r="JY227" s="23"/>
      <c r="JZ227" s="23"/>
      <c r="KA227" s="23"/>
      <c r="KB227" s="23"/>
      <c r="KC227" s="23"/>
      <c r="KD227" s="23"/>
      <c r="KE227" s="23"/>
      <c r="KF227" s="23"/>
      <c r="KG227" s="23"/>
      <c r="KH227" s="23"/>
      <c r="KI227" s="23"/>
      <c r="KJ227" s="23"/>
      <c r="KK227" s="23"/>
      <c r="KL227" s="23"/>
      <c r="KM227" s="23"/>
      <c r="KN227" s="23"/>
      <c r="KO227" s="23"/>
      <c r="KP227" s="23"/>
      <c r="KQ227" s="23"/>
      <c r="KR227" s="23"/>
      <c r="KS227" s="23"/>
      <c r="KT227" s="23"/>
      <c r="KU227" s="23"/>
      <c r="KV227" s="23"/>
      <c r="KW227" s="23"/>
      <c r="KX227" s="23"/>
      <c r="KY227" s="23"/>
      <c r="KZ227" s="23"/>
      <c r="LA227" s="23"/>
      <c r="LB227" s="23"/>
      <c r="LC227" s="23"/>
      <c r="LD227" s="23"/>
      <c r="LE227" s="23"/>
      <c r="LF227" s="23"/>
      <c r="LG227" s="23"/>
      <c r="LH227" s="23"/>
      <c r="LI227" s="23"/>
      <c r="LJ227" s="23"/>
      <c r="LK227" s="23"/>
      <c r="LL227" s="23"/>
      <c r="LM227" s="23"/>
      <c r="LN227" s="23"/>
      <c r="LO227" s="23"/>
    </row>
    <row r="228" spans="1:327">
      <c r="A228" s="390"/>
      <c r="B228" s="23"/>
      <c r="C228" s="391"/>
      <c r="D228" s="391"/>
      <c r="E228" s="23"/>
      <c r="F228" s="23"/>
      <c r="G228" s="392"/>
      <c r="H228" s="392"/>
      <c r="I228" s="392"/>
      <c r="J228" s="392"/>
      <c r="K228" s="392"/>
      <c r="L228" s="392"/>
      <c r="M228" s="392"/>
      <c r="N228" s="23"/>
      <c r="O228" s="39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  <c r="KG228" s="23"/>
      <c r="KH228" s="23"/>
      <c r="KI228" s="23"/>
      <c r="KJ228" s="23"/>
      <c r="KK228" s="23"/>
      <c r="KL228" s="23"/>
      <c r="KM228" s="23"/>
      <c r="KN228" s="23"/>
      <c r="KO228" s="23"/>
      <c r="KP228" s="23"/>
      <c r="KQ228" s="23"/>
      <c r="KR228" s="23"/>
      <c r="KS228" s="23"/>
      <c r="KT228" s="23"/>
      <c r="KU228" s="23"/>
      <c r="KV228" s="23"/>
      <c r="KW228" s="23"/>
      <c r="KX228" s="23"/>
      <c r="KY228" s="23"/>
      <c r="KZ228" s="23"/>
      <c r="LA228" s="23"/>
      <c r="LB228" s="23"/>
      <c r="LC228" s="23"/>
      <c r="LD228" s="23"/>
      <c r="LE228" s="23"/>
      <c r="LF228" s="23"/>
      <c r="LG228" s="23"/>
      <c r="LH228" s="23"/>
      <c r="LI228" s="23"/>
      <c r="LJ228" s="23"/>
      <c r="LK228" s="23"/>
      <c r="LL228" s="23"/>
      <c r="LM228" s="23"/>
      <c r="LN228" s="23"/>
      <c r="LO228" s="23"/>
    </row>
    <row r="229" spans="1:327">
      <c r="A229" s="390"/>
      <c r="B229" s="23"/>
      <c r="C229" s="391"/>
      <c r="D229" s="391"/>
      <c r="E229" s="23"/>
      <c r="F229" s="23"/>
      <c r="G229" s="392"/>
      <c r="H229" s="392"/>
      <c r="I229" s="392"/>
      <c r="J229" s="392"/>
      <c r="K229" s="392"/>
      <c r="L229" s="392"/>
      <c r="M229" s="392"/>
      <c r="N229" s="23"/>
      <c r="O229" s="39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  <c r="IZ229" s="23"/>
      <c r="JA229" s="23"/>
      <c r="JB229" s="23"/>
      <c r="JC229" s="23"/>
      <c r="JD229" s="23"/>
      <c r="JE229" s="23"/>
      <c r="JF229" s="23"/>
      <c r="JG229" s="23"/>
      <c r="JH229" s="23"/>
      <c r="JI229" s="23"/>
      <c r="JJ229" s="23"/>
      <c r="JK229" s="23"/>
      <c r="JL229" s="23"/>
      <c r="JM229" s="23"/>
      <c r="JN229" s="23"/>
      <c r="JO229" s="23"/>
      <c r="JP229" s="23"/>
      <c r="JQ229" s="23"/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  <c r="KG229" s="23"/>
      <c r="KH229" s="23"/>
      <c r="KI229" s="23"/>
      <c r="KJ229" s="23"/>
      <c r="KK229" s="23"/>
      <c r="KL229" s="23"/>
      <c r="KM229" s="23"/>
      <c r="KN229" s="23"/>
      <c r="KO229" s="23"/>
      <c r="KP229" s="23"/>
      <c r="KQ229" s="23"/>
      <c r="KR229" s="23"/>
      <c r="KS229" s="23"/>
      <c r="KT229" s="23"/>
      <c r="KU229" s="23"/>
      <c r="KV229" s="23"/>
      <c r="KW229" s="23"/>
      <c r="KX229" s="23"/>
      <c r="KY229" s="23"/>
      <c r="KZ229" s="23"/>
      <c r="LA229" s="23"/>
      <c r="LB229" s="23"/>
      <c r="LC229" s="23"/>
      <c r="LD229" s="23"/>
      <c r="LE229" s="23"/>
      <c r="LF229" s="23"/>
      <c r="LG229" s="23"/>
      <c r="LH229" s="23"/>
      <c r="LI229" s="23"/>
      <c r="LJ229" s="23"/>
      <c r="LK229" s="23"/>
      <c r="LL229" s="23"/>
      <c r="LM229" s="23"/>
      <c r="LN229" s="23"/>
      <c r="LO229" s="23"/>
    </row>
    <row r="230" spans="1:327">
      <c r="A230" s="390"/>
      <c r="B230" s="23"/>
      <c r="C230" s="391"/>
      <c r="D230" s="391"/>
      <c r="E230" s="23"/>
      <c r="F230" s="23"/>
      <c r="G230" s="392"/>
      <c r="H230" s="392"/>
      <c r="I230" s="392"/>
      <c r="J230" s="392"/>
      <c r="K230" s="392"/>
      <c r="L230" s="392"/>
      <c r="M230" s="392"/>
      <c r="N230" s="23"/>
      <c r="O230" s="39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  <c r="IZ230" s="23"/>
      <c r="JA230" s="23"/>
      <c r="JB230" s="23"/>
      <c r="JC230" s="23"/>
      <c r="JD230" s="23"/>
      <c r="JE230" s="23"/>
      <c r="JF230" s="23"/>
      <c r="JG230" s="23"/>
      <c r="JH230" s="23"/>
      <c r="JI230" s="23"/>
      <c r="JJ230" s="23"/>
      <c r="JK230" s="23"/>
      <c r="JL230" s="23"/>
      <c r="JM230" s="23"/>
      <c r="JN230" s="23"/>
      <c r="JO230" s="23"/>
      <c r="JP230" s="23"/>
      <c r="JQ230" s="23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  <c r="KG230" s="23"/>
      <c r="KH230" s="23"/>
      <c r="KI230" s="23"/>
      <c r="KJ230" s="23"/>
      <c r="KK230" s="23"/>
      <c r="KL230" s="23"/>
      <c r="KM230" s="23"/>
      <c r="KN230" s="23"/>
      <c r="KO230" s="23"/>
      <c r="KP230" s="23"/>
      <c r="KQ230" s="23"/>
      <c r="KR230" s="23"/>
      <c r="KS230" s="23"/>
      <c r="KT230" s="23"/>
      <c r="KU230" s="23"/>
      <c r="KV230" s="23"/>
      <c r="KW230" s="23"/>
      <c r="KX230" s="23"/>
      <c r="KY230" s="23"/>
      <c r="KZ230" s="23"/>
      <c r="LA230" s="23"/>
      <c r="LB230" s="23"/>
      <c r="LC230" s="23"/>
      <c r="LD230" s="23"/>
      <c r="LE230" s="23"/>
      <c r="LF230" s="23"/>
      <c r="LG230" s="23"/>
      <c r="LH230" s="23"/>
      <c r="LI230" s="23"/>
      <c r="LJ230" s="23"/>
      <c r="LK230" s="23"/>
      <c r="LL230" s="23"/>
      <c r="LM230" s="23"/>
      <c r="LN230" s="23"/>
      <c r="LO230" s="23"/>
    </row>
    <row r="231" spans="1:327">
      <c r="A231" s="390"/>
      <c r="B231" s="23"/>
      <c r="C231" s="391"/>
      <c r="D231" s="391"/>
      <c r="E231" s="23"/>
      <c r="F231" s="23"/>
      <c r="G231" s="392"/>
      <c r="H231" s="392"/>
      <c r="I231" s="392"/>
      <c r="J231" s="392"/>
      <c r="K231" s="392"/>
      <c r="L231" s="392"/>
      <c r="M231" s="392"/>
      <c r="N231" s="23"/>
      <c r="O231" s="39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  <c r="KG231" s="23"/>
      <c r="KH231" s="23"/>
      <c r="KI231" s="23"/>
      <c r="KJ231" s="23"/>
      <c r="KK231" s="23"/>
      <c r="KL231" s="23"/>
      <c r="KM231" s="23"/>
      <c r="KN231" s="23"/>
      <c r="KO231" s="23"/>
      <c r="KP231" s="23"/>
      <c r="KQ231" s="23"/>
      <c r="KR231" s="23"/>
      <c r="KS231" s="23"/>
      <c r="KT231" s="23"/>
      <c r="KU231" s="23"/>
      <c r="KV231" s="23"/>
      <c r="KW231" s="23"/>
      <c r="KX231" s="23"/>
      <c r="KY231" s="23"/>
      <c r="KZ231" s="23"/>
      <c r="LA231" s="23"/>
      <c r="LB231" s="23"/>
      <c r="LC231" s="23"/>
      <c r="LD231" s="23"/>
      <c r="LE231" s="23"/>
      <c r="LF231" s="23"/>
      <c r="LG231" s="23"/>
      <c r="LH231" s="23"/>
      <c r="LI231" s="23"/>
      <c r="LJ231" s="23"/>
      <c r="LK231" s="23"/>
      <c r="LL231" s="23"/>
      <c r="LM231" s="23"/>
      <c r="LN231" s="23"/>
      <c r="LO231" s="23"/>
    </row>
    <row r="232" spans="1:327">
      <c r="A232" s="390"/>
      <c r="B232" s="23"/>
      <c r="C232" s="391"/>
      <c r="D232" s="391"/>
      <c r="E232" s="23"/>
      <c r="F232" s="23"/>
      <c r="G232" s="392"/>
      <c r="H232" s="392"/>
      <c r="I232" s="392"/>
      <c r="J232" s="392"/>
      <c r="K232" s="392"/>
      <c r="L232" s="392"/>
      <c r="M232" s="392"/>
      <c r="N232" s="23"/>
      <c r="O232" s="39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  <c r="KG232" s="23"/>
      <c r="KH232" s="23"/>
      <c r="KI232" s="23"/>
      <c r="KJ232" s="23"/>
      <c r="KK232" s="23"/>
      <c r="KL232" s="23"/>
      <c r="KM232" s="23"/>
      <c r="KN232" s="23"/>
      <c r="KO232" s="23"/>
      <c r="KP232" s="23"/>
      <c r="KQ232" s="23"/>
      <c r="KR232" s="23"/>
      <c r="KS232" s="23"/>
      <c r="KT232" s="23"/>
      <c r="KU232" s="23"/>
      <c r="KV232" s="23"/>
      <c r="KW232" s="23"/>
      <c r="KX232" s="23"/>
      <c r="KY232" s="23"/>
      <c r="KZ232" s="23"/>
      <c r="LA232" s="23"/>
      <c r="LB232" s="23"/>
      <c r="LC232" s="23"/>
      <c r="LD232" s="23"/>
      <c r="LE232" s="23"/>
      <c r="LF232" s="23"/>
      <c r="LG232" s="23"/>
      <c r="LH232" s="23"/>
      <c r="LI232" s="23"/>
      <c r="LJ232" s="23"/>
      <c r="LK232" s="23"/>
      <c r="LL232" s="23"/>
      <c r="LM232" s="23"/>
      <c r="LN232" s="23"/>
      <c r="LO232" s="23"/>
    </row>
    <row r="233" spans="1:327">
      <c r="A233" s="390"/>
      <c r="B233" s="23"/>
      <c r="C233" s="391"/>
      <c r="D233" s="391"/>
      <c r="E233" s="23"/>
      <c r="F233" s="23"/>
      <c r="G233" s="392"/>
      <c r="H233" s="392"/>
      <c r="I233" s="392"/>
      <c r="J233" s="392"/>
      <c r="K233" s="392"/>
      <c r="L233" s="392"/>
      <c r="M233" s="392"/>
      <c r="N233" s="23"/>
      <c r="O233" s="39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/>
      <c r="JQ233" s="23"/>
      <c r="JR233" s="23"/>
      <c r="JS233" s="23"/>
      <c r="JT233" s="23"/>
      <c r="JU233" s="23"/>
      <c r="JV233" s="23"/>
      <c r="JW233" s="23"/>
      <c r="JX233" s="23"/>
      <c r="JY233" s="23"/>
      <c r="JZ233" s="23"/>
      <c r="KA233" s="23"/>
      <c r="KB233" s="23"/>
      <c r="KC233" s="23"/>
      <c r="KD233" s="23"/>
      <c r="KE233" s="23"/>
      <c r="KF233" s="23"/>
      <c r="KG233" s="23"/>
      <c r="KH233" s="23"/>
      <c r="KI233" s="23"/>
      <c r="KJ233" s="23"/>
      <c r="KK233" s="23"/>
      <c r="KL233" s="23"/>
      <c r="KM233" s="23"/>
      <c r="KN233" s="23"/>
      <c r="KO233" s="23"/>
      <c r="KP233" s="23"/>
      <c r="KQ233" s="23"/>
      <c r="KR233" s="23"/>
      <c r="KS233" s="23"/>
      <c r="KT233" s="23"/>
      <c r="KU233" s="23"/>
      <c r="KV233" s="23"/>
      <c r="KW233" s="23"/>
      <c r="KX233" s="23"/>
      <c r="KY233" s="23"/>
      <c r="KZ233" s="23"/>
      <c r="LA233" s="23"/>
      <c r="LB233" s="23"/>
      <c r="LC233" s="23"/>
      <c r="LD233" s="23"/>
      <c r="LE233" s="23"/>
      <c r="LF233" s="23"/>
      <c r="LG233" s="23"/>
      <c r="LH233" s="23"/>
      <c r="LI233" s="23"/>
      <c r="LJ233" s="23"/>
      <c r="LK233" s="23"/>
      <c r="LL233" s="23"/>
      <c r="LM233" s="23"/>
      <c r="LN233" s="23"/>
      <c r="LO233" s="23"/>
    </row>
    <row r="234" spans="1:327">
      <c r="A234" s="390"/>
      <c r="B234" s="23"/>
      <c r="C234" s="391"/>
      <c r="D234" s="391"/>
      <c r="E234" s="23"/>
      <c r="F234" s="23"/>
      <c r="G234" s="392"/>
      <c r="H234" s="392"/>
      <c r="I234" s="392"/>
      <c r="J234" s="392"/>
      <c r="K234" s="392"/>
      <c r="L234" s="392"/>
      <c r="M234" s="392"/>
      <c r="N234" s="23"/>
      <c r="O234" s="39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  <c r="KG234" s="23"/>
      <c r="KH234" s="23"/>
      <c r="KI234" s="23"/>
      <c r="KJ234" s="23"/>
      <c r="KK234" s="23"/>
      <c r="KL234" s="23"/>
      <c r="KM234" s="23"/>
      <c r="KN234" s="23"/>
      <c r="KO234" s="23"/>
      <c r="KP234" s="23"/>
      <c r="KQ234" s="23"/>
      <c r="KR234" s="23"/>
      <c r="KS234" s="23"/>
      <c r="KT234" s="23"/>
      <c r="KU234" s="23"/>
      <c r="KV234" s="23"/>
      <c r="KW234" s="23"/>
      <c r="KX234" s="23"/>
      <c r="KY234" s="23"/>
      <c r="KZ234" s="23"/>
      <c r="LA234" s="23"/>
      <c r="LB234" s="23"/>
      <c r="LC234" s="23"/>
      <c r="LD234" s="23"/>
      <c r="LE234" s="23"/>
      <c r="LF234" s="23"/>
      <c r="LG234" s="23"/>
      <c r="LH234" s="23"/>
      <c r="LI234" s="23"/>
      <c r="LJ234" s="23"/>
      <c r="LK234" s="23"/>
      <c r="LL234" s="23"/>
      <c r="LM234" s="23"/>
      <c r="LN234" s="23"/>
      <c r="LO234" s="23"/>
    </row>
    <row r="235" spans="1:327">
      <c r="A235" s="390"/>
      <c r="B235" s="23"/>
      <c r="C235" s="391"/>
      <c r="D235" s="391"/>
      <c r="E235" s="23"/>
      <c r="F235" s="23"/>
      <c r="G235" s="392"/>
      <c r="H235" s="392"/>
      <c r="I235" s="392"/>
      <c r="J235" s="392"/>
      <c r="K235" s="392"/>
      <c r="L235" s="392"/>
      <c r="M235" s="392"/>
      <c r="N235" s="23"/>
      <c r="O235" s="39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  <c r="KG235" s="23"/>
      <c r="KH235" s="23"/>
      <c r="KI235" s="23"/>
      <c r="KJ235" s="23"/>
      <c r="KK235" s="23"/>
      <c r="KL235" s="23"/>
      <c r="KM235" s="23"/>
      <c r="KN235" s="23"/>
      <c r="KO235" s="23"/>
      <c r="KP235" s="23"/>
      <c r="KQ235" s="23"/>
      <c r="KR235" s="23"/>
      <c r="KS235" s="23"/>
      <c r="KT235" s="23"/>
      <c r="KU235" s="23"/>
      <c r="KV235" s="23"/>
      <c r="KW235" s="23"/>
      <c r="KX235" s="23"/>
      <c r="KY235" s="23"/>
      <c r="KZ235" s="23"/>
      <c r="LA235" s="23"/>
      <c r="LB235" s="23"/>
      <c r="LC235" s="23"/>
      <c r="LD235" s="23"/>
      <c r="LE235" s="23"/>
      <c r="LF235" s="23"/>
      <c r="LG235" s="23"/>
      <c r="LH235" s="23"/>
      <c r="LI235" s="23"/>
      <c r="LJ235" s="23"/>
      <c r="LK235" s="23"/>
      <c r="LL235" s="23"/>
      <c r="LM235" s="23"/>
      <c r="LN235" s="23"/>
      <c r="LO235" s="23"/>
    </row>
    <row r="236" spans="1:327">
      <c r="A236" s="390"/>
      <c r="B236" s="23"/>
      <c r="C236" s="391"/>
      <c r="D236" s="391"/>
      <c r="E236" s="23"/>
      <c r="F236" s="23"/>
      <c r="G236" s="392"/>
      <c r="H236" s="392"/>
      <c r="I236" s="392"/>
      <c r="J236" s="392"/>
      <c r="K236" s="392"/>
      <c r="L236" s="392"/>
      <c r="M236" s="392"/>
      <c r="N236" s="23"/>
      <c r="O236" s="39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/>
      <c r="KQ236" s="23"/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/>
      <c r="LI236" s="23"/>
      <c r="LJ236" s="23"/>
      <c r="LK236" s="23"/>
      <c r="LL236" s="23"/>
      <c r="LM236" s="23"/>
      <c r="LN236" s="23"/>
      <c r="LO236" s="23"/>
    </row>
    <row r="237" spans="1:327">
      <c r="A237" s="390"/>
      <c r="B237" s="23"/>
      <c r="C237" s="391"/>
      <c r="D237" s="391"/>
      <c r="E237" s="23"/>
      <c r="F237" s="23"/>
      <c r="G237" s="392"/>
      <c r="H237" s="392"/>
      <c r="I237" s="392"/>
      <c r="J237" s="392"/>
      <c r="K237" s="392"/>
      <c r="L237" s="392"/>
      <c r="M237" s="392"/>
      <c r="N237" s="23"/>
      <c r="O237" s="39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  <c r="KG237" s="23"/>
      <c r="KH237" s="23"/>
      <c r="KI237" s="23"/>
      <c r="KJ237" s="23"/>
      <c r="KK237" s="23"/>
      <c r="KL237" s="23"/>
      <c r="KM237" s="23"/>
      <c r="KN237" s="23"/>
      <c r="KO237" s="23"/>
      <c r="KP237" s="23"/>
      <c r="KQ237" s="23"/>
      <c r="KR237" s="23"/>
      <c r="KS237" s="23"/>
      <c r="KT237" s="23"/>
      <c r="KU237" s="23"/>
      <c r="KV237" s="23"/>
      <c r="KW237" s="23"/>
      <c r="KX237" s="23"/>
      <c r="KY237" s="23"/>
      <c r="KZ237" s="23"/>
      <c r="LA237" s="23"/>
      <c r="LB237" s="23"/>
      <c r="LC237" s="23"/>
      <c r="LD237" s="23"/>
      <c r="LE237" s="23"/>
      <c r="LF237" s="23"/>
      <c r="LG237" s="23"/>
      <c r="LH237" s="23"/>
      <c r="LI237" s="23"/>
      <c r="LJ237" s="23"/>
      <c r="LK237" s="23"/>
      <c r="LL237" s="23"/>
      <c r="LM237" s="23"/>
      <c r="LN237" s="23"/>
      <c r="LO237" s="23"/>
    </row>
    <row r="238" spans="1:327">
      <c r="A238" s="390"/>
      <c r="B238" s="23"/>
      <c r="C238" s="391"/>
      <c r="D238" s="391"/>
      <c r="E238" s="23"/>
      <c r="F238" s="23"/>
      <c r="G238" s="392"/>
      <c r="H238" s="392"/>
      <c r="I238" s="392"/>
      <c r="J238" s="392"/>
      <c r="K238" s="392"/>
      <c r="L238" s="392"/>
      <c r="M238" s="392"/>
      <c r="N238" s="23"/>
      <c r="O238" s="39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  <c r="KG238" s="23"/>
      <c r="KH238" s="23"/>
      <c r="KI238" s="23"/>
      <c r="KJ238" s="23"/>
      <c r="KK238" s="23"/>
      <c r="KL238" s="23"/>
      <c r="KM238" s="23"/>
      <c r="KN238" s="23"/>
      <c r="KO238" s="23"/>
      <c r="KP238" s="23"/>
      <c r="KQ238" s="23"/>
      <c r="KR238" s="23"/>
      <c r="KS238" s="23"/>
      <c r="KT238" s="23"/>
      <c r="KU238" s="23"/>
      <c r="KV238" s="23"/>
      <c r="KW238" s="23"/>
      <c r="KX238" s="23"/>
      <c r="KY238" s="23"/>
      <c r="KZ238" s="23"/>
      <c r="LA238" s="23"/>
      <c r="LB238" s="23"/>
      <c r="LC238" s="23"/>
      <c r="LD238" s="23"/>
      <c r="LE238" s="23"/>
      <c r="LF238" s="23"/>
      <c r="LG238" s="23"/>
      <c r="LH238" s="23"/>
      <c r="LI238" s="23"/>
      <c r="LJ238" s="23"/>
      <c r="LK238" s="23"/>
      <c r="LL238" s="23"/>
      <c r="LM238" s="23"/>
      <c r="LN238" s="23"/>
      <c r="LO238" s="23"/>
    </row>
    <row r="239" spans="1:327">
      <c r="A239" s="390"/>
      <c r="B239" s="23"/>
      <c r="C239" s="391"/>
      <c r="D239" s="391"/>
      <c r="E239" s="23"/>
      <c r="F239" s="23"/>
      <c r="G239" s="392"/>
      <c r="H239" s="392"/>
      <c r="I239" s="392"/>
      <c r="J239" s="392"/>
      <c r="K239" s="392"/>
      <c r="L239" s="392"/>
      <c r="M239" s="392"/>
      <c r="N239" s="23"/>
      <c r="O239" s="39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</row>
    <row r="240" spans="1:327">
      <c r="A240" s="390"/>
      <c r="B240" s="23"/>
      <c r="C240" s="391"/>
      <c r="D240" s="391"/>
      <c r="E240" s="23"/>
      <c r="F240" s="23"/>
      <c r="G240" s="392"/>
      <c r="H240" s="392"/>
      <c r="I240" s="392"/>
      <c r="J240" s="392"/>
      <c r="K240" s="392"/>
      <c r="L240" s="392"/>
      <c r="M240" s="392"/>
      <c r="N240" s="23"/>
      <c r="O240" s="39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</row>
    <row r="241" spans="1:327">
      <c r="A241" s="390"/>
      <c r="B241" s="23"/>
      <c r="C241" s="391"/>
      <c r="D241" s="391"/>
      <c r="E241" s="23"/>
      <c r="F241" s="23"/>
      <c r="G241" s="392"/>
      <c r="H241" s="392"/>
      <c r="I241" s="392"/>
      <c r="J241" s="392"/>
      <c r="K241" s="392"/>
      <c r="L241" s="392"/>
      <c r="M241" s="392"/>
      <c r="N241" s="23"/>
      <c r="O241" s="39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</row>
    <row r="242" spans="1:327">
      <c r="A242" s="390"/>
      <c r="B242" s="23"/>
      <c r="C242" s="391"/>
      <c r="D242" s="391"/>
      <c r="E242" s="23"/>
      <c r="F242" s="23"/>
      <c r="G242" s="392"/>
      <c r="H242" s="392"/>
      <c r="I242" s="392"/>
      <c r="J242" s="392"/>
      <c r="K242" s="392"/>
      <c r="L242" s="392"/>
      <c r="M242" s="392"/>
      <c r="N242" s="23"/>
      <c r="O242" s="39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</row>
    <row r="243" spans="1:327">
      <c r="A243" s="390"/>
      <c r="B243" s="23"/>
      <c r="C243" s="391"/>
      <c r="D243" s="391"/>
      <c r="E243" s="23"/>
      <c r="F243" s="23"/>
      <c r="G243" s="392"/>
      <c r="H243" s="392"/>
      <c r="I243" s="392"/>
      <c r="J243" s="392"/>
      <c r="K243" s="392"/>
      <c r="L243" s="392"/>
      <c r="M243" s="392"/>
      <c r="N243" s="23"/>
      <c r="O243" s="39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  <c r="KG243" s="23"/>
      <c r="KH243" s="23"/>
      <c r="KI243" s="23"/>
      <c r="KJ243" s="23"/>
      <c r="KK243" s="23"/>
      <c r="KL243" s="23"/>
      <c r="KM243" s="23"/>
      <c r="KN243" s="23"/>
      <c r="KO243" s="23"/>
      <c r="KP243" s="23"/>
      <c r="KQ243" s="23"/>
      <c r="KR243" s="23"/>
      <c r="KS243" s="23"/>
      <c r="KT243" s="23"/>
      <c r="KU243" s="23"/>
      <c r="KV243" s="23"/>
      <c r="KW243" s="23"/>
      <c r="KX243" s="23"/>
      <c r="KY243" s="23"/>
      <c r="KZ243" s="23"/>
      <c r="LA243" s="23"/>
      <c r="LB243" s="23"/>
      <c r="LC243" s="23"/>
      <c r="LD243" s="23"/>
      <c r="LE243" s="23"/>
      <c r="LF243" s="23"/>
      <c r="LG243" s="23"/>
      <c r="LH243" s="23"/>
      <c r="LI243" s="23"/>
      <c r="LJ243" s="23"/>
      <c r="LK243" s="23"/>
      <c r="LL243" s="23"/>
      <c r="LM243" s="23"/>
      <c r="LN243" s="23"/>
      <c r="LO243" s="23"/>
    </row>
    <row r="244" spans="1:327">
      <c r="A244" s="390"/>
      <c r="B244" s="23"/>
      <c r="C244" s="391"/>
      <c r="D244" s="391"/>
      <c r="E244" s="23"/>
      <c r="F244" s="23"/>
      <c r="G244" s="392"/>
      <c r="H244" s="392"/>
      <c r="I244" s="392"/>
      <c r="J244" s="392"/>
      <c r="K244" s="392"/>
      <c r="L244" s="392"/>
      <c r="M244" s="392"/>
      <c r="N244" s="23"/>
      <c r="O244" s="39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</row>
    <row r="245" spans="1:327">
      <c r="A245" s="390"/>
      <c r="B245" s="23"/>
      <c r="C245" s="391"/>
      <c r="D245" s="391"/>
      <c r="E245" s="23"/>
      <c r="F245" s="23"/>
      <c r="G245" s="392"/>
      <c r="H245" s="392"/>
      <c r="I245" s="392"/>
      <c r="J245" s="392"/>
      <c r="K245" s="392"/>
      <c r="L245" s="392"/>
      <c r="M245" s="392"/>
      <c r="N245" s="23"/>
      <c r="O245" s="39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  <c r="KG245" s="23"/>
      <c r="KH245" s="23"/>
      <c r="KI245" s="23"/>
      <c r="KJ245" s="23"/>
      <c r="KK245" s="23"/>
      <c r="KL245" s="23"/>
      <c r="KM245" s="23"/>
      <c r="KN245" s="23"/>
      <c r="KO245" s="23"/>
      <c r="KP245" s="23"/>
      <c r="KQ245" s="23"/>
      <c r="KR245" s="23"/>
      <c r="KS245" s="23"/>
      <c r="KT245" s="23"/>
      <c r="KU245" s="23"/>
      <c r="KV245" s="23"/>
      <c r="KW245" s="23"/>
      <c r="KX245" s="23"/>
      <c r="KY245" s="23"/>
      <c r="KZ245" s="23"/>
      <c r="LA245" s="23"/>
      <c r="LB245" s="23"/>
      <c r="LC245" s="23"/>
      <c r="LD245" s="23"/>
      <c r="LE245" s="23"/>
      <c r="LF245" s="23"/>
      <c r="LG245" s="23"/>
      <c r="LH245" s="23"/>
      <c r="LI245" s="23"/>
      <c r="LJ245" s="23"/>
      <c r="LK245" s="23"/>
      <c r="LL245" s="23"/>
      <c r="LM245" s="23"/>
      <c r="LN245" s="23"/>
      <c r="LO245" s="23"/>
    </row>
    <row r="246" spans="1:327">
      <c r="A246" s="390"/>
      <c r="B246" s="23"/>
      <c r="C246" s="391"/>
      <c r="D246" s="391"/>
      <c r="E246" s="23"/>
      <c r="F246" s="23"/>
      <c r="G246" s="392"/>
      <c r="H246" s="392"/>
      <c r="I246" s="392"/>
      <c r="J246" s="392"/>
      <c r="K246" s="392"/>
      <c r="L246" s="392"/>
      <c r="M246" s="392"/>
      <c r="N246" s="23"/>
      <c r="O246" s="39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</row>
    <row r="247" spans="1:327">
      <c r="A247" s="390"/>
      <c r="B247" s="23"/>
      <c r="C247" s="391"/>
      <c r="D247" s="391"/>
      <c r="E247" s="23"/>
      <c r="F247" s="23"/>
      <c r="G247" s="392"/>
      <c r="H247" s="392"/>
      <c r="I247" s="392"/>
      <c r="J247" s="392"/>
      <c r="K247" s="392"/>
      <c r="L247" s="392"/>
      <c r="M247" s="392"/>
      <c r="N247" s="23"/>
      <c r="O247" s="39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</row>
    <row r="248" spans="1:327">
      <c r="A248" s="390"/>
      <c r="B248" s="23"/>
      <c r="C248" s="391"/>
      <c r="D248" s="391"/>
      <c r="E248" s="23"/>
      <c r="F248" s="23"/>
      <c r="G248" s="392"/>
      <c r="H248" s="392"/>
      <c r="I248" s="392"/>
      <c r="J248" s="392"/>
      <c r="K248" s="392"/>
      <c r="L248" s="392"/>
      <c r="M248" s="392"/>
      <c r="N248" s="23"/>
      <c r="O248" s="39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  <c r="KG248" s="23"/>
      <c r="KH248" s="23"/>
      <c r="KI248" s="23"/>
      <c r="KJ248" s="23"/>
      <c r="KK248" s="23"/>
      <c r="KL248" s="23"/>
      <c r="KM248" s="23"/>
      <c r="KN248" s="23"/>
      <c r="KO248" s="23"/>
      <c r="KP248" s="23"/>
      <c r="KQ248" s="23"/>
      <c r="KR248" s="23"/>
      <c r="KS248" s="23"/>
      <c r="KT248" s="23"/>
      <c r="KU248" s="23"/>
      <c r="KV248" s="23"/>
      <c r="KW248" s="23"/>
      <c r="KX248" s="23"/>
      <c r="KY248" s="23"/>
      <c r="KZ248" s="23"/>
      <c r="LA248" s="23"/>
      <c r="LB248" s="23"/>
      <c r="LC248" s="23"/>
      <c r="LD248" s="23"/>
      <c r="LE248" s="23"/>
      <c r="LF248" s="23"/>
      <c r="LG248" s="23"/>
      <c r="LH248" s="23"/>
      <c r="LI248" s="23"/>
      <c r="LJ248" s="23"/>
      <c r="LK248" s="23"/>
      <c r="LL248" s="23"/>
      <c r="LM248" s="23"/>
      <c r="LN248" s="23"/>
      <c r="LO248" s="23"/>
    </row>
    <row r="249" spans="1:327">
      <c r="A249" s="390"/>
      <c r="B249" s="23"/>
      <c r="C249" s="391"/>
      <c r="D249" s="391"/>
      <c r="E249" s="23"/>
      <c r="F249" s="23"/>
      <c r="G249" s="392"/>
      <c r="H249" s="392"/>
      <c r="I249" s="392"/>
      <c r="J249" s="392"/>
      <c r="K249" s="392"/>
      <c r="L249" s="392"/>
      <c r="M249" s="392"/>
      <c r="N249" s="23"/>
      <c r="O249" s="39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  <c r="IZ249" s="23"/>
      <c r="JA249" s="23"/>
      <c r="JB249" s="23"/>
      <c r="JC249" s="23"/>
      <c r="JD249" s="23"/>
      <c r="JE249" s="23"/>
      <c r="JF249" s="23"/>
      <c r="JG249" s="23"/>
      <c r="JH249" s="23"/>
      <c r="JI249" s="23"/>
      <c r="JJ249" s="23"/>
      <c r="JK249" s="23"/>
      <c r="JL249" s="23"/>
      <c r="JM249" s="23"/>
      <c r="JN249" s="23"/>
      <c r="JO249" s="23"/>
      <c r="JP249" s="23"/>
      <c r="JQ249" s="23"/>
      <c r="JR249" s="23"/>
      <c r="JS249" s="23"/>
      <c r="JT249" s="23"/>
      <c r="JU249" s="23"/>
      <c r="JV249" s="23"/>
      <c r="JW249" s="23"/>
      <c r="JX249" s="23"/>
      <c r="JY249" s="23"/>
      <c r="JZ249" s="23"/>
      <c r="KA249" s="23"/>
      <c r="KB249" s="23"/>
      <c r="KC249" s="23"/>
      <c r="KD249" s="23"/>
      <c r="KE249" s="23"/>
      <c r="KF249" s="23"/>
      <c r="KG249" s="23"/>
      <c r="KH249" s="23"/>
      <c r="KI249" s="23"/>
      <c r="KJ249" s="23"/>
      <c r="KK249" s="23"/>
      <c r="KL249" s="23"/>
      <c r="KM249" s="23"/>
      <c r="KN249" s="23"/>
      <c r="KO249" s="23"/>
      <c r="KP249" s="23"/>
      <c r="KQ249" s="23"/>
      <c r="KR249" s="23"/>
      <c r="KS249" s="23"/>
      <c r="KT249" s="23"/>
      <c r="KU249" s="23"/>
      <c r="KV249" s="23"/>
      <c r="KW249" s="23"/>
      <c r="KX249" s="23"/>
      <c r="KY249" s="23"/>
      <c r="KZ249" s="23"/>
      <c r="LA249" s="23"/>
      <c r="LB249" s="23"/>
      <c r="LC249" s="23"/>
      <c r="LD249" s="23"/>
      <c r="LE249" s="23"/>
      <c r="LF249" s="23"/>
      <c r="LG249" s="23"/>
      <c r="LH249" s="23"/>
      <c r="LI249" s="23"/>
      <c r="LJ249" s="23"/>
      <c r="LK249" s="23"/>
      <c r="LL249" s="23"/>
      <c r="LM249" s="23"/>
      <c r="LN249" s="23"/>
      <c r="LO249" s="23"/>
    </row>
    <row r="250" spans="1:327">
      <c r="A250" s="390"/>
      <c r="B250" s="23"/>
      <c r="C250" s="391"/>
      <c r="D250" s="391"/>
      <c r="E250" s="23"/>
      <c r="F250" s="23"/>
      <c r="G250" s="392"/>
      <c r="H250" s="392"/>
      <c r="I250" s="392"/>
      <c r="J250" s="392"/>
      <c r="K250" s="392"/>
      <c r="L250" s="392"/>
      <c r="M250" s="392"/>
      <c r="N250" s="23"/>
      <c r="O250" s="39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  <c r="IZ250" s="23"/>
      <c r="JA250" s="23"/>
      <c r="JB250" s="23"/>
      <c r="JC250" s="23"/>
      <c r="JD250" s="23"/>
      <c r="JE250" s="23"/>
      <c r="JF250" s="23"/>
      <c r="JG250" s="23"/>
      <c r="JH250" s="23"/>
      <c r="JI250" s="23"/>
      <c r="JJ250" s="23"/>
      <c r="JK250" s="23"/>
      <c r="JL250" s="23"/>
      <c r="JM250" s="23"/>
      <c r="JN250" s="23"/>
      <c r="JO250" s="23"/>
      <c r="JP250" s="23"/>
      <c r="JQ250" s="23"/>
      <c r="JR250" s="23"/>
      <c r="JS250" s="23"/>
      <c r="JT250" s="23"/>
      <c r="JU250" s="23"/>
      <c r="JV250" s="23"/>
      <c r="JW250" s="23"/>
      <c r="JX250" s="23"/>
      <c r="JY250" s="23"/>
      <c r="JZ250" s="23"/>
      <c r="KA250" s="23"/>
      <c r="KB250" s="23"/>
      <c r="KC250" s="23"/>
      <c r="KD250" s="23"/>
      <c r="KE250" s="23"/>
      <c r="KF250" s="23"/>
      <c r="KG250" s="23"/>
      <c r="KH250" s="23"/>
      <c r="KI250" s="23"/>
      <c r="KJ250" s="23"/>
      <c r="KK250" s="23"/>
      <c r="KL250" s="23"/>
      <c r="KM250" s="23"/>
      <c r="KN250" s="23"/>
      <c r="KO250" s="23"/>
      <c r="KP250" s="23"/>
      <c r="KQ250" s="23"/>
      <c r="KR250" s="23"/>
      <c r="KS250" s="23"/>
      <c r="KT250" s="23"/>
      <c r="KU250" s="23"/>
      <c r="KV250" s="23"/>
      <c r="KW250" s="23"/>
      <c r="KX250" s="23"/>
      <c r="KY250" s="23"/>
      <c r="KZ250" s="23"/>
      <c r="LA250" s="23"/>
      <c r="LB250" s="23"/>
      <c r="LC250" s="23"/>
      <c r="LD250" s="23"/>
      <c r="LE250" s="23"/>
      <c r="LF250" s="23"/>
      <c r="LG250" s="23"/>
      <c r="LH250" s="23"/>
      <c r="LI250" s="23"/>
      <c r="LJ250" s="23"/>
      <c r="LK250" s="23"/>
      <c r="LL250" s="23"/>
      <c r="LM250" s="23"/>
      <c r="LN250" s="23"/>
      <c r="LO250" s="23"/>
    </row>
    <row r="251" spans="1:327">
      <c r="A251" s="390"/>
      <c r="B251" s="23"/>
      <c r="C251" s="391"/>
      <c r="D251" s="391"/>
      <c r="E251" s="23"/>
      <c r="F251" s="23"/>
      <c r="G251" s="392"/>
      <c r="H251" s="392"/>
      <c r="I251" s="392"/>
      <c r="J251" s="392"/>
      <c r="K251" s="392"/>
      <c r="L251" s="392"/>
      <c r="M251" s="392"/>
      <c r="N251" s="23"/>
      <c r="O251" s="39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  <c r="IZ251" s="23"/>
      <c r="JA251" s="23"/>
      <c r="JB251" s="23"/>
      <c r="JC251" s="23"/>
      <c r="JD251" s="23"/>
      <c r="JE251" s="23"/>
      <c r="JF251" s="23"/>
      <c r="JG251" s="23"/>
      <c r="JH251" s="23"/>
      <c r="JI251" s="23"/>
      <c r="JJ251" s="23"/>
      <c r="JK251" s="23"/>
      <c r="JL251" s="23"/>
      <c r="JM251" s="23"/>
      <c r="JN251" s="23"/>
      <c r="JO251" s="23"/>
      <c r="JP251" s="23"/>
      <c r="JQ251" s="23"/>
      <c r="JR251" s="23"/>
      <c r="JS251" s="23"/>
      <c r="JT251" s="23"/>
      <c r="JU251" s="23"/>
      <c r="JV251" s="23"/>
      <c r="JW251" s="23"/>
      <c r="JX251" s="23"/>
      <c r="JY251" s="23"/>
      <c r="JZ251" s="23"/>
      <c r="KA251" s="23"/>
      <c r="KB251" s="23"/>
      <c r="KC251" s="23"/>
      <c r="KD251" s="23"/>
      <c r="KE251" s="23"/>
      <c r="KF251" s="23"/>
      <c r="KG251" s="23"/>
      <c r="KH251" s="23"/>
      <c r="KI251" s="23"/>
      <c r="KJ251" s="23"/>
      <c r="KK251" s="23"/>
      <c r="KL251" s="23"/>
      <c r="KM251" s="23"/>
      <c r="KN251" s="23"/>
      <c r="KO251" s="23"/>
      <c r="KP251" s="23"/>
      <c r="KQ251" s="23"/>
      <c r="KR251" s="23"/>
      <c r="KS251" s="23"/>
      <c r="KT251" s="23"/>
      <c r="KU251" s="23"/>
      <c r="KV251" s="23"/>
      <c r="KW251" s="23"/>
      <c r="KX251" s="23"/>
      <c r="KY251" s="23"/>
      <c r="KZ251" s="23"/>
      <c r="LA251" s="23"/>
      <c r="LB251" s="23"/>
      <c r="LC251" s="23"/>
      <c r="LD251" s="23"/>
      <c r="LE251" s="23"/>
      <c r="LF251" s="23"/>
      <c r="LG251" s="23"/>
      <c r="LH251" s="23"/>
      <c r="LI251" s="23"/>
      <c r="LJ251" s="23"/>
      <c r="LK251" s="23"/>
      <c r="LL251" s="23"/>
      <c r="LM251" s="23"/>
      <c r="LN251" s="23"/>
      <c r="LO251" s="23"/>
    </row>
    <row r="252" spans="1:327">
      <c r="A252" s="390"/>
      <c r="B252" s="23"/>
      <c r="C252" s="391"/>
      <c r="D252" s="391"/>
      <c r="E252" s="23"/>
      <c r="F252" s="23"/>
      <c r="G252" s="392"/>
      <c r="H252" s="392"/>
      <c r="I252" s="392"/>
      <c r="J252" s="392"/>
      <c r="K252" s="392"/>
      <c r="L252" s="392"/>
      <c r="M252" s="392"/>
      <c r="N252" s="23"/>
      <c r="O252" s="39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  <c r="IZ252" s="23"/>
      <c r="JA252" s="23"/>
      <c r="JB252" s="23"/>
      <c r="JC252" s="23"/>
      <c r="JD252" s="23"/>
      <c r="JE252" s="23"/>
      <c r="JF252" s="23"/>
      <c r="JG252" s="23"/>
      <c r="JH252" s="23"/>
      <c r="JI252" s="23"/>
      <c r="JJ252" s="23"/>
      <c r="JK252" s="23"/>
      <c r="JL252" s="23"/>
      <c r="JM252" s="23"/>
      <c r="JN252" s="23"/>
      <c r="JO252" s="23"/>
      <c r="JP252" s="23"/>
      <c r="JQ252" s="23"/>
      <c r="JR252" s="23"/>
      <c r="JS252" s="23"/>
      <c r="JT252" s="23"/>
      <c r="JU252" s="23"/>
      <c r="JV252" s="23"/>
      <c r="JW252" s="23"/>
      <c r="JX252" s="23"/>
      <c r="JY252" s="23"/>
      <c r="JZ252" s="23"/>
      <c r="KA252" s="23"/>
      <c r="KB252" s="23"/>
      <c r="KC252" s="23"/>
      <c r="KD252" s="23"/>
      <c r="KE252" s="23"/>
      <c r="KF252" s="23"/>
      <c r="KG252" s="23"/>
      <c r="KH252" s="23"/>
      <c r="KI252" s="23"/>
      <c r="KJ252" s="23"/>
      <c r="KK252" s="23"/>
      <c r="KL252" s="23"/>
      <c r="KM252" s="23"/>
      <c r="KN252" s="23"/>
      <c r="KO252" s="23"/>
      <c r="KP252" s="23"/>
      <c r="KQ252" s="23"/>
      <c r="KR252" s="23"/>
      <c r="KS252" s="23"/>
      <c r="KT252" s="23"/>
      <c r="KU252" s="23"/>
      <c r="KV252" s="23"/>
      <c r="KW252" s="23"/>
      <c r="KX252" s="23"/>
      <c r="KY252" s="23"/>
      <c r="KZ252" s="23"/>
      <c r="LA252" s="23"/>
      <c r="LB252" s="23"/>
      <c r="LC252" s="23"/>
      <c r="LD252" s="23"/>
      <c r="LE252" s="23"/>
      <c r="LF252" s="23"/>
      <c r="LG252" s="23"/>
      <c r="LH252" s="23"/>
      <c r="LI252" s="23"/>
      <c r="LJ252" s="23"/>
      <c r="LK252" s="23"/>
      <c r="LL252" s="23"/>
      <c r="LM252" s="23"/>
      <c r="LN252" s="23"/>
      <c r="LO252" s="23"/>
    </row>
    <row r="253" spans="1:327">
      <c r="A253" s="390"/>
      <c r="B253" s="23"/>
      <c r="C253" s="391"/>
      <c r="D253" s="391"/>
      <c r="E253" s="23"/>
      <c r="F253" s="23"/>
      <c r="G253" s="392"/>
      <c r="H253" s="392"/>
      <c r="I253" s="392"/>
      <c r="J253" s="392"/>
      <c r="K253" s="392"/>
      <c r="L253" s="392"/>
      <c r="M253" s="392"/>
      <c r="N253" s="23"/>
      <c r="O253" s="39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  <c r="IZ253" s="23"/>
      <c r="JA253" s="23"/>
      <c r="JB253" s="23"/>
      <c r="JC253" s="23"/>
      <c r="JD253" s="23"/>
      <c r="JE253" s="23"/>
      <c r="JF253" s="23"/>
      <c r="JG253" s="23"/>
      <c r="JH253" s="23"/>
      <c r="JI253" s="23"/>
      <c r="JJ253" s="23"/>
      <c r="JK253" s="23"/>
      <c r="JL253" s="23"/>
      <c r="JM253" s="23"/>
      <c r="JN253" s="23"/>
      <c r="JO253" s="23"/>
      <c r="JP253" s="23"/>
      <c r="JQ253" s="23"/>
      <c r="JR253" s="23"/>
      <c r="JS253" s="23"/>
      <c r="JT253" s="23"/>
      <c r="JU253" s="23"/>
      <c r="JV253" s="23"/>
      <c r="JW253" s="23"/>
      <c r="JX253" s="23"/>
      <c r="JY253" s="23"/>
      <c r="JZ253" s="23"/>
      <c r="KA253" s="23"/>
      <c r="KB253" s="23"/>
      <c r="KC253" s="23"/>
      <c r="KD253" s="23"/>
      <c r="KE253" s="23"/>
      <c r="KF253" s="23"/>
      <c r="KG253" s="23"/>
      <c r="KH253" s="23"/>
      <c r="KI253" s="23"/>
      <c r="KJ253" s="23"/>
      <c r="KK253" s="23"/>
      <c r="KL253" s="23"/>
      <c r="KM253" s="23"/>
      <c r="KN253" s="23"/>
      <c r="KO253" s="23"/>
      <c r="KP253" s="23"/>
      <c r="KQ253" s="23"/>
      <c r="KR253" s="23"/>
      <c r="KS253" s="23"/>
      <c r="KT253" s="23"/>
      <c r="KU253" s="23"/>
      <c r="KV253" s="23"/>
      <c r="KW253" s="23"/>
      <c r="KX253" s="23"/>
      <c r="KY253" s="23"/>
      <c r="KZ253" s="23"/>
      <c r="LA253" s="23"/>
      <c r="LB253" s="23"/>
      <c r="LC253" s="23"/>
      <c r="LD253" s="23"/>
      <c r="LE253" s="23"/>
      <c r="LF253" s="23"/>
      <c r="LG253" s="23"/>
      <c r="LH253" s="23"/>
      <c r="LI253" s="23"/>
      <c r="LJ253" s="23"/>
      <c r="LK253" s="23"/>
      <c r="LL253" s="23"/>
      <c r="LM253" s="23"/>
      <c r="LN253" s="23"/>
      <c r="LO253" s="23"/>
    </row>
    <row r="254" spans="1:327">
      <c r="A254" s="390"/>
      <c r="B254" s="23"/>
      <c r="C254" s="391"/>
      <c r="D254" s="391"/>
      <c r="E254" s="23"/>
      <c r="F254" s="23"/>
      <c r="G254" s="392"/>
      <c r="H254" s="392"/>
      <c r="I254" s="392"/>
      <c r="J254" s="392"/>
      <c r="K254" s="392"/>
      <c r="L254" s="392"/>
      <c r="M254" s="392"/>
      <c r="N254" s="23"/>
      <c r="O254" s="39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  <c r="IZ254" s="23"/>
      <c r="JA254" s="23"/>
      <c r="JB254" s="23"/>
      <c r="JC254" s="23"/>
      <c r="JD254" s="23"/>
      <c r="JE254" s="23"/>
      <c r="JF254" s="23"/>
      <c r="JG254" s="23"/>
      <c r="JH254" s="23"/>
      <c r="JI254" s="23"/>
      <c r="JJ254" s="23"/>
      <c r="JK254" s="23"/>
      <c r="JL254" s="23"/>
      <c r="JM254" s="23"/>
      <c r="JN254" s="23"/>
      <c r="JO254" s="23"/>
      <c r="JP254" s="23"/>
      <c r="JQ254" s="23"/>
      <c r="JR254" s="23"/>
      <c r="JS254" s="23"/>
      <c r="JT254" s="23"/>
      <c r="JU254" s="23"/>
      <c r="JV254" s="23"/>
      <c r="JW254" s="23"/>
      <c r="JX254" s="23"/>
      <c r="JY254" s="23"/>
      <c r="JZ254" s="23"/>
      <c r="KA254" s="23"/>
      <c r="KB254" s="23"/>
      <c r="KC254" s="23"/>
      <c r="KD254" s="23"/>
      <c r="KE254" s="23"/>
      <c r="KF254" s="23"/>
      <c r="KG254" s="23"/>
      <c r="KH254" s="23"/>
      <c r="KI254" s="23"/>
      <c r="KJ254" s="23"/>
      <c r="KK254" s="23"/>
      <c r="KL254" s="23"/>
      <c r="KM254" s="23"/>
      <c r="KN254" s="23"/>
      <c r="KO254" s="23"/>
      <c r="KP254" s="23"/>
      <c r="KQ254" s="23"/>
      <c r="KR254" s="23"/>
      <c r="KS254" s="23"/>
      <c r="KT254" s="23"/>
      <c r="KU254" s="23"/>
      <c r="KV254" s="23"/>
      <c r="KW254" s="23"/>
      <c r="KX254" s="23"/>
      <c r="KY254" s="23"/>
      <c r="KZ254" s="23"/>
      <c r="LA254" s="23"/>
      <c r="LB254" s="23"/>
      <c r="LC254" s="23"/>
      <c r="LD254" s="23"/>
      <c r="LE254" s="23"/>
      <c r="LF254" s="23"/>
      <c r="LG254" s="23"/>
      <c r="LH254" s="23"/>
      <c r="LI254" s="23"/>
      <c r="LJ254" s="23"/>
      <c r="LK254" s="23"/>
      <c r="LL254" s="23"/>
      <c r="LM254" s="23"/>
      <c r="LN254" s="23"/>
      <c r="LO254" s="23"/>
    </row>
    <row r="255" spans="1:327">
      <c r="A255" s="390"/>
      <c r="B255" s="23"/>
      <c r="C255" s="391"/>
      <c r="D255" s="391"/>
      <c r="E255" s="23"/>
      <c r="F255" s="23"/>
      <c r="G255" s="392"/>
      <c r="H255" s="392"/>
      <c r="I255" s="392"/>
      <c r="J255" s="392"/>
      <c r="K255" s="392"/>
      <c r="L255" s="392"/>
      <c r="M255" s="392"/>
      <c r="N255" s="23"/>
      <c r="O255" s="39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  <c r="IZ255" s="23"/>
      <c r="JA255" s="23"/>
      <c r="JB255" s="23"/>
      <c r="JC255" s="23"/>
      <c r="JD255" s="23"/>
      <c r="JE255" s="23"/>
      <c r="JF255" s="23"/>
      <c r="JG255" s="23"/>
      <c r="JH255" s="23"/>
      <c r="JI255" s="23"/>
      <c r="JJ255" s="23"/>
      <c r="JK255" s="23"/>
      <c r="JL255" s="23"/>
      <c r="JM255" s="23"/>
      <c r="JN255" s="23"/>
      <c r="JO255" s="23"/>
      <c r="JP255" s="23"/>
      <c r="JQ255" s="23"/>
      <c r="JR255" s="23"/>
      <c r="JS255" s="23"/>
      <c r="JT255" s="23"/>
      <c r="JU255" s="23"/>
      <c r="JV255" s="23"/>
      <c r="JW255" s="23"/>
      <c r="JX255" s="23"/>
      <c r="JY255" s="23"/>
      <c r="JZ255" s="23"/>
      <c r="KA255" s="23"/>
      <c r="KB255" s="23"/>
      <c r="KC255" s="23"/>
      <c r="KD255" s="23"/>
      <c r="KE255" s="23"/>
      <c r="KF255" s="23"/>
      <c r="KG255" s="23"/>
      <c r="KH255" s="23"/>
      <c r="KI255" s="23"/>
      <c r="KJ255" s="23"/>
      <c r="KK255" s="23"/>
      <c r="KL255" s="23"/>
      <c r="KM255" s="23"/>
      <c r="KN255" s="23"/>
      <c r="KO255" s="23"/>
      <c r="KP255" s="23"/>
      <c r="KQ255" s="23"/>
      <c r="KR255" s="23"/>
      <c r="KS255" s="23"/>
      <c r="KT255" s="23"/>
      <c r="KU255" s="23"/>
      <c r="KV255" s="23"/>
      <c r="KW255" s="23"/>
      <c r="KX255" s="23"/>
      <c r="KY255" s="23"/>
      <c r="KZ255" s="23"/>
      <c r="LA255" s="23"/>
      <c r="LB255" s="23"/>
      <c r="LC255" s="23"/>
      <c r="LD255" s="23"/>
      <c r="LE255" s="23"/>
      <c r="LF255" s="23"/>
      <c r="LG255" s="23"/>
      <c r="LH255" s="23"/>
      <c r="LI255" s="23"/>
      <c r="LJ255" s="23"/>
      <c r="LK255" s="23"/>
      <c r="LL255" s="23"/>
      <c r="LM255" s="23"/>
      <c r="LN255" s="23"/>
      <c r="LO255" s="23"/>
    </row>
    <row r="256" spans="1:327">
      <c r="A256" s="390"/>
      <c r="B256" s="23"/>
      <c r="C256" s="391"/>
      <c r="D256" s="391"/>
      <c r="E256" s="23"/>
      <c r="F256" s="23"/>
      <c r="G256" s="392"/>
      <c r="H256" s="392"/>
      <c r="I256" s="392"/>
      <c r="J256" s="392"/>
      <c r="K256" s="392"/>
      <c r="L256" s="392"/>
      <c r="M256" s="392"/>
      <c r="N256" s="23"/>
      <c r="O256" s="39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  <c r="IZ256" s="23"/>
      <c r="JA256" s="23"/>
      <c r="JB256" s="23"/>
      <c r="JC256" s="23"/>
      <c r="JD256" s="23"/>
      <c r="JE256" s="23"/>
      <c r="JF256" s="23"/>
      <c r="JG256" s="23"/>
      <c r="JH256" s="23"/>
      <c r="JI256" s="23"/>
      <c r="JJ256" s="23"/>
      <c r="JK256" s="23"/>
      <c r="JL256" s="23"/>
      <c r="JM256" s="23"/>
      <c r="JN256" s="23"/>
      <c r="JO256" s="23"/>
      <c r="JP256" s="23"/>
      <c r="JQ256" s="23"/>
      <c r="JR256" s="23"/>
      <c r="JS256" s="23"/>
      <c r="JT256" s="23"/>
      <c r="JU256" s="23"/>
      <c r="JV256" s="23"/>
      <c r="JW256" s="23"/>
      <c r="JX256" s="23"/>
      <c r="JY256" s="23"/>
      <c r="JZ256" s="23"/>
      <c r="KA256" s="23"/>
      <c r="KB256" s="23"/>
      <c r="KC256" s="23"/>
      <c r="KD256" s="23"/>
      <c r="KE256" s="23"/>
      <c r="KF256" s="23"/>
      <c r="KG256" s="23"/>
      <c r="KH256" s="23"/>
      <c r="KI256" s="23"/>
      <c r="KJ256" s="23"/>
      <c r="KK256" s="23"/>
      <c r="KL256" s="23"/>
      <c r="KM256" s="23"/>
      <c r="KN256" s="23"/>
      <c r="KO256" s="23"/>
      <c r="KP256" s="23"/>
      <c r="KQ256" s="23"/>
      <c r="KR256" s="23"/>
      <c r="KS256" s="23"/>
      <c r="KT256" s="23"/>
      <c r="KU256" s="23"/>
      <c r="KV256" s="23"/>
      <c r="KW256" s="23"/>
      <c r="KX256" s="23"/>
      <c r="KY256" s="23"/>
      <c r="KZ256" s="23"/>
      <c r="LA256" s="23"/>
      <c r="LB256" s="23"/>
      <c r="LC256" s="23"/>
      <c r="LD256" s="23"/>
      <c r="LE256" s="23"/>
      <c r="LF256" s="23"/>
      <c r="LG256" s="23"/>
      <c r="LH256" s="23"/>
      <c r="LI256" s="23"/>
      <c r="LJ256" s="23"/>
      <c r="LK256" s="23"/>
      <c r="LL256" s="23"/>
      <c r="LM256" s="23"/>
      <c r="LN256" s="23"/>
      <c r="LO256" s="23"/>
    </row>
    <row r="257" spans="1:327">
      <c r="A257" s="390"/>
      <c r="B257" s="23"/>
      <c r="C257" s="391"/>
      <c r="D257" s="391"/>
      <c r="E257" s="23"/>
      <c r="F257" s="23"/>
      <c r="G257" s="392"/>
      <c r="H257" s="392"/>
      <c r="I257" s="392"/>
      <c r="J257" s="392"/>
      <c r="K257" s="392"/>
      <c r="L257" s="392"/>
      <c r="M257" s="392"/>
      <c r="N257" s="23"/>
      <c r="O257" s="39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  <c r="IZ257" s="23"/>
      <c r="JA257" s="23"/>
      <c r="JB257" s="23"/>
      <c r="JC257" s="23"/>
      <c r="JD257" s="23"/>
      <c r="JE257" s="23"/>
      <c r="JF257" s="23"/>
      <c r="JG257" s="23"/>
      <c r="JH257" s="23"/>
      <c r="JI257" s="23"/>
      <c r="JJ257" s="23"/>
      <c r="JK257" s="23"/>
      <c r="JL257" s="23"/>
      <c r="JM257" s="23"/>
      <c r="JN257" s="23"/>
      <c r="JO257" s="23"/>
      <c r="JP257" s="23"/>
      <c r="JQ257" s="23"/>
      <c r="JR257" s="23"/>
      <c r="JS257" s="23"/>
      <c r="JT257" s="23"/>
      <c r="JU257" s="23"/>
      <c r="JV257" s="23"/>
      <c r="JW257" s="23"/>
      <c r="JX257" s="23"/>
      <c r="JY257" s="23"/>
      <c r="JZ257" s="23"/>
      <c r="KA257" s="23"/>
      <c r="KB257" s="23"/>
      <c r="KC257" s="23"/>
      <c r="KD257" s="23"/>
      <c r="KE257" s="23"/>
      <c r="KF257" s="23"/>
      <c r="KG257" s="23"/>
      <c r="KH257" s="23"/>
      <c r="KI257" s="23"/>
      <c r="KJ257" s="23"/>
      <c r="KK257" s="23"/>
      <c r="KL257" s="23"/>
      <c r="KM257" s="23"/>
      <c r="KN257" s="23"/>
      <c r="KO257" s="23"/>
      <c r="KP257" s="23"/>
      <c r="KQ257" s="23"/>
      <c r="KR257" s="23"/>
      <c r="KS257" s="23"/>
      <c r="KT257" s="23"/>
      <c r="KU257" s="23"/>
      <c r="KV257" s="23"/>
      <c r="KW257" s="23"/>
      <c r="KX257" s="23"/>
      <c r="KY257" s="23"/>
      <c r="KZ257" s="23"/>
      <c r="LA257" s="23"/>
      <c r="LB257" s="23"/>
      <c r="LC257" s="23"/>
      <c r="LD257" s="23"/>
      <c r="LE257" s="23"/>
      <c r="LF257" s="23"/>
      <c r="LG257" s="23"/>
      <c r="LH257" s="23"/>
      <c r="LI257" s="23"/>
      <c r="LJ257" s="23"/>
      <c r="LK257" s="23"/>
      <c r="LL257" s="23"/>
      <c r="LM257" s="23"/>
      <c r="LN257" s="23"/>
      <c r="LO257" s="23"/>
    </row>
    <row r="258" spans="1:327">
      <c r="A258" s="390"/>
      <c r="B258" s="23"/>
      <c r="C258" s="391"/>
      <c r="D258" s="391"/>
      <c r="E258" s="23"/>
      <c r="F258" s="23"/>
      <c r="G258" s="392"/>
      <c r="H258" s="392"/>
      <c r="I258" s="392"/>
      <c r="J258" s="392"/>
      <c r="K258" s="392"/>
      <c r="L258" s="392"/>
      <c r="M258" s="392"/>
      <c r="N258" s="23"/>
      <c r="O258" s="39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  <c r="IR258" s="23"/>
      <c r="IS258" s="23"/>
      <c r="IT258" s="23"/>
      <c r="IU258" s="23"/>
      <c r="IV258" s="23"/>
      <c r="IW258" s="23"/>
      <c r="IX258" s="23"/>
      <c r="IY258" s="23"/>
      <c r="IZ258" s="23"/>
      <c r="JA258" s="23"/>
      <c r="JB258" s="23"/>
      <c r="JC258" s="23"/>
      <c r="JD258" s="23"/>
      <c r="JE258" s="23"/>
      <c r="JF258" s="23"/>
      <c r="JG258" s="23"/>
      <c r="JH258" s="23"/>
      <c r="JI258" s="23"/>
      <c r="JJ258" s="23"/>
      <c r="JK258" s="23"/>
      <c r="JL258" s="23"/>
      <c r="JM258" s="23"/>
      <c r="JN258" s="23"/>
      <c r="JO258" s="23"/>
      <c r="JP258" s="23"/>
      <c r="JQ258" s="23"/>
      <c r="JR258" s="23"/>
      <c r="JS258" s="23"/>
      <c r="JT258" s="23"/>
      <c r="JU258" s="23"/>
      <c r="JV258" s="23"/>
      <c r="JW258" s="23"/>
      <c r="JX258" s="23"/>
      <c r="JY258" s="23"/>
      <c r="JZ258" s="23"/>
      <c r="KA258" s="23"/>
      <c r="KB258" s="23"/>
      <c r="KC258" s="23"/>
      <c r="KD258" s="23"/>
      <c r="KE258" s="23"/>
      <c r="KF258" s="23"/>
      <c r="KG258" s="23"/>
      <c r="KH258" s="23"/>
      <c r="KI258" s="23"/>
      <c r="KJ258" s="23"/>
      <c r="KK258" s="23"/>
      <c r="KL258" s="23"/>
      <c r="KM258" s="23"/>
      <c r="KN258" s="23"/>
      <c r="KO258" s="23"/>
      <c r="KP258" s="23"/>
      <c r="KQ258" s="23"/>
      <c r="KR258" s="23"/>
      <c r="KS258" s="23"/>
      <c r="KT258" s="23"/>
      <c r="KU258" s="23"/>
      <c r="KV258" s="23"/>
      <c r="KW258" s="23"/>
      <c r="KX258" s="23"/>
      <c r="KY258" s="23"/>
      <c r="KZ258" s="23"/>
      <c r="LA258" s="23"/>
      <c r="LB258" s="23"/>
      <c r="LC258" s="23"/>
      <c r="LD258" s="23"/>
      <c r="LE258" s="23"/>
      <c r="LF258" s="23"/>
      <c r="LG258" s="23"/>
      <c r="LH258" s="23"/>
      <c r="LI258" s="23"/>
      <c r="LJ258" s="23"/>
      <c r="LK258" s="23"/>
      <c r="LL258" s="23"/>
      <c r="LM258" s="23"/>
      <c r="LN258" s="23"/>
      <c r="LO258" s="23"/>
    </row>
    <row r="259" spans="1:327">
      <c r="A259" s="390"/>
      <c r="B259" s="23"/>
      <c r="C259" s="391"/>
      <c r="D259" s="391"/>
      <c r="E259" s="23"/>
      <c r="F259" s="23"/>
      <c r="G259" s="392"/>
      <c r="H259" s="392"/>
      <c r="I259" s="392"/>
      <c r="J259" s="392"/>
      <c r="K259" s="392"/>
      <c r="L259" s="392"/>
      <c r="M259" s="392"/>
      <c r="N259" s="23"/>
      <c r="O259" s="39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  <c r="KG259" s="23"/>
      <c r="KH259" s="23"/>
      <c r="KI259" s="23"/>
      <c r="KJ259" s="23"/>
      <c r="KK259" s="23"/>
      <c r="KL259" s="23"/>
      <c r="KM259" s="23"/>
      <c r="KN259" s="23"/>
      <c r="KO259" s="23"/>
      <c r="KP259" s="23"/>
      <c r="KQ259" s="23"/>
      <c r="KR259" s="23"/>
      <c r="KS259" s="23"/>
      <c r="KT259" s="23"/>
      <c r="KU259" s="23"/>
      <c r="KV259" s="23"/>
      <c r="KW259" s="23"/>
      <c r="KX259" s="23"/>
      <c r="KY259" s="23"/>
      <c r="KZ259" s="23"/>
      <c r="LA259" s="23"/>
      <c r="LB259" s="23"/>
      <c r="LC259" s="23"/>
      <c r="LD259" s="23"/>
      <c r="LE259" s="23"/>
      <c r="LF259" s="23"/>
      <c r="LG259" s="23"/>
      <c r="LH259" s="23"/>
      <c r="LI259" s="23"/>
      <c r="LJ259" s="23"/>
      <c r="LK259" s="23"/>
      <c r="LL259" s="23"/>
      <c r="LM259" s="23"/>
      <c r="LN259" s="23"/>
      <c r="LO259" s="23"/>
    </row>
    <row r="260" spans="1:327">
      <c r="A260" s="390"/>
      <c r="B260" s="23"/>
      <c r="C260" s="391"/>
      <c r="D260" s="391"/>
      <c r="E260" s="23"/>
      <c r="F260" s="23"/>
      <c r="G260" s="392"/>
      <c r="H260" s="392"/>
      <c r="I260" s="392"/>
      <c r="J260" s="392"/>
      <c r="K260" s="392"/>
      <c r="L260" s="392"/>
      <c r="M260" s="392"/>
      <c r="N260" s="23"/>
      <c r="O260" s="39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  <c r="IR260" s="23"/>
      <c r="IS260" s="23"/>
      <c r="IT260" s="23"/>
      <c r="IU260" s="23"/>
      <c r="IV260" s="23"/>
      <c r="IW260" s="23"/>
      <c r="IX260" s="23"/>
      <c r="IY260" s="23"/>
      <c r="IZ260" s="23"/>
      <c r="JA260" s="23"/>
      <c r="JB260" s="23"/>
      <c r="JC260" s="23"/>
      <c r="JD260" s="23"/>
      <c r="JE260" s="23"/>
      <c r="JF260" s="23"/>
      <c r="JG260" s="23"/>
      <c r="JH260" s="23"/>
      <c r="JI260" s="23"/>
      <c r="JJ260" s="23"/>
      <c r="JK260" s="23"/>
      <c r="JL260" s="23"/>
      <c r="JM260" s="23"/>
      <c r="JN260" s="23"/>
      <c r="JO260" s="23"/>
      <c r="JP260" s="23"/>
      <c r="JQ260" s="23"/>
      <c r="JR260" s="23"/>
      <c r="JS260" s="23"/>
      <c r="JT260" s="23"/>
      <c r="JU260" s="23"/>
      <c r="JV260" s="23"/>
      <c r="JW260" s="23"/>
      <c r="JX260" s="23"/>
      <c r="JY260" s="23"/>
      <c r="JZ260" s="23"/>
      <c r="KA260" s="23"/>
      <c r="KB260" s="23"/>
      <c r="KC260" s="23"/>
      <c r="KD260" s="23"/>
      <c r="KE260" s="23"/>
      <c r="KF260" s="23"/>
      <c r="KG260" s="23"/>
      <c r="KH260" s="23"/>
      <c r="KI260" s="23"/>
      <c r="KJ260" s="23"/>
      <c r="KK260" s="23"/>
      <c r="KL260" s="23"/>
      <c r="KM260" s="23"/>
      <c r="KN260" s="23"/>
      <c r="KO260" s="23"/>
      <c r="KP260" s="23"/>
      <c r="KQ260" s="23"/>
      <c r="KR260" s="23"/>
      <c r="KS260" s="23"/>
      <c r="KT260" s="23"/>
      <c r="KU260" s="23"/>
      <c r="KV260" s="23"/>
      <c r="KW260" s="23"/>
      <c r="KX260" s="23"/>
      <c r="KY260" s="23"/>
      <c r="KZ260" s="23"/>
      <c r="LA260" s="23"/>
      <c r="LB260" s="23"/>
      <c r="LC260" s="23"/>
      <c r="LD260" s="23"/>
      <c r="LE260" s="23"/>
      <c r="LF260" s="23"/>
      <c r="LG260" s="23"/>
      <c r="LH260" s="23"/>
      <c r="LI260" s="23"/>
      <c r="LJ260" s="23"/>
      <c r="LK260" s="23"/>
      <c r="LL260" s="23"/>
      <c r="LM260" s="23"/>
      <c r="LN260" s="23"/>
      <c r="LO260" s="23"/>
    </row>
    <row r="261" spans="1:327">
      <c r="A261" s="390"/>
      <c r="B261" s="23"/>
      <c r="C261" s="391"/>
      <c r="D261" s="391"/>
      <c r="E261" s="23"/>
      <c r="F261" s="23"/>
      <c r="G261" s="392"/>
      <c r="H261" s="392"/>
      <c r="I261" s="392"/>
      <c r="J261" s="392"/>
      <c r="K261" s="392"/>
      <c r="L261" s="392"/>
      <c r="M261" s="392"/>
      <c r="N261" s="23"/>
      <c r="O261" s="39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  <c r="IR261" s="23"/>
      <c r="IS261" s="23"/>
      <c r="IT261" s="23"/>
      <c r="IU261" s="23"/>
      <c r="IV261" s="23"/>
      <c r="IW261" s="23"/>
      <c r="IX261" s="23"/>
      <c r="IY261" s="23"/>
      <c r="IZ261" s="23"/>
      <c r="JA261" s="23"/>
      <c r="JB261" s="23"/>
      <c r="JC261" s="23"/>
      <c r="JD261" s="23"/>
      <c r="JE261" s="23"/>
      <c r="JF261" s="23"/>
      <c r="JG261" s="23"/>
      <c r="JH261" s="23"/>
      <c r="JI261" s="23"/>
      <c r="JJ261" s="23"/>
      <c r="JK261" s="23"/>
      <c r="JL261" s="23"/>
      <c r="JM261" s="23"/>
      <c r="JN261" s="23"/>
      <c r="JO261" s="23"/>
      <c r="JP261" s="23"/>
      <c r="JQ261" s="23"/>
      <c r="JR261" s="23"/>
      <c r="JS261" s="23"/>
      <c r="JT261" s="23"/>
      <c r="JU261" s="23"/>
      <c r="JV261" s="23"/>
      <c r="JW261" s="23"/>
      <c r="JX261" s="23"/>
      <c r="JY261" s="23"/>
      <c r="JZ261" s="23"/>
      <c r="KA261" s="23"/>
      <c r="KB261" s="23"/>
      <c r="KC261" s="23"/>
      <c r="KD261" s="23"/>
      <c r="KE261" s="23"/>
      <c r="KF261" s="23"/>
      <c r="KG261" s="23"/>
      <c r="KH261" s="23"/>
      <c r="KI261" s="23"/>
      <c r="KJ261" s="23"/>
      <c r="KK261" s="23"/>
      <c r="KL261" s="23"/>
      <c r="KM261" s="23"/>
      <c r="KN261" s="23"/>
      <c r="KO261" s="23"/>
      <c r="KP261" s="23"/>
      <c r="KQ261" s="23"/>
      <c r="KR261" s="23"/>
      <c r="KS261" s="23"/>
      <c r="KT261" s="23"/>
      <c r="KU261" s="23"/>
      <c r="KV261" s="23"/>
      <c r="KW261" s="23"/>
      <c r="KX261" s="23"/>
      <c r="KY261" s="23"/>
      <c r="KZ261" s="23"/>
      <c r="LA261" s="23"/>
      <c r="LB261" s="23"/>
      <c r="LC261" s="23"/>
      <c r="LD261" s="23"/>
      <c r="LE261" s="23"/>
      <c r="LF261" s="23"/>
      <c r="LG261" s="23"/>
      <c r="LH261" s="23"/>
      <c r="LI261" s="23"/>
      <c r="LJ261" s="23"/>
      <c r="LK261" s="23"/>
      <c r="LL261" s="23"/>
      <c r="LM261" s="23"/>
      <c r="LN261" s="23"/>
      <c r="LO261" s="23"/>
    </row>
    <row r="262" spans="1:327">
      <c r="A262" s="390"/>
      <c r="B262" s="23"/>
      <c r="C262" s="391"/>
      <c r="D262" s="391"/>
      <c r="E262" s="23"/>
      <c r="F262" s="23"/>
      <c r="G262" s="392"/>
      <c r="H262" s="392"/>
      <c r="I262" s="392"/>
      <c r="J262" s="392"/>
      <c r="K262" s="392"/>
      <c r="L262" s="392"/>
      <c r="M262" s="392"/>
      <c r="N262" s="23"/>
      <c r="O262" s="39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  <c r="IR262" s="23"/>
      <c r="IS262" s="23"/>
      <c r="IT262" s="23"/>
      <c r="IU262" s="23"/>
      <c r="IV262" s="23"/>
      <c r="IW262" s="23"/>
      <c r="IX262" s="23"/>
      <c r="IY262" s="23"/>
      <c r="IZ262" s="23"/>
      <c r="JA262" s="23"/>
      <c r="JB262" s="23"/>
      <c r="JC262" s="23"/>
      <c r="JD262" s="23"/>
      <c r="JE262" s="23"/>
      <c r="JF262" s="23"/>
      <c r="JG262" s="23"/>
      <c r="JH262" s="23"/>
      <c r="JI262" s="23"/>
      <c r="JJ262" s="23"/>
      <c r="JK262" s="23"/>
      <c r="JL262" s="23"/>
      <c r="JM262" s="23"/>
      <c r="JN262" s="23"/>
      <c r="JO262" s="23"/>
      <c r="JP262" s="23"/>
      <c r="JQ262" s="23"/>
      <c r="JR262" s="23"/>
      <c r="JS262" s="23"/>
      <c r="JT262" s="23"/>
      <c r="JU262" s="23"/>
      <c r="JV262" s="23"/>
      <c r="JW262" s="23"/>
      <c r="JX262" s="23"/>
      <c r="JY262" s="23"/>
      <c r="JZ262" s="23"/>
      <c r="KA262" s="23"/>
      <c r="KB262" s="23"/>
      <c r="KC262" s="23"/>
      <c r="KD262" s="23"/>
      <c r="KE262" s="23"/>
      <c r="KF262" s="23"/>
      <c r="KG262" s="23"/>
      <c r="KH262" s="23"/>
      <c r="KI262" s="23"/>
      <c r="KJ262" s="23"/>
      <c r="KK262" s="23"/>
      <c r="KL262" s="23"/>
      <c r="KM262" s="23"/>
      <c r="KN262" s="23"/>
      <c r="KO262" s="23"/>
      <c r="KP262" s="23"/>
      <c r="KQ262" s="23"/>
      <c r="KR262" s="23"/>
      <c r="KS262" s="23"/>
      <c r="KT262" s="23"/>
      <c r="KU262" s="23"/>
      <c r="KV262" s="23"/>
      <c r="KW262" s="23"/>
      <c r="KX262" s="23"/>
      <c r="KY262" s="23"/>
      <c r="KZ262" s="23"/>
      <c r="LA262" s="23"/>
      <c r="LB262" s="23"/>
      <c r="LC262" s="23"/>
      <c r="LD262" s="23"/>
      <c r="LE262" s="23"/>
      <c r="LF262" s="23"/>
      <c r="LG262" s="23"/>
      <c r="LH262" s="23"/>
      <c r="LI262" s="23"/>
      <c r="LJ262" s="23"/>
      <c r="LK262" s="23"/>
      <c r="LL262" s="23"/>
      <c r="LM262" s="23"/>
      <c r="LN262" s="23"/>
      <c r="LO262" s="23"/>
    </row>
    <row r="263" spans="1:327">
      <c r="A263" s="390"/>
      <c r="B263" s="23"/>
      <c r="C263" s="391"/>
      <c r="D263" s="391"/>
      <c r="E263" s="23"/>
      <c r="F263" s="23"/>
      <c r="G263" s="392"/>
      <c r="H263" s="392"/>
      <c r="I263" s="392"/>
      <c r="J263" s="392"/>
      <c r="K263" s="392"/>
      <c r="L263" s="392"/>
      <c r="M263" s="392"/>
      <c r="N263" s="23"/>
      <c r="O263" s="39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  <c r="IR263" s="23"/>
      <c r="IS263" s="23"/>
      <c r="IT263" s="23"/>
      <c r="IU263" s="23"/>
      <c r="IV263" s="23"/>
      <c r="IW263" s="23"/>
      <c r="IX263" s="23"/>
      <c r="IY263" s="23"/>
      <c r="IZ263" s="23"/>
      <c r="JA263" s="23"/>
      <c r="JB263" s="23"/>
      <c r="JC263" s="23"/>
      <c r="JD263" s="23"/>
      <c r="JE263" s="23"/>
      <c r="JF263" s="23"/>
      <c r="JG263" s="23"/>
      <c r="JH263" s="23"/>
      <c r="JI263" s="23"/>
      <c r="JJ263" s="23"/>
      <c r="JK263" s="23"/>
      <c r="JL263" s="23"/>
      <c r="JM263" s="23"/>
      <c r="JN263" s="23"/>
      <c r="JO263" s="23"/>
      <c r="JP263" s="23"/>
      <c r="JQ263" s="23"/>
      <c r="JR263" s="23"/>
      <c r="JS263" s="23"/>
      <c r="JT263" s="23"/>
      <c r="JU263" s="23"/>
      <c r="JV263" s="23"/>
      <c r="JW263" s="23"/>
      <c r="JX263" s="23"/>
      <c r="JY263" s="23"/>
      <c r="JZ263" s="23"/>
      <c r="KA263" s="23"/>
      <c r="KB263" s="23"/>
      <c r="KC263" s="23"/>
      <c r="KD263" s="23"/>
      <c r="KE263" s="23"/>
      <c r="KF263" s="23"/>
      <c r="KG263" s="23"/>
      <c r="KH263" s="23"/>
      <c r="KI263" s="23"/>
      <c r="KJ263" s="23"/>
      <c r="KK263" s="23"/>
      <c r="KL263" s="23"/>
      <c r="KM263" s="23"/>
      <c r="KN263" s="23"/>
      <c r="KO263" s="23"/>
      <c r="KP263" s="23"/>
      <c r="KQ263" s="23"/>
      <c r="KR263" s="23"/>
      <c r="KS263" s="23"/>
      <c r="KT263" s="23"/>
      <c r="KU263" s="23"/>
      <c r="KV263" s="23"/>
      <c r="KW263" s="23"/>
      <c r="KX263" s="23"/>
      <c r="KY263" s="23"/>
      <c r="KZ263" s="23"/>
      <c r="LA263" s="23"/>
      <c r="LB263" s="23"/>
      <c r="LC263" s="23"/>
      <c r="LD263" s="23"/>
      <c r="LE263" s="23"/>
      <c r="LF263" s="23"/>
      <c r="LG263" s="23"/>
      <c r="LH263" s="23"/>
      <c r="LI263" s="23"/>
      <c r="LJ263" s="23"/>
      <c r="LK263" s="23"/>
      <c r="LL263" s="23"/>
      <c r="LM263" s="23"/>
      <c r="LN263" s="23"/>
      <c r="LO263" s="23"/>
    </row>
    <row r="264" spans="1:327">
      <c r="A264" s="390"/>
      <c r="B264" s="23"/>
      <c r="C264" s="391"/>
      <c r="D264" s="391"/>
      <c r="E264" s="23"/>
      <c r="F264" s="23"/>
      <c r="G264" s="392"/>
      <c r="H264" s="392"/>
      <c r="I264" s="392"/>
      <c r="J264" s="392"/>
      <c r="K264" s="392"/>
      <c r="L264" s="392"/>
      <c r="M264" s="392"/>
      <c r="N264" s="23"/>
      <c r="O264" s="39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  <c r="IR264" s="23"/>
      <c r="IS264" s="23"/>
      <c r="IT264" s="23"/>
      <c r="IU264" s="23"/>
      <c r="IV264" s="23"/>
      <c r="IW264" s="23"/>
      <c r="IX264" s="23"/>
      <c r="IY264" s="23"/>
      <c r="IZ264" s="23"/>
      <c r="JA264" s="23"/>
      <c r="JB264" s="23"/>
      <c r="JC264" s="23"/>
      <c r="JD264" s="23"/>
      <c r="JE264" s="23"/>
      <c r="JF264" s="23"/>
      <c r="JG264" s="23"/>
      <c r="JH264" s="23"/>
      <c r="JI264" s="23"/>
      <c r="JJ264" s="23"/>
      <c r="JK264" s="23"/>
      <c r="JL264" s="23"/>
      <c r="JM264" s="23"/>
      <c r="JN264" s="23"/>
      <c r="JO264" s="23"/>
      <c r="JP264" s="23"/>
      <c r="JQ264" s="23"/>
      <c r="JR264" s="23"/>
      <c r="JS264" s="23"/>
      <c r="JT264" s="23"/>
      <c r="JU264" s="23"/>
      <c r="JV264" s="23"/>
      <c r="JW264" s="23"/>
      <c r="JX264" s="23"/>
      <c r="JY264" s="23"/>
      <c r="JZ264" s="23"/>
      <c r="KA264" s="23"/>
      <c r="KB264" s="23"/>
      <c r="KC264" s="23"/>
      <c r="KD264" s="23"/>
      <c r="KE264" s="23"/>
      <c r="KF264" s="23"/>
      <c r="KG264" s="23"/>
      <c r="KH264" s="23"/>
      <c r="KI264" s="23"/>
      <c r="KJ264" s="23"/>
      <c r="KK264" s="23"/>
      <c r="KL264" s="23"/>
      <c r="KM264" s="23"/>
      <c r="KN264" s="23"/>
      <c r="KO264" s="23"/>
      <c r="KP264" s="23"/>
      <c r="KQ264" s="23"/>
      <c r="KR264" s="23"/>
      <c r="KS264" s="23"/>
      <c r="KT264" s="23"/>
      <c r="KU264" s="23"/>
      <c r="KV264" s="23"/>
      <c r="KW264" s="23"/>
      <c r="KX264" s="23"/>
      <c r="KY264" s="23"/>
      <c r="KZ264" s="23"/>
      <c r="LA264" s="23"/>
      <c r="LB264" s="23"/>
      <c r="LC264" s="23"/>
      <c r="LD264" s="23"/>
      <c r="LE264" s="23"/>
      <c r="LF264" s="23"/>
      <c r="LG264" s="23"/>
      <c r="LH264" s="23"/>
      <c r="LI264" s="23"/>
      <c r="LJ264" s="23"/>
      <c r="LK264" s="23"/>
      <c r="LL264" s="23"/>
      <c r="LM264" s="23"/>
      <c r="LN264" s="23"/>
      <c r="LO264" s="23"/>
    </row>
    <row r="265" spans="1:327">
      <c r="A265" s="390"/>
      <c r="B265" s="23"/>
      <c r="C265" s="391"/>
      <c r="D265" s="391"/>
      <c r="E265" s="23"/>
      <c r="F265" s="23"/>
      <c r="G265" s="392"/>
      <c r="H265" s="392"/>
      <c r="I265" s="392"/>
      <c r="J265" s="392"/>
      <c r="K265" s="392"/>
      <c r="L265" s="392"/>
      <c r="M265" s="392"/>
      <c r="N265" s="23"/>
      <c r="O265" s="39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  <c r="IR265" s="23"/>
      <c r="IS265" s="23"/>
      <c r="IT265" s="23"/>
      <c r="IU265" s="23"/>
      <c r="IV265" s="23"/>
      <c r="IW265" s="23"/>
      <c r="IX265" s="23"/>
      <c r="IY265" s="23"/>
      <c r="IZ265" s="23"/>
      <c r="JA265" s="23"/>
      <c r="JB265" s="23"/>
      <c r="JC265" s="23"/>
      <c r="JD265" s="23"/>
      <c r="JE265" s="23"/>
      <c r="JF265" s="23"/>
      <c r="JG265" s="23"/>
      <c r="JH265" s="23"/>
      <c r="JI265" s="23"/>
      <c r="JJ265" s="23"/>
      <c r="JK265" s="23"/>
      <c r="JL265" s="23"/>
      <c r="JM265" s="23"/>
      <c r="JN265" s="23"/>
      <c r="JO265" s="23"/>
      <c r="JP265" s="23"/>
      <c r="JQ265" s="23"/>
      <c r="JR265" s="23"/>
      <c r="JS265" s="23"/>
      <c r="JT265" s="23"/>
      <c r="JU265" s="23"/>
      <c r="JV265" s="23"/>
      <c r="JW265" s="23"/>
      <c r="JX265" s="23"/>
      <c r="JY265" s="23"/>
      <c r="JZ265" s="23"/>
      <c r="KA265" s="23"/>
      <c r="KB265" s="23"/>
      <c r="KC265" s="23"/>
      <c r="KD265" s="23"/>
      <c r="KE265" s="23"/>
      <c r="KF265" s="23"/>
      <c r="KG265" s="23"/>
      <c r="KH265" s="23"/>
      <c r="KI265" s="23"/>
      <c r="KJ265" s="23"/>
      <c r="KK265" s="23"/>
      <c r="KL265" s="23"/>
      <c r="KM265" s="23"/>
      <c r="KN265" s="23"/>
      <c r="KO265" s="23"/>
      <c r="KP265" s="23"/>
      <c r="KQ265" s="23"/>
      <c r="KR265" s="23"/>
      <c r="KS265" s="23"/>
      <c r="KT265" s="23"/>
      <c r="KU265" s="23"/>
      <c r="KV265" s="23"/>
      <c r="KW265" s="23"/>
      <c r="KX265" s="23"/>
      <c r="KY265" s="23"/>
      <c r="KZ265" s="23"/>
      <c r="LA265" s="23"/>
      <c r="LB265" s="23"/>
      <c r="LC265" s="23"/>
      <c r="LD265" s="23"/>
      <c r="LE265" s="23"/>
      <c r="LF265" s="23"/>
      <c r="LG265" s="23"/>
      <c r="LH265" s="23"/>
      <c r="LI265" s="23"/>
      <c r="LJ265" s="23"/>
      <c r="LK265" s="23"/>
      <c r="LL265" s="23"/>
      <c r="LM265" s="23"/>
      <c r="LN265" s="23"/>
      <c r="LO265" s="23"/>
    </row>
    <row r="266" spans="1:327">
      <c r="A266" s="390"/>
      <c r="B266" s="23"/>
      <c r="C266" s="391"/>
      <c r="D266" s="391"/>
      <c r="E266" s="23"/>
      <c r="F266" s="23"/>
      <c r="G266" s="392"/>
      <c r="H266" s="392"/>
      <c r="I266" s="392"/>
      <c r="J266" s="392"/>
      <c r="K266" s="392"/>
      <c r="L266" s="392"/>
      <c r="M266" s="392"/>
      <c r="N266" s="23"/>
      <c r="O266" s="39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  <c r="IR266" s="23"/>
      <c r="IS266" s="23"/>
      <c r="IT266" s="23"/>
      <c r="IU266" s="23"/>
      <c r="IV266" s="23"/>
      <c r="IW266" s="23"/>
      <c r="IX266" s="23"/>
      <c r="IY266" s="23"/>
      <c r="IZ266" s="23"/>
      <c r="JA266" s="23"/>
      <c r="JB266" s="23"/>
      <c r="JC266" s="23"/>
      <c r="JD266" s="23"/>
      <c r="JE266" s="23"/>
      <c r="JF266" s="23"/>
      <c r="JG266" s="23"/>
      <c r="JH266" s="23"/>
      <c r="JI266" s="23"/>
      <c r="JJ266" s="23"/>
      <c r="JK266" s="23"/>
      <c r="JL266" s="23"/>
      <c r="JM266" s="23"/>
      <c r="JN266" s="23"/>
      <c r="JO266" s="23"/>
      <c r="JP266" s="23"/>
      <c r="JQ266" s="23"/>
      <c r="JR266" s="23"/>
      <c r="JS266" s="23"/>
      <c r="JT266" s="23"/>
      <c r="JU266" s="23"/>
      <c r="JV266" s="23"/>
      <c r="JW266" s="23"/>
      <c r="JX266" s="23"/>
      <c r="JY266" s="23"/>
      <c r="JZ266" s="23"/>
      <c r="KA266" s="23"/>
      <c r="KB266" s="23"/>
      <c r="KC266" s="23"/>
      <c r="KD266" s="23"/>
      <c r="KE266" s="23"/>
      <c r="KF266" s="23"/>
      <c r="KG266" s="23"/>
      <c r="KH266" s="23"/>
      <c r="KI266" s="23"/>
      <c r="KJ266" s="23"/>
      <c r="KK266" s="23"/>
      <c r="KL266" s="23"/>
      <c r="KM266" s="23"/>
      <c r="KN266" s="23"/>
      <c r="KO266" s="23"/>
      <c r="KP266" s="23"/>
      <c r="KQ266" s="23"/>
      <c r="KR266" s="23"/>
      <c r="KS266" s="23"/>
      <c r="KT266" s="23"/>
      <c r="KU266" s="23"/>
      <c r="KV266" s="23"/>
      <c r="KW266" s="23"/>
      <c r="KX266" s="23"/>
      <c r="KY266" s="23"/>
      <c r="KZ266" s="23"/>
      <c r="LA266" s="23"/>
      <c r="LB266" s="23"/>
      <c r="LC266" s="23"/>
      <c r="LD266" s="23"/>
      <c r="LE266" s="23"/>
      <c r="LF266" s="23"/>
      <c r="LG266" s="23"/>
      <c r="LH266" s="23"/>
      <c r="LI266" s="23"/>
      <c r="LJ266" s="23"/>
      <c r="LK266" s="23"/>
      <c r="LL266" s="23"/>
      <c r="LM266" s="23"/>
      <c r="LN266" s="23"/>
      <c r="LO266" s="23"/>
    </row>
    <row r="267" spans="1:327">
      <c r="A267" s="390"/>
      <c r="B267" s="23"/>
      <c r="C267" s="391"/>
      <c r="D267" s="391"/>
      <c r="E267" s="23"/>
      <c r="F267" s="23"/>
      <c r="G267" s="392"/>
      <c r="H267" s="392"/>
      <c r="I267" s="392"/>
      <c r="J267" s="392"/>
      <c r="K267" s="392"/>
      <c r="L267" s="392"/>
      <c r="M267" s="392"/>
      <c r="N267" s="23"/>
      <c r="O267" s="39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  <c r="IR267" s="23"/>
      <c r="IS267" s="23"/>
      <c r="IT267" s="23"/>
      <c r="IU267" s="23"/>
      <c r="IV267" s="23"/>
      <c r="IW267" s="23"/>
      <c r="IX267" s="23"/>
      <c r="IY267" s="23"/>
      <c r="IZ267" s="23"/>
      <c r="JA267" s="23"/>
      <c r="JB267" s="23"/>
      <c r="JC267" s="23"/>
      <c r="JD267" s="23"/>
      <c r="JE267" s="23"/>
      <c r="JF267" s="23"/>
      <c r="JG267" s="23"/>
      <c r="JH267" s="23"/>
      <c r="JI267" s="23"/>
      <c r="JJ267" s="23"/>
      <c r="JK267" s="23"/>
      <c r="JL267" s="23"/>
      <c r="JM267" s="23"/>
      <c r="JN267" s="23"/>
      <c r="JO267" s="23"/>
      <c r="JP267" s="23"/>
      <c r="JQ267" s="23"/>
      <c r="JR267" s="23"/>
      <c r="JS267" s="23"/>
      <c r="JT267" s="23"/>
      <c r="JU267" s="23"/>
      <c r="JV267" s="23"/>
      <c r="JW267" s="23"/>
      <c r="JX267" s="23"/>
      <c r="JY267" s="23"/>
      <c r="JZ267" s="23"/>
      <c r="KA267" s="23"/>
      <c r="KB267" s="23"/>
      <c r="KC267" s="23"/>
      <c r="KD267" s="23"/>
      <c r="KE267" s="23"/>
      <c r="KF267" s="23"/>
      <c r="KG267" s="23"/>
      <c r="KH267" s="23"/>
      <c r="KI267" s="23"/>
      <c r="KJ267" s="23"/>
      <c r="KK267" s="23"/>
      <c r="KL267" s="23"/>
      <c r="KM267" s="23"/>
      <c r="KN267" s="23"/>
      <c r="KO267" s="23"/>
      <c r="KP267" s="23"/>
      <c r="KQ267" s="23"/>
      <c r="KR267" s="23"/>
      <c r="KS267" s="23"/>
      <c r="KT267" s="23"/>
      <c r="KU267" s="23"/>
      <c r="KV267" s="23"/>
      <c r="KW267" s="23"/>
      <c r="KX267" s="23"/>
      <c r="KY267" s="23"/>
      <c r="KZ267" s="23"/>
      <c r="LA267" s="23"/>
      <c r="LB267" s="23"/>
      <c r="LC267" s="23"/>
      <c r="LD267" s="23"/>
      <c r="LE267" s="23"/>
      <c r="LF267" s="23"/>
      <c r="LG267" s="23"/>
      <c r="LH267" s="23"/>
      <c r="LI267" s="23"/>
      <c r="LJ267" s="23"/>
      <c r="LK267" s="23"/>
      <c r="LL267" s="23"/>
      <c r="LM267" s="23"/>
      <c r="LN267" s="23"/>
      <c r="LO267" s="23"/>
    </row>
    <row r="268" spans="1:327">
      <c r="A268" s="390"/>
      <c r="B268" s="23"/>
      <c r="C268" s="391"/>
      <c r="D268" s="391"/>
      <c r="E268" s="23"/>
      <c r="F268" s="23"/>
      <c r="G268" s="392"/>
      <c r="H268" s="392"/>
      <c r="I268" s="392"/>
      <c r="J268" s="392"/>
      <c r="K268" s="392"/>
      <c r="L268" s="392"/>
      <c r="M268" s="392"/>
      <c r="N268" s="23"/>
      <c r="O268" s="39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  <c r="IL268" s="23"/>
      <c r="IM268" s="23"/>
      <c r="IN268" s="23"/>
      <c r="IO268" s="23"/>
      <c r="IP268" s="23"/>
      <c r="IQ268" s="23"/>
      <c r="IR268" s="23"/>
      <c r="IS268" s="23"/>
      <c r="IT268" s="23"/>
      <c r="IU268" s="23"/>
      <c r="IV268" s="23"/>
      <c r="IW268" s="23"/>
      <c r="IX268" s="23"/>
      <c r="IY268" s="23"/>
      <c r="IZ268" s="23"/>
      <c r="JA268" s="23"/>
      <c r="JB268" s="23"/>
      <c r="JC268" s="23"/>
      <c r="JD268" s="23"/>
      <c r="JE268" s="23"/>
      <c r="JF268" s="23"/>
      <c r="JG268" s="23"/>
      <c r="JH268" s="23"/>
      <c r="JI268" s="23"/>
      <c r="JJ268" s="23"/>
      <c r="JK268" s="23"/>
      <c r="JL268" s="23"/>
      <c r="JM268" s="23"/>
      <c r="JN268" s="23"/>
      <c r="JO268" s="23"/>
      <c r="JP268" s="23"/>
      <c r="JQ268" s="23"/>
      <c r="JR268" s="23"/>
      <c r="JS268" s="23"/>
      <c r="JT268" s="23"/>
      <c r="JU268" s="23"/>
      <c r="JV268" s="23"/>
      <c r="JW268" s="23"/>
      <c r="JX268" s="23"/>
      <c r="JY268" s="23"/>
      <c r="JZ268" s="23"/>
      <c r="KA268" s="23"/>
      <c r="KB268" s="23"/>
      <c r="KC268" s="23"/>
      <c r="KD268" s="23"/>
      <c r="KE268" s="23"/>
      <c r="KF268" s="23"/>
      <c r="KG268" s="23"/>
      <c r="KH268" s="23"/>
      <c r="KI268" s="23"/>
      <c r="KJ268" s="23"/>
      <c r="KK268" s="23"/>
      <c r="KL268" s="23"/>
      <c r="KM268" s="23"/>
      <c r="KN268" s="23"/>
      <c r="KO268" s="23"/>
      <c r="KP268" s="23"/>
      <c r="KQ268" s="23"/>
      <c r="KR268" s="23"/>
      <c r="KS268" s="23"/>
      <c r="KT268" s="23"/>
      <c r="KU268" s="23"/>
      <c r="KV268" s="23"/>
      <c r="KW268" s="23"/>
      <c r="KX268" s="23"/>
      <c r="KY268" s="23"/>
      <c r="KZ268" s="23"/>
      <c r="LA268" s="23"/>
      <c r="LB268" s="23"/>
      <c r="LC268" s="23"/>
      <c r="LD268" s="23"/>
      <c r="LE268" s="23"/>
      <c r="LF268" s="23"/>
      <c r="LG268" s="23"/>
      <c r="LH268" s="23"/>
      <c r="LI268" s="23"/>
      <c r="LJ268" s="23"/>
      <c r="LK268" s="23"/>
      <c r="LL268" s="23"/>
      <c r="LM268" s="23"/>
      <c r="LN268" s="23"/>
      <c r="LO268" s="23"/>
    </row>
    <row r="269" spans="1:327">
      <c r="A269" s="390"/>
      <c r="B269" s="23"/>
      <c r="C269" s="391"/>
      <c r="D269" s="391"/>
      <c r="E269" s="23"/>
      <c r="F269" s="23"/>
      <c r="G269" s="392"/>
      <c r="H269" s="392"/>
      <c r="I269" s="392"/>
      <c r="J269" s="392"/>
      <c r="K269" s="392"/>
      <c r="L269" s="392"/>
      <c r="M269" s="392"/>
      <c r="N269" s="23"/>
      <c r="O269" s="39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  <c r="IL269" s="23"/>
      <c r="IM269" s="23"/>
      <c r="IN269" s="23"/>
      <c r="IO269" s="23"/>
      <c r="IP269" s="23"/>
      <c r="IQ269" s="23"/>
      <c r="IR269" s="23"/>
      <c r="IS269" s="23"/>
      <c r="IT269" s="23"/>
      <c r="IU269" s="23"/>
      <c r="IV269" s="23"/>
      <c r="IW269" s="23"/>
      <c r="IX269" s="23"/>
      <c r="IY269" s="23"/>
      <c r="IZ269" s="23"/>
      <c r="JA269" s="23"/>
      <c r="JB269" s="23"/>
      <c r="JC269" s="23"/>
      <c r="JD269" s="23"/>
      <c r="JE269" s="23"/>
      <c r="JF269" s="23"/>
      <c r="JG269" s="23"/>
      <c r="JH269" s="23"/>
      <c r="JI269" s="23"/>
      <c r="JJ269" s="23"/>
      <c r="JK269" s="23"/>
      <c r="JL269" s="23"/>
      <c r="JM269" s="23"/>
      <c r="JN269" s="23"/>
      <c r="JO269" s="23"/>
      <c r="JP269" s="23"/>
      <c r="JQ269" s="23"/>
      <c r="JR269" s="23"/>
      <c r="JS269" s="23"/>
      <c r="JT269" s="23"/>
      <c r="JU269" s="23"/>
      <c r="JV269" s="23"/>
      <c r="JW269" s="23"/>
      <c r="JX269" s="23"/>
      <c r="JY269" s="23"/>
      <c r="JZ269" s="23"/>
      <c r="KA269" s="23"/>
      <c r="KB269" s="23"/>
      <c r="KC269" s="23"/>
      <c r="KD269" s="23"/>
      <c r="KE269" s="23"/>
      <c r="KF269" s="23"/>
      <c r="KG269" s="23"/>
      <c r="KH269" s="23"/>
      <c r="KI269" s="23"/>
      <c r="KJ269" s="23"/>
      <c r="KK269" s="23"/>
      <c r="KL269" s="23"/>
      <c r="KM269" s="23"/>
      <c r="KN269" s="23"/>
      <c r="KO269" s="23"/>
      <c r="KP269" s="23"/>
      <c r="KQ269" s="23"/>
      <c r="KR269" s="23"/>
      <c r="KS269" s="23"/>
      <c r="KT269" s="23"/>
      <c r="KU269" s="23"/>
      <c r="KV269" s="23"/>
      <c r="KW269" s="23"/>
      <c r="KX269" s="23"/>
      <c r="KY269" s="23"/>
      <c r="KZ269" s="23"/>
      <c r="LA269" s="23"/>
      <c r="LB269" s="23"/>
      <c r="LC269" s="23"/>
      <c r="LD269" s="23"/>
      <c r="LE269" s="23"/>
      <c r="LF269" s="23"/>
      <c r="LG269" s="23"/>
      <c r="LH269" s="23"/>
      <c r="LI269" s="23"/>
      <c r="LJ269" s="23"/>
      <c r="LK269" s="23"/>
      <c r="LL269" s="23"/>
      <c r="LM269" s="23"/>
      <c r="LN269" s="23"/>
      <c r="LO269" s="23"/>
    </row>
    <row r="270" spans="1:327">
      <c r="A270" s="390"/>
      <c r="B270" s="23"/>
      <c r="C270" s="391"/>
      <c r="D270" s="391"/>
      <c r="E270" s="23"/>
      <c r="F270" s="23"/>
      <c r="G270" s="392"/>
      <c r="H270" s="392"/>
      <c r="I270" s="392"/>
      <c r="J270" s="392"/>
      <c r="K270" s="392"/>
      <c r="L270" s="392"/>
      <c r="M270" s="392"/>
      <c r="N270" s="23"/>
      <c r="O270" s="39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  <c r="IL270" s="23"/>
      <c r="IM270" s="23"/>
      <c r="IN270" s="23"/>
      <c r="IO270" s="23"/>
      <c r="IP270" s="23"/>
      <c r="IQ270" s="23"/>
      <c r="IR270" s="23"/>
      <c r="IS270" s="23"/>
      <c r="IT270" s="23"/>
      <c r="IU270" s="23"/>
      <c r="IV270" s="23"/>
      <c r="IW270" s="23"/>
      <c r="IX270" s="23"/>
      <c r="IY270" s="23"/>
      <c r="IZ270" s="23"/>
      <c r="JA270" s="23"/>
      <c r="JB270" s="23"/>
      <c r="JC270" s="23"/>
      <c r="JD270" s="23"/>
      <c r="JE270" s="23"/>
      <c r="JF270" s="23"/>
      <c r="JG270" s="23"/>
      <c r="JH270" s="23"/>
      <c r="JI270" s="23"/>
      <c r="JJ270" s="23"/>
      <c r="JK270" s="23"/>
      <c r="JL270" s="23"/>
      <c r="JM270" s="23"/>
      <c r="JN270" s="23"/>
      <c r="JO270" s="23"/>
      <c r="JP270" s="23"/>
      <c r="JQ270" s="23"/>
      <c r="JR270" s="23"/>
      <c r="JS270" s="23"/>
      <c r="JT270" s="23"/>
      <c r="JU270" s="23"/>
      <c r="JV270" s="23"/>
      <c r="JW270" s="23"/>
      <c r="JX270" s="23"/>
      <c r="JY270" s="23"/>
      <c r="JZ270" s="23"/>
      <c r="KA270" s="23"/>
      <c r="KB270" s="23"/>
      <c r="KC270" s="23"/>
      <c r="KD270" s="23"/>
      <c r="KE270" s="23"/>
      <c r="KF270" s="23"/>
      <c r="KG270" s="23"/>
      <c r="KH270" s="23"/>
      <c r="KI270" s="23"/>
      <c r="KJ270" s="23"/>
      <c r="KK270" s="23"/>
      <c r="KL270" s="23"/>
      <c r="KM270" s="23"/>
      <c r="KN270" s="23"/>
      <c r="KO270" s="23"/>
      <c r="KP270" s="23"/>
      <c r="KQ270" s="23"/>
      <c r="KR270" s="23"/>
      <c r="KS270" s="23"/>
      <c r="KT270" s="23"/>
      <c r="KU270" s="23"/>
      <c r="KV270" s="23"/>
      <c r="KW270" s="23"/>
      <c r="KX270" s="23"/>
      <c r="KY270" s="23"/>
      <c r="KZ270" s="23"/>
      <c r="LA270" s="23"/>
      <c r="LB270" s="23"/>
      <c r="LC270" s="23"/>
      <c r="LD270" s="23"/>
      <c r="LE270" s="23"/>
      <c r="LF270" s="23"/>
      <c r="LG270" s="23"/>
      <c r="LH270" s="23"/>
      <c r="LI270" s="23"/>
      <c r="LJ270" s="23"/>
      <c r="LK270" s="23"/>
      <c r="LL270" s="23"/>
      <c r="LM270" s="23"/>
      <c r="LN270" s="23"/>
      <c r="LO270" s="23"/>
    </row>
    <row r="271" spans="1:327">
      <c r="A271" s="390"/>
      <c r="B271" s="23"/>
      <c r="C271" s="391"/>
      <c r="D271" s="391"/>
      <c r="E271" s="23"/>
      <c r="F271" s="23"/>
      <c r="G271" s="392"/>
      <c r="H271" s="392"/>
      <c r="I271" s="392"/>
      <c r="J271" s="392"/>
      <c r="K271" s="392"/>
      <c r="L271" s="392"/>
      <c r="M271" s="392"/>
      <c r="N271" s="23"/>
      <c r="O271" s="39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  <c r="IL271" s="23"/>
      <c r="IM271" s="23"/>
      <c r="IN271" s="23"/>
      <c r="IO271" s="23"/>
      <c r="IP271" s="23"/>
      <c r="IQ271" s="23"/>
      <c r="IR271" s="23"/>
      <c r="IS271" s="23"/>
      <c r="IT271" s="23"/>
      <c r="IU271" s="23"/>
      <c r="IV271" s="23"/>
      <c r="IW271" s="23"/>
      <c r="IX271" s="23"/>
      <c r="IY271" s="23"/>
      <c r="IZ271" s="23"/>
      <c r="JA271" s="23"/>
      <c r="JB271" s="23"/>
      <c r="JC271" s="23"/>
      <c r="JD271" s="23"/>
      <c r="JE271" s="23"/>
      <c r="JF271" s="23"/>
      <c r="JG271" s="23"/>
      <c r="JH271" s="23"/>
      <c r="JI271" s="23"/>
      <c r="JJ271" s="23"/>
      <c r="JK271" s="23"/>
      <c r="JL271" s="23"/>
      <c r="JM271" s="23"/>
      <c r="JN271" s="23"/>
      <c r="JO271" s="23"/>
      <c r="JP271" s="23"/>
      <c r="JQ271" s="23"/>
      <c r="JR271" s="23"/>
      <c r="JS271" s="23"/>
      <c r="JT271" s="23"/>
      <c r="JU271" s="23"/>
      <c r="JV271" s="23"/>
      <c r="JW271" s="23"/>
      <c r="JX271" s="23"/>
      <c r="JY271" s="23"/>
      <c r="JZ271" s="23"/>
      <c r="KA271" s="23"/>
      <c r="KB271" s="23"/>
      <c r="KC271" s="23"/>
      <c r="KD271" s="23"/>
      <c r="KE271" s="23"/>
      <c r="KF271" s="23"/>
      <c r="KG271" s="23"/>
      <c r="KH271" s="23"/>
      <c r="KI271" s="23"/>
      <c r="KJ271" s="23"/>
      <c r="KK271" s="23"/>
      <c r="KL271" s="23"/>
      <c r="KM271" s="23"/>
      <c r="KN271" s="23"/>
      <c r="KO271" s="23"/>
      <c r="KP271" s="23"/>
      <c r="KQ271" s="23"/>
      <c r="KR271" s="23"/>
      <c r="KS271" s="23"/>
      <c r="KT271" s="23"/>
      <c r="KU271" s="23"/>
      <c r="KV271" s="23"/>
      <c r="KW271" s="23"/>
      <c r="KX271" s="23"/>
      <c r="KY271" s="23"/>
      <c r="KZ271" s="23"/>
      <c r="LA271" s="23"/>
      <c r="LB271" s="23"/>
      <c r="LC271" s="23"/>
      <c r="LD271" s="23"/>
      <c r="LE271" s="23"/>
      <c r="LF271" s="23"/>
      <c r="LG271" s="23"/>
      <c r="LH271" s="23"/>
      <c r="LI271" s="23"/>
      <c r="LJ271" s="23"/>
      <c r="LK271" s="23"/>
      <c r="LL271" s="23"/>
      <c r="LM271" s="23"/>
      <c r="LN271" s="23"/>
      <c r="LO271" s="23"/>
    </row>
    <row r="272" spans="1:327">
      <c r="A272" s="390"/>
      <c r="B272" s="23"/>
      <c r="C272" s="391"/>
      <c r="D272" s="391"/>
      <c r="E272" s="23"/>
      <c r="F272" s="23"/>
      <c r="G272" s="392"/>
      <c r="H272" s="392"/>
      <c r="I272" s="392"/>
      <c r="J272" s="392"/>
      <c r="K272" s="392"/>
      <c r="L272" s="392"/>
      <c r="M272" s="392"/>
      <c r="N272" s="23"/>
      <c r="O272" s="39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  <c r="IL272" s="23"/>
      <c r="IM272" s="23"/>
      <c r="IN272" s="23"/>
      <c r="IO272" s="23"/>
      <c r="IP272" s="23"/>
      <c r="IQ272" s="23"/>
      <c r="IR272" s="23"/>
      <c r="IS272" s="23"/>
      <c r="IT272" s="23"/>
      <c r="IU272" s="23"/>
      <c r="IV272" s="23"/>
      <c r="IW272" s="23"/>
      <c r="IX272" s="23"/>
      <c r="IY272" s="23"/>
      <c r="IZ272" s="23"/>
      <c r="JA272" s="23"/>
      <c r="JB272" s="23"/>
      <c r="JC272" s="23"/>
      <c r="JD272" s="23"/>
      <c r="JE272" s="23"/>
      <c r="JF272" s="23"/>
      <c r="JG272" s="23"/>
      <c r="JH272" s="23"/>
      <c r="JI272" s="23"/>
      <c r="JJ272" s="23"/>
      <c r="JK272" s="23"/>
      <c r="JL272" s="23"/>
      <c r="JM272" s="23"/>
      <c r="JN272" s="23"/>
      <c r="JO272" s="23"/>
      <c r="JP272" s="23"/>
      <c r="JQ272" s="23"/>
      <c r="JR272" s="23"/>
      <c r="JS272" s="23"/>
      <c r="JT272" s="23"/>
      <c r="JU272" s="23"/>
      <c r="JV272" s="23"/>
      <c r="JW272" s="23"/>
      <c r="JX272" s="23"/>
      <c r="JY272" s="23"/>
      <c r="JZ272" s="23"/>
      <c r="KA272" s="23"/>
      <c r="KB272" s="23"/>
      <c r="KC272" s="23"/>
      <c r="KD272" s="23"/>
      <c r="KE272" s="23"/>
      <c r="KF272" s="23"/>
      <c r="KG272" s="23"/>
      <c r="KH272" s="23"/>
      <c r="KI272" s="23"/>
      <c r="KJ272" s="23"/>
      <c r="KK272" s="23"/>
      <c r="KL272" s="23"/>
      <c r="KM272" s="23"/>
      <c r="KN272" s="23"/>
      <c r="KO272" s="23"/>
      <c r="KP272" s="23"/>
      <c r="KQ272" s="23"/>
      <c r="KR272" s="23"/>
      <c r="KS272" s="23"/>
      <c r="KT272" s="23"/>
      <c r="KU272" s="23"/>
      <c r="KV272" s="23"/>
      <c r="KW272" s="23"/>
      <c r="KX272" s="23"/>
      <c r="KY272" s="23"/>
      <c r="KZ272" s="23"/>
      <c r="LA272" s="23"/>
      <c r="LB272" s="23"/>
      <c r="LC272" s="23"/>
      <c r="LD272" s="23"/>
      <c r="LE272" s="23"/>
      <c r="LF272" s="23"/>
      <c r="LG272" s="23"/>
      <c r="LH272" s="23"/>
      <c r="LI272" s="23"/>
      <c r="LJ272" s="23"/>
      <c r="LK272" s="23"/>
      <c r="LL272" s="23"/>
      <c r="LM272" s="23"/>
      <c r="LN272" s="23"/>
      <c r="LO272" s="23"/>
    </row>
    <row r="273" spans="1:327">
      <c r="A273" s="390"/>
      <c r="B273" s="23"/>
      <c r="C273" s="391"/>
      <c r="D273" s="391"/>
      <c r="E273" s="23"/>
      <c r="F273" s="23"/>
      <c r="G273" s="392"/>
      <c r="H273" s="392"/>
      <c r="I273" s="392"/>
      <c r="J273" s="392"/>
      <c r="K273" s="392"/>
      <c r="L273" s="392"/>
      <c r="M273" s="392"/>
      <c r="N273" s="23"/>
      <c r="O273" s="39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  <c r="IL273" s="23"/>
      <c r="IM273" s="23"/>
      <c r="IN273" s="23"/>
      <c r="IO273" s="23"/>
      <c r="IP273" s="23"/>
      <c r="IQ273" s="23"/>
      <c r="IR273" s="23"/>
      <c r="IS273" s="23"/>
      <c r="IT273" s="23"/>
      <c r="IU273" s="23"/>
      <c r="IV273" s="23"/>
      <c r="IW273" s="23"/>
      <c r="IX273" s="23"/>
      <c r="IY273" s="23"/>
      <c r="IZ273" s="23"/>
      <c r="JA273" s="23"/>
      <c r="JB273" s="23"/>
      <c r="JC273" s="23"/>
      <c r="JD273" s="23"/>
      <c r="JE273" s="23"/>
      <c r="JF273" s="23"/>
      <c r="JG273" s="23"/>
      <c r="JH273" s="23"/>
      <c r="JI273" s="23"/>
      <c r="JJ273" s="23"/>
      <c r="JK273" s="23"/>
      <c r="JL273" s="23"/>
      <c r="JM273" s="23"/>
      <c r="JN273" s="23"/>
      <c r="JO273" s="23"/>
      <c r="JP273" s="23"/>
      <c r="JQ273" s="23"/>
      <c r="JR273" s="23"/>
      <c r="JS273" s="23"/>
      <c r="JT273" s="23"/>
      <c r="JU273" s="23"/>
      <c r="JV273" s="23"/>
      <c r="JW273" s="23"/>
      <c r="JX273" s="23"/>
      <c r="JY273" s="23"/>
      <c r="JZ273" s="23"/>
      <c r="KA273" s="23"/>
      <c r="KB273" s="23"/>
      <c r="KC273" s="23"/>
      <c r="KD273" s="23"/>
      <c r="KE273" s="23"/>
      <c r="KF273" s="23"/>
      <c r="KG273" s="23"/>
      <c r="KH273" s="23"/>
      <c r="KI273" s="23"/>
      <c r="KJ273" s="23"/>
      <c r="KK273" s="23"/>
      <c r="KL273" s="23"/>
      <c r="KM273" s="23"/>
      <c r="KN273" s="23"/>
      <c r="KO273" s="23"/>
      <c r="KP273" s="23"/>
      <c r="KQ273" s="23"/>
      <c r="KR273" s="23"/>
      <c r="KS273" s="23"/>
      <c r="KT273" s="23"/>
      <c r="KU273" s="23"/>
      <c r="KV273" s="23"/>
      <c r="KW273" s="23"/>
      <c r="KX273" s="23"/>
      <c r="KY273" s="23"/>
      <c r="KZ273" s="23"/>
      <c r="LA273" s="23"/>
      <c r="LB273" s="23"/>
      <c r="LC273" s="23"/>
      <c r="LD273" s="23"/>
      <c r="LE273" s="23"/>
      <c r="LF273" s="23"/>
      <c r="LG273" s="23"/>
      <c r="LH273" s="23"/>
      <c r="LI273" s="23"/>
      <c r="LJ273" s="23"/>
      <c r="LK273" s="23"/>
      <c r="LL273" s="23"/>
      <c r="LM273" s="23"/>
      <c r="LN273" s="23"/>
      <c r="LO273" s="23"/>
    </row>
    <row r="274" spans="1:327">
      <c r="A274" s="390"/>
      <c r="B274" s="23"/>
      <c r="C274" s="391"/>
      <c r="D274" s="391"/>
      <c r="E274" s="23"/>
      <c r="F274" s="23"/>
      <c r="G274" s="392"/>
      <c r="H274" s="392"/>
      <c r="I274" s="392"/>
      <c r="J274" s="392"/>
      <c r="K274" s="392"/>
      <c r="L274" s="392"/>
      <c r="M274" s="392"/>
      <c r="N274" s="23"/>
      <c r="O274" s="39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  <c r="IL274" s="23"/>
      <c r="IM274" s="23"/>
      <c r="IN274" s="23"/>
      <c r="IO274" s="23"/>
      <c r="IP274" s="23"/>
      <c r="IQ274" s="23"/>
      <c r="IR274" s="23"/>
      <c r="IS274" s="23"/>
      <c r="IT274" s="23"/>
      <c r="IU274" s="23"/>
      <c r="IV274" s="23"/>
      <c r="IW274" s="23"/>
      <c r="IX274" s="23"/>
      <c r="IY274" s="23"/>
      <c r="IZ274" s="23"/>
      <c r="JA274" s="23"/>
      <c r="JB274" s="23"/>
      <c r="JC274" s="23"/>
      <c r="JD274" s="23"/>
      <c r="JE274" s="23"/>
      <c r="JF274" s="23"/>
      <c r="JG274" s="23"/>
      <c r="JH274" s="23"/>
      <c r="JI274" s="23"/>
      <c r="JJ274" s="23"/>
      <c r="JK274" s="23"/>
      <c r="JL274" s="23"/>
      <c r="JM274" s="23"/>
      <c r="JN274" s="23"/>
      <c r="JO274" s="23"/>
      <c r="JP274" s="23"/>
      <c r="JQ274" s="23"/>
      <c r="JR274" s="23"/>
      <c r="JS274" s="23"/>
      <c r="JT274" s="23"/>
      <c r="JU274" s="23"/>
      <c r="JV274" s="23"/>
      <c r="JW274" s="23"/>
      <c r="JX274" s="23"/>
      <c r="JY274" s="23"/>
      <c r="JZ274" s="23"/>
      <c r="KA274" s="23"/>
      <c r="KB274" s="23"/>
      <c r="KC274" s="23"/>
      <c r="KD274" s="23"/>
      <c r="KE274" s="23"/>
      <c r="KF274" s="23"/>
      <c r="KG274" s="23"/>
      <c r="KH274" s="23"/>
      <c r="KI274" s="23"/>
      <c r="KJ274" s="23"/>
      <c r="KK274" s="23"/>
      <c r="KL274" s="23"/>
      <c r="KM274" s="23"/>
      <c r="KN274" s="23"/>
      <c r="KO274" s="23"/>
      <c r="KP274" s="23"/>
      <c r="KQ274" s="23"/>
      <c r="KR274" s="23"/>
      <c r="KS274" s="23"/>
      <c r="KT274" s="23"/>
      <c r="KU274" s="23"/>
      <c r="KV274" s="23"/>
      <c r="KW274" s="23"/>
      <c r="KX274" s="23"/>
      <c r="KY274" s="23"/>
      <c r="KZ274" s="23"/>
      <c r="LA274" s="23"/>
      <c r="LB274" s="23"/>
      <c r="LC274" s="23"/>
      <c r="LD274" s="23"/>
      <c r="LE274" s="23"/>
      <c r="LF274" s="23"/>
      <c r="LG274" s="23"/>
      <c r="LH274" s="23"/>
      <c r="LI274" s="23"/>
      <c r="LJ274" s="23"/>
      <c r="LK274" s="23"/>
      <c r="LL274" s="23"/>
      <c r="LM274" s="23"/>
      <c r="LN274" s="23"/>
      <c r="LO274" s="23"/>
    </row>
    <row r="275" spans="1:327">
      <c r="A275" s="390"/>
      <c r="B275" s="23"/>
      <c r="C275" s="391"/>
      <c r="D275" s="391"/>
      <c r="E275" s="23"/>
      <c r="F275" s="23"/>
      <c r="G275" s="392"/>
      <c r="H275" s="392"/>
      <c r="I275" s="392"/>
      <c r="J275" s="392"/>
      <c r="K275" s="392"/>
      <c r="L275" s="392"/>
      <c r="M275" s="392"/>
      <c r="N275" s="23"/>
      <c r="O275" s="39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  <c r="IL275" s="23"/>
      <c r="IM275" s="23"/>
      <c r="IN275" s="23"/>
      <c r="IO275" s="23"/>
      <c r="IP275" s="23"/>
      <c r="IQ275" s="23"/>
      <c r="IR275" s="23"/>
      <c r="IS275" s="23"/>
      <c r="IT275" s="23"/>
      <c r="IU275" s="23"/>
      <c r="IV275" s="23"/>
      <c r="IW275" s="23"/>
      <c r="IX275" s="23"/>
      <c r="IY275" s="23"/>
      <c r="IZ275" s="23"/>
      <c r="JA275" s="23"/>
      <c r="JB275" s="23"/>
      <c r="JC275" s="23"/>
      <c r="JD275" s="23"/>
      <c r="JE275" s="23"/>
      <c r="JF275" s="23"/>
      <c r="JG275" s="23"/>
      <c r="JH275" s="23"/>
      <c r="JI275" s="23"/>
      <c r="JJ275" s="23"/>
      <c r="JK275" s="23"/>
      <c r="JL275" s="23"/>
      <c r="JM275" s="23"/>
      <c r="JN275" s="23"/>
      <c r="JO275" s="23"/>
      <c r="JP275" s="23"/>
      <c r="JQ275" s="23"/>
      <c r="JR275" s="23"/>
      <c r="JS275" s="23"/>
      <c r="JT275" s="23"/>
      <c r="JU275" s="23"/>
      <c r="JV275" s="23"/>
      <c r="JW275" s="23"/>
      <c r="JX275" s="23"/>
      <c r="JY275" s="23"/>
      <c r="JZ275" s="23"/>
      <c r="KA275" s="23"/>
      <c r="KB275" s="23"/>
      <c r="KC275" s="23"/>
      <c r="KD275" s="23"/>
      <c r="KE275" s="23"/>
      <c r="KF275" s="23"/>
      <c r="KG275" s="23"/>
      <c r="KH275" s="23"/>
      <c r="KI275" s="23"/>
      <c r="KJ275" s="23"/>
      <c r="KK275" s="23"/>
      <c r="KL275" s="23"/>
      <c r="KM275" s="23"/>
      <c r="KN275" s="23"/>
      <c r="KO275" s="23"/>
      <c r="KP275" s="23"/>
      <c r="KQ275" s="23"/>
      <c r="KR275" s="23"/>
      <c r="KS275" s="23"/>
      <c r="KT275" s="23"/>
      <c r="KU275" s="23"/>
      <c r="KV275" s="23"/>
      <c r="KW275" s="23"/>
      <c r="KX275" s="23"/>
      <c r="KY275" s="23"/>
      <c r="KZ275" s="23"/>
      <c r="LA275" s="23"/>
      <c r="LB275" s="23"/>
      <c r="LC275" s="23"/>
      <c r="LD275" s="23"/>
      <c r="LE275" s="23"/>
      <c r="LF275" s="23"/>
      <c r="LG275" s="23"/>
      <c r="LH275" s="23"/>
      <c r="LI275" s="23"/>
      <c r="LJ275" s="23"/>
      <c r="LK275" s="23"/>
      <c r="LL275" s="23"/>
      <c r="LM275" s="23"/>
      <c r="LN275" s="23"/>
      <c r="LO275" s="23"/>
    </row>
    <row r="276" spans="1:327">
      <c r="A276" s="390"/>
      <c r="B276" s="23"/>
      <c r="C276" s="391"/>
      <c r="D276" s="391"/>
      <c r="E276" s="23"/>
      <c r="F276" s="23"/>
      <c r="G276" s="392"/>
      <c r="H276" s="392"/>
      <c r="I276" s="392"/>
      <c r="J276" s="392"/>
      <c r="K276" s="392"/>
      <c r="L276" s="392"/>
      <c r="M276" s="392"/>
      <c r="N276" s="23"/>
      <c r="O276" s="39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  <c r="IL276" s="23"/>
      <c r="IM276" s="23"/>
      <c r="IN276" s="23"/>
      <c r="IO276" s="23"/>
      <c r="IP276" s="23"/>
      <c r="IQ276" s="23"/>
      <c r="IR276" s="23"/>
      <c r="IS276" s="23"/>
      <c r="IT276" s="23"/>
      <c r="IU276" s="23"/>
      <c r="IV276" s="23"/>
      <c r="IW276" s="23"/>
      <c r="IX276" s="23"/>
      <c r="IY276" s="23"/>
      <c r="IZ276" s="23"/>
      <c r="JA276" s="23"/>
      <c r="JB276" s="23"/>
      <c r="JC276" s="23"/>
      <c r="JD276" s="23"/>
      <c r="JE276" s="23"/>
      <c r="JF276" s="23"/>
      <c r="JG276" s="23"/>
      <c r="JH276" s="23"/>
      <c r="JI276" s="23"/>
      <c r="JJ276" s="23"/>
      <c r="JK276" s="23"/>
      <c r="JL276" s="23"/>
      <c r="JM276" s="23"/>
      <c r="JN276" s="23"/>
      <c r="JO276" s="23"/>
      <c r="JP276" s="23"/>
      <c r="JQ276" s="23"/>
      <c r="JR276" s="23"/>
      <c r="JS276" s="23"/>
      <c r="JT276" s="23"/>
      <c r="JU276" s="23"/>
      <c r="JV276" s="23"/>
      <c r="JW276" s="23"/>
      <c r="JX276" s="23"/>
      <c r="JY276" s="23"/>
      <c r="JZ276" s="23"/>
      <c r="KA276" s="23"/>
      <c r="KB276" s="23"/>
      <c r="KC276" s="23"/>
      <c r="KD276" s="23"/>
      <c r="KE276" s="23"/>
      <c r="KF276" s="23"/>
      <c r="KG276" s="23"/>
      <c r="KH276" s="23"/>
      <c r="KI276" s="23"/>
      <c r="KJ276" s="23"/>
      <c r="KK276" s="23"/>
      <c r="KL276" s="23"/>
      <c r="KM276" s="23"/>
      <c r="KN276" s="23"/>
      <c r="KO276" s="23"/>
      <c r="KP276" s="23"/>
      <c r="KQ276" s="23"/>
      <c r="KR276" s="23"/>
      <c r="KS276" s="23"/>
      <c r="KT276" s="23"/>
      <c r="KU276" s="23"/>
      <c r="KV276" s="23"/>
      <c r="KW276" s="23"/>
      <c r="KX276" s="23"/>
      <c r="KY276" s="23"/>
      <c r="KZ276" s="23"/>
      <c r="LA276" s="23"/>
      <c r="LB276" s="23"/>
      <c r="LC276" s="23"/>
      <c r="LD276" s="23"/>
      <c r="LE276" s="23"/>
      <c r="LF276" s="23"/>
      <c r="LG276" s="23"/>
      <c r="LH276" s="23"/>
      <c r="LI276" s="23"/>
      <c r="LJ276" s="23"/>
      <c r="LK276" s="23"/>
      <c r="LL276" s="23"/>
      <c r="LM276" s="23"/>
      <c r="LN276" s="23"/>
      <c r="LO276" s="23"/>
    </row>
    <row r="277" spans="1:327">
      <c r="A277" s="390"/>
      <c r="B277" s="23"/>
      <c r="C277" s="391"/>
      <c r="D277" s="391"/>
      <c r="E277" s="23"/>
      <c r="F277" s="23"/>
      <c r="G277" s="392"/>
      <c r="H277" s="392"/>
      <c r="I277" s="392"/>
      <c r="J277" s="392"/>
      <c r="K277" s="392"/>
      <c r="L277" s="392"/>
      <c r="M277" s="392"/>
      <c r="N277" s="23"/>
      <c r="O277" s="39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  <c r="IL277" s="23"/>
      <c r="IM277" s="23"/>
      <c r="IN277" s="23"/>
      <c r="IO277" s="23"/>
      <c r="IP277" s="23"/>
      <c r="IQ277" s="23"/>
      <c r="IR277" s="23"/>
      <c r="IS277" s="23"/>
      <c r="IT277" s="23"/>
      <c r="IU277" s="23"/>
      <c r="IV277" s="23"/>
      <c r="IW277" s="23"/>
      <c r="IX277" s="23"/>
      <c r="IY277" s="23"/>
      <c r="IZ277" s="23"/>
      <c r="JA277" s="23"/>
      <c r="JB277" s="23"/>
      <c r="JC277" s="23"/>
      <c r="JD277" s="23"/>
      <c r="JE277" s="23"/>
      <c r="JF277" s="23"/>
      <c r="JG277" s="23"/>
      <c r="JH277" s="23"/>
      <c r="JI277" s="23"/>
      <c r="JJ277" s="23"/>
      <c r="JK277" s="23"/>
      <c r="JL277" s="23"/>
      <c r="JM277" s="23"/>
      <c r="JN277" s="23"/>
      <c r="JO277" s="23"/>
      <c r="JP277" s="23"/>
      <c r="JQ277" s="23"/>
      <c r="JR277" s="23"/>
      <c r="JS277" s="23"/>
      <c r="JT277" s="23"/>
      <c r="JU277" s="23"/>
      <c r="JV277" s="23"/>
      <c r="JW277" s="23"/>
      <c r="JX277" s="23"/>
      <c r="JY277" s="23"/>
      <c r="JZ277" s="23"/>
      <c r="KA277" s="23"/>
      <c r="KB277" s="23"/>
      <c r="KC277" s="23"/>
      <c r="KD277" s="23"/>
      <c r="KE277" s="23"/>
      <c r="KF277" s="23"/>
      <c r="KG277" s="23"/>
      <c r="KH277" s="23"/>
      <c r="KI277" s="23"/>
      <c r="KJ277" s="23"/>
      <c r="KK277" s="23"/>
      <c r="KL277" s="23"/>
      <c r="KM277" s="23"/>
      <c r="KN277" s="23"/>
      <c r="KO277" s="23"/>
      <c r="KP277" s="23"/>
      <c r="KQ277" s="23"/>
      <c r="KR277" s="23"/>
      <c r="KS277" s="23"/>
      <c r="KT277" s="23"/>
      <c r="KU277" s="23"/>
      <c r="KV277" s="23"/>
      <c r="KW277" s="23"/>
      <c r="KX277" s="23"/>
      <c r="KY277" s="23"/>
      <c r="KZ277" s="23"/>
      <c r="LA277" s="23"/>
      <c r="LB277" s="23"/>
      <c r="LC277" s="23"/>
      <c r="LD277" s="23"/>
      <c r="LE277" s="23"/>
      <c r="LF277" s="23"/>
      <c r="LG277" s="23"/>
      <c r="LH277" s="23"/>
      <c r="LI277" s="23"/>
      <c r="LJ277" s="23"/>
      <c r="LK277" s="23"/>
      <c r="LL277" s="23"/>
      <c r="LM277" s="23"/>
      <c r="LN277" s="23"/>
      <c r="LO277" s="23"/>
    </row>
    <row r="278" spans="1:327">
      <c r="A278" s="390"/>
      <c r="B278" s="23"/>
      <c r="C278" s="391"/>
      <c r="D278" s="391"/>
      <c r="E278" s="23"/>
      <c r="F278" s="23"/>
      <c r="G278" s="392"/>
      <c r="H278" s="392"/>
      <c r="I278" s="392"/>
      <c r="J278" s="392"/>
      <c r="K278" s="392"/>
      <c r="L278" s="392"/>
      <c r="M278" s="392"/>
      <c r="N278" s="23"/>
      <c r="O278" s="39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  <c r="IL278" s="23"/>
      <c r="IM278" s="23"/>
      <c r="IN278" s="23"/>
      <c r="IO278" s="23"/>
      <c r="IP278" s="23"/>
      <c r="IQ278" s="23"/>
      <c r="IR278" s="23"/>
      <c r="IS278" s="23"/>
      <c r="IT278" s="23"/>
      <c r="IU278" s="23"/>
      <c r="IV278" s="23"/>
      <c r="IW278" s="23"/>
      <c r="IX278" s="23"/>
      <c r="IY278" s="23"/>
      <c r="IZ278" s="23"/>
      <c r="JA278" s="23"/>
      <c r="JB278" s="23"/>
      <c r="JC278" s="23"/>
      <c r="JD278" s="23"/>
      <c r="JE278" s="23"/>
      <c r="JF278" s="23"/>
      <c r="JG278" s="23"/>
      <c r="JH278" s="23"/>
      <c r="JI278" s="23"/>
      <c r="JJ278" s="23"/>
      <c r="JK278" s="23"/>
      <c r="JL278" s="23"/>
      <c r="JM278" s="23"/>
      <c r="JN278" s="23"/>
      <c r="JO278" s="23"/>
      <c r="JP278" s="23"/>
      <c r="JQ278" s="23"/>
      <c r="JR278" s="23"/>
      <c r="JS278" s="23"/>
      <c r="JT278" s="23"/>
      <c r="JU278" s="23"/>
      <c r="JV278" s="23"/>
      <c r="JW278" s="23"/>
      <c r="JX278" s="23"/>
      <c r="JY278" s="23"/>
      <c r="JZ278" s="23"/>
      <c r="KA278" s="23"/>
      <c r="KB278" s="23"/>
      <c r="KC278" s="23"/>
      <c r="KD278" s="23"/>
      <c r="KE278" s="23"/>
      <c r="KF278" s="23"/>
      <c r="KG278" s="23"/>
      <c r="KH278" s="23"/>
      <c r="KI278" s="23"/>
      <c r="KJ278" s="23"/>
      <c r="KK278" s="23"/>
      <c r="KL278" s="23"/>
      <c r="KM278" s="23"/>
      <c r="KN278" s="23"/>
      <c r="KO278" s="23"/>
      <c r="KP278" s="23"/>
      <c r="KQ278" s="23"/>
      <c r="KR278" s="23"/>
      <c r="KS278" s="23"/>
      <c r="KT278" s="23"/>
      <c r="KU278" s="23"/>
      <c r="KV278" s="23"/>
      <c r="KW278" s="23"/>
      <c r="KX278" s="23"/>
      <c r="KY278" s="23"/>
      <c r="KZ278" s="23"/>
      <c r="LA278" s="23"/>
      <c r="LB278" s="23"/>
      <c r="LC278" s="23"/>
      <c r="LD278" s="23"/>
      <c r="LE278" s="23"/>
      <c r="LF278" s="23"/>
      <c r="LG278" s="23"/>
      <c r="LH278" s="23"/>
      <c r="LI278" s="23"/>
      <c r="LJ278" s="23"/>
      <c r="LK278" s="23"/>
      <c r="LL278" s="23"/>
      <c r="LM278" s="23"/>
      <c r="LN278" s="23"/>
      <c r="LO278" s="23"/>
    </row>
    <row r="279" spans="1:327">
      <c r="A279" s="390"/>
      <c r="B279" s="23"/>
      <c r="C279" s="391"/>
      <c r="D279" s="391"/>
      <c r="E279" s="23"/>
      <c r="F279" s="23"/>
      <c r="G279" s="392"/>
      <c r="H279" s="392"/>
      <c r="I279" s="392"/>
      <c r="J279" s="392"/>
      <c r="K279" s="392"/>
      <c r="L279" s="392"/>
      <c r="M279" s="392"/>
      <c r="N279" s="23"/>
      <c r="O279" s="39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  <c r="IL279" s="23"/>
      <c r="IM279" s="23"/>
      <c r="IN279" s="23"/>
      <c r="IO279" s="23"/>
      <c r="IP279" s="23"/>
      <c r="IQ279" s="23"/>
      <c r="IR279" s="23"/>
      <c r="IS279" s="23"/>
      <c r="IT279" s="23"/>
      <c r="IU279" s="23"/>
      <c r="IV279" s="23"/>
      <c r="IW279" s="23"/>
      <c r="IX279" s="23"/>
      <c r="IY279" s="23"/>
      <c r="IZ279" s="23"/>
      <c r="JA279" s="23"/>
      <c r="JB279" s="23"/>
      <c r="JC279" s="23"/>
      <c r="JD279" s="23"/>
      <c r="JE279" s="23"/>
      <c r="JF279" s="23"/>
      <c r="JG279" s="23"/>
      <c r="JH279" s="23"/>
      <c r="JI279" s="23"/>
      <c r="JJ279" s="23"/>
      <c r="JK279" s="23"/>
      <c r="JL279" s="23"/>
      <c r="JM279" s="23"/>
      <c r="JN279" s="23"/>
      <c r="JO279" s="23"/>
      <c r="JP279" s="23"/>
      <c r="JQ279" s="23"/>
      <c r="JR279" s="23"/>
      <c r="JS279" s="23"/>
      <c r="JT279" s="23"/>
      <c r="JU279" s="23"/>
      <c r="JV279" s="23"/>
      <c r="JW279" s="23"/>
      <c r="JX279" s="23"/>
      <c r="JY279" s="23"/>
      <c r="JZ279" s="23"/>
      <c r="KA279" s="23"/>
      <c r="KB279" s="23"/>
      <c r="KC279" s="23"/>
      <c r="KD279" s="23"/>
      <c r="KE279" s="23"/>
      <c r="KF279" s="23"/>
      <c r="KG279" s="23"/>
      <c r="KH279" s="23"/>
      <c r="KI279" s="23"/>
      <c r="KJ279" s="23"/>
      <c r="KK279" s="23"/>
      <c r="KL279" s="23"/>
      <c r="KM279" s="23"/>
      <c r="KN279" s="23"/>
      <c r="KO279" s="23"/>
      <c r="KP279" s="23"/>
      <c r="KQ279" s="23"/>
      <c r="KR279" s="23"/>
      <c r="KS279" s="23"/>
      <c r="KT279" s="23"/>
      <c r="KU279" s="23"/>
      <c r="KV279" s="23"/>
      <c r="KW279" s="23"/>
      <c r="KX279" s="23"/>
      <c r="KY279" s="23"/>
      <c r="KZ279" s="23"/>
      <c r="LA279" s="23"/>
      <c r="LB279" s="23"/>
      <c r="LC279" s="23"/>
      <c r="LD279" s="23"/>
      <c r="LE279" s="23"/>
      <c r="LF279" s="23"/>
      <c r="LG279" s="23"/>
      <c r="LH279" s="23"/>
      <c r="LI279" s="23"/>
      <c r="LJ279" s="23"/>
      <c r="LK279" s="23"/>
      <c r="LL279" s="23"/>
      <c r="LM279" s="23"/>
      <c r="LN279" s="23"/>
      <c r="LO279" s="23"/>
    </row>
    <row r="280" spans="1:327">
      <c r="A280" s="390"/>
      <c r="B280" s="23"/>
      <c r="C280" s="391"/>
      <c r="D280" s="391"/>
      <c r="E280" s="23"/>
      <c r="F280" s="23"/>
      <c r="G280" s="392"/>
      <c r="H280" s="392"/>
      <c r="I280" s="392"/>
      <c r="J280" s="392"/>
      <c r="K280" s="392"/>
      <c r="L280" s="392"/>
      <c r="M280" s="392"/>
      <c r="N280" s="23"/>
      <c r="O280" s="39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  <c r="IL280" s="23"/>
      <c r="IM280" s="23"/>
      <c r="IN280" s="23"/>
      <c r="IO280" s="23"/>
      <c r="IP280" s="23"/>
      <c r="IQ280" s="23"/>
      <c r="IR280" s="23"/>
      <c r="IS280" s="23"/>
      <c r="IT280" s="23"/>
      <c r="IU280" s="23"/>
      <c r="IV280" s="23"/>
      <c r="IW280" s="23"/>
      <c r="IX280" s="23"/>
      <c r="IY280" s="23"/>
      <c r="IZ280" s="23"/>
      <c r="JA280" s="23"/>
      <c r="JB280" s="23"/>
      <c r="JC280" s="23"/>
      <c r="JD280" s="23"/>
      <c r="JE280" s="23"/>
      <c r="JF280" s="23"/>
      <c r="JG280" s="23"/>
      <c r="JH280" s="23"/>
      <c r="JI280" s="23"/>
      <c r="JJ280" s="23"/>
      <c r="JK280" s="23"/>
      <c r="JL280" s="23"/>
      <c r="JM280" s="23"/>
      <c r="JN280" s="23"/>
      <c r="JO280" s="23"/>
      <c r="JP280" s="23"/>
      <c r="JQ280" s="23"/>
      <c r="JR280" s="23"/>
      <c r="JS280" s="23"/>
      <c r="JT280" s="23"/>
      <c r="JU280" s="23"/>
      <c r="JV280" s="23"/>
      <c r="JW280" s="23"/>
      <c r="JX280" s="23"/>
      <c r="JY280" s="23"/>
      <c r="JZ280" s="23"/>
      <c r="KA280" s="23"/>
      <c r="KB280" s="23"/>
      <c r="KC280" s="23"/>
      <c r="KD280" s="23"/>
      <c r="KE280" s="23"/>
      <c r="KF280" s="23"/>
      <c r="KG280" s="23"/>
      <c r="KH280" s="23"/>
      <c r="KI280" s="23"/>
      <c r="KJ280" s="23"/>
      <c r="KK280" s="23"/>
      <c r="KL280" s="23"/>
      <c r="KM280" s="23"/>
      <c r="KN280" s="23"/>
      <c r="KO280" s="23"/>
      <c r="KP280" s="23"/>
      <c r="KQ280" s="23"/>
      <c r="KR280" s="23"/>
      <c r="KS280" s="23"/>
      <c r="KT280" s="23"/>
      <c r="KU280" s="23"/>
      <c r="KV280" s="23"/>
      <c r="KW280" s="23"/>
      <c r="KX280" s="23"/>
      <c r="KY280" s="23"/>
      <c r="KZ280" s="23"/>
      <c r="LA280" s="23"/>
      <c r="LB280" s="23"/>
      <c r="LC280" s="23"/>
      <c r="LD280" s="23"/>
      <c r="LE280" s="23"/>
      <c r="LF280" s="23"/>
      <c r="LG280" s="23"/>
      <c r="LH280" s="23"/>
      <c r="LI280" s="23"/>
      <c r="LJ280" s="23"/>
      <c r="LK280" s="23"/>
      <c r="LL280" s="23"/>
      <c r="LM280" s="23"/>
      <c r="LN280" s="23"/>
      <c r="LO280" s="23"/>
    </row>
    <row r="281" spans="1:327">
      <c r="A281" s="390"/>
      <c r="B281" s="23"/>
      <c r="C281" s="391"/>
      <c r="D281" s="391"/>
      <c r="E281" s="23"/>
      <c r="F281" s="23"/>
      <c r="G281" s="392"/>
      <c r="H281" s="392"/>
      <c r="I281" s="392"/>
      <c r="J281" s="392"/>
      <c r="K281" s="392"/>
      <c r="L281" s="392"/>
      <c r="M281" s="392"/>
      <c r="N281" s="23"/>
      <c r="O281" s="39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  <c r="IL281" s="23"/>
      <c r="IM281" s="23"/>
      <c r="IN281" s="23"/>
      <c r="IO281" s="23"/>
      <c r="IP281" s="23"/>
      <c r="IQ281" s="23"/>
      <c r="IR281" s="23"/>
      <c r="IS281" s="23"/>
      <c r="IT281" s="23"/>
      <c r="IU281" s="23"/>
      <c r="IV281" s="23"/>
      <c r="IW281" s="23"/>
      <c r="IX281" s="23"/>
      <c r="IY281" s="23"/>
      <c r="IZ281" s="23"/>
      <c r="JA281" s="23"/>
      <c r="JB281" s="23"/>
      <c r="JC281" s="23"/>
      <c r="JD281" s="23"/>
      <c r="JE281" s="23"/>
      <c r="JF281" s="23"/>
      <c r="JG281" s="23"/>
      <c r="JH281" s="23"/>
      <c r="JI281" s="23"/>
      <c r="JJ281" s="23"/>
      <c r="JK281" s="23"/>
      <c r="JL281" s="23"/>
      <c r="JM281" s="23"/>
      <c r="JN281" s="23"/>
      <c r="JO281" s="23"/>
      <c r="JP281" s="23"/>
      <c r="JQ281" s="23"/>
      <c r="JR281" s="23"/>
      <c r="JS281" s="23"/>
      <c r="JT281" s="23"/>
      <c r="JU281" s="23"/>
      <c r="JV281" s="23"/>
      <c r="JW281" s="23"/>
      <c r="JX281" s="23"/>
      <c r="JY281" s="23"/>
      <c r="JZ281" s="23"/>
      <c r="KA281" s="23"/>
      <c r="KB281" s="23"/>
      <c r="KC281" s="23"/>
      <c r="KD281" s="23"/>
      <c r="KE281" s="23"/>
      <c r="KF281" s="23"/>
      <c r="KG281" s="23"/>
      <c r="KH281" s="23"/>
      <c r="KI281" s="23"/>
      <c r="KJ281" s="23"/>
      <c r="KK281" s="23"/>
      <c r="KL281" s="23"/>
      <c r="KM281" s="23"/>
      <c r="KN281" s="23"/>
      <c r="KO281" s="23"/>
      <c r="KP281" s="23"/>
      <c r="KQ281" s="23"/>
      <c r="KR281" s="23"/>
      <c r="KS281" s="23"/>
      <c r="KT281" s="23"/>
      <c r="KU281" s="23"/>
      <c r="KV281" s="23"/>
      <c r="KW281" s="23"/>
      <c r="KX281" s="23"/>
      <c r="KY281" s="23"/>
      <c r="KZ281" s="23"/>
      <c r="LA281" s="23"/>
      <c r="LB281" s="23"/>
      <c r="LC281" s="23"/>
      <c r="LD281" s="23"/>
      <c r="LE281" s="23"/>
      <c r="LF281" s="23"/>
      <c r="LG281" s="23"/>
      <c r="LH281" s="23"/>
      <c r="LI281" s="23"/>
      <c r="LJ281" s="23"/>
      <c r="LK281" s="23"/>
      <c r="LL281" s="23"/>
      <c r="LM281" s="23"/>
      <c r="LN281" s="23"/>
      <c r="LO281" s="23"/>
    </row>
    <row r="282" spans="1:327">
      <c r="A282" s="390"/>
      <c r="B282" s="23"/>
      <c r="C282" s="391"/>
      <c r="D282" s="391"/>
      <c r="E282" s="23"/>
      <c r="F282" s="23"/>
      <c r="G282" s="392"/>
      <c r="H282" s="392"/>
      <c r="I282" s="392"/>
      <c r="J282" s="392"/>
      <c r="K282" s="392"/>
      <c r="L282" s="392"/>
      <c r="M282" s="392"/>
      <c r="N282" s="23"/>
      <c r="O282" s="39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  <c r="IL282" s="23"/>
      <c r="IM282" s="23"/>
      <c r="IN282" s="23"/>
      <c r="IO282" s="23"/>
      <c r="IP282" s="23"/>
      <c r="IQ282" s="23"/>
      <c r="IR282" s="23"/>
      <c r="IS282" s="23"/>
      <c r="IT282" s="23"/>
      <c r="IU282" s="23"/>
      <c r="IV282" s="23"/>
      <c r="IW282" s="23"/>
      <c r="IX282" s="23"/>
      <c r="IY282" s="23"/>
      <c r="IZ282" s="23"/>
      <c r="JA282" s="23"/>
      <c r="JB282" s="23"/>
      <c r="JC282" s="23"/>
      <c r="JD282" s="23"/>
      <c r="JE282" s="23"/>
      <c r="JF282" s="23"/>
      <c r="JG282" s="23"/>
      <c r="JH282" s="23"/>
      <c r="JI282" s="23"/>
      <c r="JJ282" s="23"/>
      <c r="JK282" s="23"/>
      <c r="JL282" s="23"/>
      <c r="JM282" s="23"/>
      <c r="JN282" s="23"/>
      <c r="JO282" s="23"/>
      <c r="JP282" s="23"/>
      <c r="JQ282" s="23"/>
      <c r="JR282" s="23"/>
      <c r="JS282" s="23"/>
      <c r="JT282" s="23"/>
      <c r="JU282" s="23"/>
      <c r="JV282" s="23"/>
      <c r="JW282" s="23"/>
      <c r="JX282" s="23"/>
      <c r="JY282" s="23"/>
      <c r="JZ282" s="23"/>
      <c r="KA282" s="23"/>
      <c r="KB282" s="23"/>
      <c r="KC282" s="23"/>
      <c r="KD282" s="23"/>
      <c r="KE282" s="23"/>
      <c r="KF282" s="23"/>
      <c r="KG282" s="23"/>
      <c r="KH282" s="23"/>
      <c r="KI282" s="23"/>
      <c r="KJ282" s="23"/>
      <c r="KK282" s="23"/>
      <c r="KL282" s="23"/>
      <c r="KM282" s="23"/>
      <c r="KN282" s="23"/>
      <c r="KO282" s="23"/>
      <c r="KP282" s="23"/>
      <c r="KQ282" s="23"/>
      <c r="KR282" s="23"/>
      <c r="KS282" s="23"/>
      <c r="KT282" s="23"/>
      <c r="KU282" s="23"/>
      <c r="KV282" s="23"/>
      <c r="KW282" s="23"/>
      <c r="KX282" s="23"/>
      <c r="KY282" s="23"/>
      <c r="KZ282" s="23"/>
      <c r="LA282" s="23"/>
      <c r="LB282" s="23"/>
      <c r="LC282" s="23"/>
      <c r="LD282" s="23"/>
      <c r="LE282" s="23"/>
      <c r="LF282" s="23"/>
      <c r="LG282" s="23"/>
      <c r="LH282" s="23"/>
      <c r="LI282" s="23"/>
      <c r="LJ282" s="23"/>
      <c r="LK282" s="23"/>
      <c r="LL282" s="23"/>
      <c r="LM282" s="23"/>
      <c r="LN282" s="23"/>
      <c r="LO282" s="23"/>
    </row>
    <row r="283" spans="1:327">
      <c r="A283" s="390"/>
      <c r="B283" s="23"/>
      <c r="C283" s="391"/>
      <c r="D283" s="391"/>
      <c r="E283" s="23"/>
      <c r="F283" s="23"/>
      <c r="G283" s="392"/>
      <c r="H283" s="392"/>
      <c r="I283" s="392"/>
      <c r="J283" s="392"/>
      <c r="K283" s="392"/>
      <c r="L283" s="392"/>
      <c r="M283" s="392"/>
      <c r="N283" s="23"/>
      <c r="O283" s="39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  <c r="IL283" s="23"/>
      <c r="IM283" s="23"/>
      <c r="IN283" s="23"/>
      <c r="IO283" s="23"/>
      <c r="IP283" s="23"/>
      <c r="IQ283" s="23"/>
      <c r="IR283" s="23"/>
      <c r="IS283" s="23"/>
      <c r="IT283" s="23"/>
      <c r="IU283" s="23"/>
      <c r="IV283" s="23"/>
      <c r="IW283" s="23"/>
      <c r="IX283" s="23"/>
      <c r="IY283" s="23"/>
      <c r="IZ283" s="23"/>
      <c r="JA283" s="23"/>
      <c r="JB283" s="23"/>
      <c r="JC283" s="23"/>
      <c r="JD283" s="23"/>
      <c r="JE283" s="23"/>
      <c r="JF283" s="23"/>
      <c r="JG283" s="23"/>
      <c r="JH283" s="23"/>
      <c r="JI283" s="23"/>
      <c r="JJ283" s="23"/>
      <c r="JK283" s="23"/>
      <c r="JL283" s="23"/>
      <c r="JM283" s="23"/>
      <c r="JN283" s="23"/>
      <c r="JO283" s="23"/>
      <c r="JP283" s="23"/>
      <c r="JQ283" s="23"/>
      <c r="JR283" s="23"/>
      <c r="JS283" s="23"/>
      <c r="JT283" s="23"/>
      <c r="JU283" s="23"/>
      <c r="JV283" s="23"/>
      <c r="JW283" s="23"/>
      <c r="JX283" s="23"/>
      <c r="JY283" s="23"/>
      <c r="JZ283" s="23"/>
      <c r="KA283" s="23"/>
      <c r="KB283" s="23"/>
      <c r="KC283" s="23"/>
      <c r="KD283" s="23"/>
      <c r="KE283" s="23"/>
      <c r="KF283" s="23"/>
      <c r="KG283" s="23"/>
      <c r="KH283" s="23"/>
      <c r="KI283" s="23"/>
      <c r="KJ283" s="23"/>
      <c r="KK283" s="23"/>
      <c r="KL283" s="23"/>
      <c r="KM283" s="23"/>
      <c r="KN283" s="23"/>
      <c r="KO283" s="23"/>
      <c r="KP283" s="23"/>
      <c r="KQ283" s="23"/>
      <c r="KR283" s="23"/>
      <c r="KS283" s="23"/>
      <c r="KT283" s="23"/>
      <c r="KU283" s="23"/>
      <c r="KV283" s="23"/>
      <c r="KW283" s="23"/>
      <c r="KX283" s="23"/>
      <c r="KY283" s="23"/>
      <c r="KZ283" s="23"/>
      <c r="LA283" s="23"/>
      <c r="LB283" s="23"/>
      <c r="LC283" s="23"/>
      <c r="LD283" s="23"/>
      <c r="LE283" s="23"/>
      <c r="LF283" s="23"/>
      <c r="LG283" s="23"/>
      <c r="LH283" s="23"/>
      <c r="LI283" s="23"/>
      <c r="LJ283" s="23"/>
      <c r="LK283" s="23"/>
      <c r="LL283" s="23"/>
      <c r="LM283" s="23"/>
      <c r="LN283" s="23"/>
      <c r="LO283" s="23"/>
    </row>
    <row r="284" spans="1:327">
      <c r="A284" s="390"/>
      <c r="B284" s="23"/>
      <c r="C284" s="391"/>
      <c r="D284" s="391"/>
      <c r="E284" s="23"/>
      <c r="F284" s="23"/>
      <c r="G284" s="392"/>
      <c r="H284" s="392"/>
      <c r="I284" s="392"/>
      <c r="J284" s="392"/>
      <c r="K284" s="392"/>
      <c r="L284" s="392"/>
      <c r="M284" s="392"/>
      <c r="N284" s="23"/>
      <c r="O284" s="39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  <c r="IL284" s="23"/>
      <c r="IM284" s="23"/>
      <c r="IN284" s="23"/>
      <c r="IO284" s="23"/>
      <c r="IP284" s="23"/>
      <c r="IQ284" s="23"/>
      <c r="IR284" s="23"/>
      <c r="IS284" s="23"/>
      <c r="IT284" s="23"/>
      <c r="IU284" s="23"/>
      <c r="IV284" s="23"/>
      <c r="IW284" s="23"/>
      <c r="IX284" s="23"/>
      <c r="IY284" s="23"/>
      <c r="IZ284" s="23"/>
      <c r="JA284" s="23"/>
      <c r="JB284" s="23"/>
      <c r="JC284" s="23"/>
      <c r="JD284" s="23"/>
      <c r="JE284" s="23"/>
      <c r="JF284" s="23"/>
      <c r="JG284" s="23"/>
      <c r="JH284" s="23"/>
      <c r="JI284" s="23"/>
      <c r="JJ284" s="23"/>
      <c r="JK284" s="23"/>
      <c r="JL284" s="23"/>
      <c r="JM284" s="23"/>
      <c r="JN284" s="23"/>
      <c r="JO284" s="23"/>
      <c r="JP284" s="23"/>
      <c r="JQ284" s="23"/>
      <c r="JR284" s="23"/>
      <c r="JS284" s="23"/>
      <c r="JT284" s="23"/>
      <c r="JU284" s="23"/>
      <c r="JV284" s="23"/>
      <c r="JW284" s="23"/>
      <c r="JX284" s="23"/>
      <c r="JY284" s="23"/>
      <c r="JZ284" s="23"/>
      <c r="KA284" s="23"/>
      <c r="KB284" s="23"/>
      <c r="KC284" s="23"/>
      <c r="KD284" s="23"/>
      <c r="KE284" s="23"/>
      <c r="KF284" s="23"/>
      <c r="KG284" s="23"/>
      <c r="KH284" s="23"/>
      <c r="KI284" s="23"/>
      <c r="KJ284" s="23"/>
      <c r="KK284" s="23"/>
      <c r="KL284" s="23"/>
      <c r="KM284" s="23"/>
      <c r="KN284" s="23"/>
      <c r="KO284" s="23"/>
      <c r="KP284" s="23"/>
      <c r="KQ284" s="23"/>
      <c r="KR284" s="23"/>
      <c r="KS284" s="23"/>
      <c r="KT284" s="23"/>
      <c r="KU284" s="23"/>
      <c r="KV284" s="23"/>
      <c r="KW284" s="23"/>
      <c r="KX284" s="23"/>
      <c r="KY284" s="23"/>
      <c r="KZ284" s="23"/>
      <c r="LA284" s="23"/>
      <c r="LB284" s="23"/>
      <c r="LC284" s="23"/>
      <c r="LD284" s="23"/>
      <c r="LE284" s="23"/>
      <c r="LF284" s="23"/>
      <c r="LG284" s="23"/>
      <c r="LH284" s="23"/>
      <c r="LI284" s="23"/>
      <c r="LJ284" s="23"/>
      <c r="LK284" s="23"/>
      <c r="LL284" s="23"/>
      <c r="LM284" s="23"/>
      <c r="LN284" s="23"/>
      <c r="LO284" s="23"/>
    </row>
    <row r="285" spans="1:327">
      <c r="A285" s="390"/>
      <c r="B285" s="23"/>
      <c r="C285" s="391"/>
      <c r="D285" s="391"/>
      <c r="E285" s="23"/>
      <c r="F285" s="23"/>
      <c r="G285" s="392"/>
      <c r="H285" s="392"/>
      <c r="I285" s="392"/>
      <c r="J285" s="392"/>
      <c r="K285" s="392"/>
      <c r="L285" s="392"/>
      <c r="M285" s="392"/>
      <c r="N285" s="23"/>
      <c r="O285" s="39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  <c r="IL285" s="23"/>
      <c r="IM285" s="23"/>
      <c r="IN285" s="23"/>
      <c r="IO285" s="23"/>
      <c r="IP285" s="23"/>
      <c r="IQ285" s="23"/>
      <c r="IR285" s="23"/>
      <c r="IS285" s="23"/>
      <c r="IT285" s="23"/>
      <c r="IU285" s="23"/>
      <c r="IV285" s="23"/>
      <c r="IW285" s="23"/>
      <c r="IX285" s="23"/>
      <c r="IY285" s="23"/>
      <c r="IZ285" s="23"/>
      <c r="JA285" s="23"/>
      <c r="JB285" s="23"/>
      <c r="JC285" s="23"/>
      <c r="JD285" s="23"/>
      <c r="JE285" s="23"/>
      <c r="JF285" s="23"/>
      <c r="JG285" s="23"/>
      <c r="JH285" s="23"/>
      <c r="JI285" s="23"/>
      <c r="JJ285" s="23"/>
      <c r="JK285" s="23"/>
      <c r="JL285" s="23"/>
      <c r="JM285" s="23"/>
      <c r="JN285" s="23"/>
      <c r="JO285" s="23"/>
      <c r="JP285" s="23"/>
      <c r="JQ285" s="23"/>
      <c r="JR285" s="23"/>
      <c r="JS285" s="23"/>
      <c r="JT285" s="23"/>
      <c r="JU285" s="23"/>
      <c r="JV285" s="23"/>
      <c r="JW285" s="23"/>
      <c r="JX285" s="23"/>
      <c r="JY285" s="23"/>
      <c r="JZ285" s="23"/>
      <c r="KA285" s="23"/>
      <c r="KB285" s="23"/>
      <c r="KC285" s="23"/>
      <c r="KD285" s="23"/>
      <c r="KE285" s="23"/>
      <c r="KF285" s="23"/>
      <c r="KG285" s="23"/>
      <c r="KH285" s="23"/>
      <c r="KI285" s="23"/>
      <c r="KJ285" s="23"/>
      <c r="KK285" s="23"/>
      <c r="KL285" s="23"/>
      <c r="KM285" s="23"/>
      <c r="KN285" s="23"/>
      <c r="KO285" s="23"/>
      <c r="KP285" s="23"/>
      <c r="KQ285" s="23"/>
      <c r="KR285" s="23"/>
      <c r="KS285" s="23"/>
      <c r="KT285" s="23"/>
      <c r="KU285" s="23"/>
      <c r="KV285" s="23"/>
      <c r="KW285" s="23"/>
      <c r="KX285" s="23"/>
      <c r="KY285" s="23"/>
      <c r="KZ285" s="23"/>
      <c r="LA285" s="23"/>
      <c r="LB285" s="23"/>
      <c r="LC285" s="23"/>
      <c r="LD285" s="23"/>
      <c r="LE285" s="23"/>
      <c r="LF285" s="23"/>
      <c r="LG285" s="23"/>
      <c r="LH285" s="23"/>
      <c r="LI285" s="23"/>
      <c r="LJ285" s="23"/>
      <c r="LK285" s="23"/>
      <c r="LL285" s="23"/>
      <c r="LM285" s="23"/>
      <c r="LN285" s="23"/>
      <c r="LO285" s="23"/>
    </row>
    <row r="286" spans="1:327">
      <c r="A286" s="390"/>
      <c r="B286" s="23"/>
      <c r="C286" s="391"/>
      <c r="D286" s="391"/>
      <c r="E286" s="23"/>
      <c r="F286" s="23"/>
      <c r="G286" s="392"/>
      <c r="H286" s="392"/>
      <c r="I286" s="392"/>
      <c r="J286" s="392"/>
      <c r="K286" s="392"/>
      <c r="L286" s="392"/>
      <c r="M286" s="392"/>
      <c r="N286" s="23"/>
      <c r="O286" s="39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  <c r="IL286" s="23"/>
      <c r="IM286" s="23"/>
      <c r="IN286" s="23"/>
      <c r="IO286" s="23"/>
      <c r="IP286" s="23"/>
      <c r="IQ286" s="23"/>
      <c r="IR286" s="23"/>
      <c r="IS286" s="23"/>
      <c r="IT286" s="23"/>
      <c r="IU286" s="23"/>
      <c r="IV286" s="23"/>
      <c r="IW286" s="23"/>
      <c r="IX286" s="23"/>
      <c r="IY286" s="23"/>
      <c r="IZ286" s="23"/>
      <c r="JA286" s="23"/>
      <c r="JB286" s="23"/>
      <c r="JC286" s="23"/>
      <c r="JD286" s="23"/>
      <c r="JE286" s="23"/>
      <c r="JF286" s="23"/>
      <c r="JG286" s="23"/>
      <c r="JH286" s="23"/>
      <c r="JI286" s="23"/>
      <c r="JJ286" s="23"/>
      <c r="JK286" s="23"/>
      <c r="JL286" s="23"/>
      <c r="JM286" s="23"/>
      <c r="JN286" s="23"/>
      <c r="JO286" s="23"/>
      <c r="JP286" s="23"/>
      <c r="JQ286" s="23"/>
      <c r="JR286" s="23"/>
      <c r="JS286" s="23"/>
      <c r="JT286" s="23"/>
      <c r="JU286" s="23"/>
      <c r="JV286" s="23"/>
      <c r="JW286" s="23"/>
      <c r="JX286" s="23"/>
      <c r="JY286" s="23"/>
      <c r="JZ286" s="23"/>
      <c r="KA286" s="23"/>
      <c r="KB286" s="23"/>
      <c r="KC286" s="23"/>
      <c r="KD286" s="23"/>
      <c r="KE286" s="23"/>
      <c r="KF286" s="23"/>
      <c r="KG286" s="23"/>
      <c r="KH286" s="23"/>
      <c r="KI286" s="23"/>
      <c r="KJ286" s="23"/>
      <c r="KK286" s="23"/>
      <c r="KL286" s="23"/>
      <c r="KM286" s="23"/>
      <c r="KN286" s="23"/>
      <c r="KO286" s="23"/>
      <c r="KP286" s="23"/>
      <c r="KQ286" s="23"/>
      <c r="KR286" s="23"/>
      <c r="KS286" s="23"/>
      <c r="KT286" s="23"/>
      <c r="KU286" s="23"/>
      <c r="KV286" s="23"/>
      <c r="KW286" s="23"/>
      <c r="KX286" s="23"/>
      <c r="KY286" s="23"/>
      <c r="KZ286" s="23"/>
      <c r="LA286" s="23"/>
      <c r="LB286" s="23"/>
      <c r="LC286" s="23"/>
      <c r="LD286" s="23"/>
      <c r="LE286" s="23"/>
      <c r="LF286" s="23"/>
      <c r="LG286" s="23"/>
      <c r="LH286" s="23"/>
      <c r="LI286" s="23"/>
      <c r="LJ286" s="23"/>
      <c r="LK286" s="23"/>
      <c r="LL286" s="23"/>
      <c r="LM286" s="23"/>
      <c r="LN286" s="23"/>
      <c r="LO286" s="23"/>
    </row>
    <row r="287" spans="1:327">
      <c r="A287" s="390"/>
      <c r="B287" s="23"/>
      <c r="C287" s="391"/>
      <c r="D287" s="391"/>
      <c r="E287" s="23"/>
      <c r="F287" s="23"/>
      <c r="G287" s="392"/>
      <c r="H287" s="392"/>
      <c r="I287" s="392"/>
      <c r="J287" s="392"/>
      <c r="K287" s="392"/>
      <c r="L287" s="392"/>
      <c r="M287" s="392"/>
      <c r="N287" s="23"/>
      <c r="O287" s="39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  <c r="IL287" s="23"/>
      <c r="IM287" s="23"/>
      <c r="IN287" s="23"/>
      <c r="IO287" s="23"/>
      <c r="IP287" s="23"/>
      <c r="IQ287" s="23"/>
      <c r="IR287" s="23"/>
      <c r="IS287" s="23"/>
      <c r="IT287" s="23"/>
      <c r="IU287" s="23"/>
      <c r="IV287" s="23"/>
      <c r="IW287" s="23"/>
      <c r="IX287" s="23"/>
      <c r="IY287" s="23"/>
      <c r="IZ287" s="23"/>
      <c r="JA287" s="23"/>
      <c r="JB287" s="23"/>
      <c r="JC287" s="23"/>
      <c r="JD287" s="23"/>
      <c r="JE287" s="23"/>
      <c r="JF287" s="23"/>
      <c r="JG287" s="23"/>
      <c r="JH287" s="23"/>
      <c r="JI287" s="23"/>
      <c r="JJ287" s="23"/>
      <c r="JK287" s="23"/>
      <c r="JL287" s="23"/>
      <c r="JM287" s="23"/>
      <c r="JN287" s="23"/>
      <c r="JO287" s="23"/>
      <c r="JP287" s="23"/>
      <c r="JQ287" s="23"/>
      <c r="JR287" s="23"/>
      <c r="JS287" s="23"/>
      <c r="JT287" s="23"/>
      <c r="JU287" s="23"/>
      <c r="JV287" s="23"/>
      <c r="JW287" s="23"/>
      <c r="JX287" s="23"/>
      <c r="JY287" s="23"/>
      <c r="JZ287" s="23"/>
      <c r="KA287" s="23"/>
      <c r="KB287" s="23"/>
      <c r="KC287" s="23"/>
      <c r="KD287" s="23"/>
      <c r="KE287" s="23"/>
      <c r="KF287" s="23"/>
      <c r="KG287" s="23"/>
      <c r="KH287" s="23"/>
      <c r="KI287" s="23"/>
      <c r="KJ287" s="23"/>
      <c r="KK287" s="23"/>
      <c r="KL287" s="23"/>
      <c r="KM287" s="23"/>
      <c r="KN287" s="23"/>
      <c r="KO287" s="23"/>
      <c r="KP287" s="23"/>
      <c r="KQ287" s="23"/>
      <c r="KR287" s="23"/>
      <c r="KS287" s="23"/>
      <c r="KT287" s="23"/>
      <c r="KU287" s="23"/>
      <c r="KV287" s="23"/>
      <c r="KW287" s="23"/>
      <c r="KX287" s="23"/>
      <c r="KY287" s="23"/>
      <c r="KZ287" s="23"/>
      <c r="LA287" s="23"/>
      <c r="LB287" s="23"/>
      <c r="LC287" s="23"/>
      <c r="LD287" s="23"/>
      <c r="LE287" s="23"/>
      <c r="LF287" s="23"/>
      <c r="LG287" s="23"/>
      <c r="LH287" s="23"/>
      <c r="LI287" s="23"/>
      <c r="LJ287" s="23"/>
      <c r="LK287" s="23"/>
      <c r="LL287" s="23"/>
      <c r="LM287" s="23"/>
      <c r="LN287" s="23"/>
      <c r="LO287" s="23"/>
    </row>
    <row r="288" spans="1:327">
      <c r="A288" s="390"/>
      <c r="B288" s="23"/>
      <c r="C288" s="391"/>
      <c r="D288" s="391"/>
      <c r="E288" s="23"/>
      <c r="F288" s="23"/>
      <c r="G288" s="392"/>
      <c r="H288" s="392"/>
      <c r="I288" s="392"/>
      <c r="J288" s="392"/>
      <c r="K288" s="392"/>
      <c r="L288" s="392"/>
      <c r="M288" s="392"/>
      <c r="N288" s="23"/>
      <c r="O288" s="39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  <c r="IL288" s="23"/>
      <c r="IM288" s="23"/>
      <c r="IN288" s="23"/>
      <c r="IO288" s="23"/>
      <c r="IP288" s="23"/>
      <c r="IQ288" s="23"/>
      <c r="IR288" s="23"/>
      <c r="IS288" s="23"/>
      <c r="IT288" s="23"/>
      <c r="IU288" s="23"/>
      <c r="IV288" s="23"/>
      <c r="IW288" s="23"/>
      <c r="IX288" s="23"/>
      <c r="IY288" s="23"/>
      <c r="IZ288" s="23"/>
      <c r="JA288" s="23"/>
      <c r="JB288" s="23"/>
      <c r="JC288" s="23"/>
      <c r="JD288" s="23"/>
      <c r="JE288" s="23"/>
      <c r="JF288" s="23"/>
      <c r="JG288" s="23"/>
      <c r="JH288" s="23"/>
      <c r="JI288" s="23"/>
      <c r="JJ288" s="23"/>
      <c r="JK288" s="23"/>
      <c r="JL288" s="23"/>
      <c r="JM288" s="23"/>
      <c r="JN288" s="23"/>
      <c r="JO288" s="23"/>
      <c r="JP288" s="23"/>
      <c r="JQ288" s="23"/>
      <c r="JR288" s="23"/>
      <c r="JS288" s="23"/>
      <c r="JT288" s="23"/>
      <c r="JU288" s="23"/>
      <c r="JV288" s="23"/>
      <c r="JW288" s="23"/>
      <c r="JX288" s="23"/>
      <c r="JY288" s="23"/>
      <c r="JZ288" s="23"/>
      <c r="KA288" s="23"/>
      <c r="KB288" s="23"/>
      <c r="KC288" s="23"/>
      <c r="KD288" s="23"/>
      <c r="KE288" s="23"/>
      <c r="KF288" s="23"/>
      <c r="KG288" s="23"/>
      <c r="KH288" s="23"/>
      <c r="KI288" s="23"/>
      <c r="KJ288" s="23"/>
      <c r="KK288" s="23"/>
      <c r="KL288" s="23"/>
      <c r="KM288" s="23"/>
      <c r="KN288" s="23"/>
      <c r="KO288" s="23"/>
      <c r="KP288" s="23"/>
      <c r="KQ288" s="23"/>
      <c r="KR288" s="23"/>
      <c r="KS288" s="23"/>
      <c r="KT288" s="23"/>
      <c r="KU288" s="23"/>
      <c r="KV288" s="23"/>
      <c r="KW288" s="23"/>
      <c r="KX288" s="23"/>
      <c r="KY288" s="23"/>
      <c r="KZ288" s="23"/>
      <c r="LA288" s="23"/>
      <c r="LB288" s="23"/>
      <c r="LC288" s="23"/>
      <c r="LD288" s="23"/>
      <c r="LE288" s="23"/>
      <c r="LF288" s="23"/>
      <c r="LG288" s="23"/>
      <c r="LH288" s="23"/>
      <c r="LI288" s="23"/>
      <c r="LJ288" s="23"/>
      <c r="LK288" s="23"/>
      <c r="LL288" s="23"/>
      <c r="LM288" s="23"/>
      <c r="LN288" s="23"/>
      <c r="LO288" s="23"/>
    </row>
    <row r="289" spans="1:327">
      <c r="A289" s="390"/>
      <c r="B289" s="23"/>
      <c r="C289" s="391"/>
      <c r="D289" s="391"/>
      <c r="E289" s="23"/>
      <c r="F289" s="23"/>
      <c r="G289" s="392"/>
      <c r="H289" s="392"/>
      <c r="I289" s="392"/>
      <c r="J289" s="392"/>
      <c r="K289" s="392"/>
      <c r="L289" s="392"/>
      <c r="M289" s="392"/>
      <c r="N289" s="23"/>
      <c r="O289" s="39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  <c r="IL289" s="23"/>
      <c r="IM289" s="23"/>
      <c r="IN289" s="23"/>
      <c r="IO289" s="23"/>
      <c r="IP289" s="23"/>
      <c r="IQ289" s="23"/>
      <c r="IR289" s="23"/>
      <c r="IS289" s="23"/>
      <c r="IT289" s="23"/>
      <c r="IU289" s="23"/>
      <c r="IV289" s="23"/>
      <c r="IW289" s="23"/>
      <c r="IX289" s="23"/>
      <c r="IY289" s="23"/>
      <c r="IZ289" s="23"/>
      <c r="JA289" s="23"/>
      <c r="JB289" s="23"/>
      <c r="JC289" s="23"/>
      <c r="JD289" s="23"/>
      <c r="JE289" s="23"/>
      <c r="JF289" s="23"/>
      <c r="JG289" s="23"/>
      <c r="JH289" s="23"/>
      <c r="JI289" s="23"/>
      <c r="JJ289" s="23"/>
      <c r="JK289" s="23"/>
      <c r="JL289" s="23"/>
      <c r="JM289" s="23"/>
      <c r="JN289" s="23"/>
      <c r="JO289" s="23"/>
      <c r="JP289" s="23"/>
      <c r="JQ289" s="23"/>
      <c r="JR289" s="23"/>
      <c r="JS289" s="23"/>
      <c r="JT289" s="23"/>
      <c r="JU289" s="23"/>
      <c r="JV289" s="23"/>
      <c r="JW289" s="23"/>
      <c r="JX289" s="23"/>
      <c r="JY289" s="23"/>
      <c r="JZ289" s="23"/>
      <c r="KA289" s="23"/>
      <c r="KB289" s="23"/>
      <c r="KC289" s="23"/>
      <c r="KD289" s="23"/>
      <c r="KE289" s="23"/>
      <c r="KF289" s="23"/>
      <c r="KG289" s="23"/>
      <c r="KH289" s="23"/>
      <c r="KI289" s="23"/>
      <c r="KJ289" s="23"/>
      <c r="KK289" s="23"/>
      <c r="KL289" s="23"/>
      <c r="KM289" s="23"/>
      <c r="KN289" s="23"/>
      <c r="KO289" s="23"/>
      <c r="KP289" s="23"/>
      <c r="KQ289" s="23"/>
      <c r="KR289" s="23"/>
      <c r="KS289" s="23"/>
      <c r="KT289" s="23"/>
      <c r="KU289" s="23"/>
      <c r="KV289" s="23"/>
      <c r="KW289" s="23"/>
      <c r="KX289" s="23"/>
      <c r="KY289" s="23"/>
      <c r="KZ289" s="23"/>
      <c r="LA289" s="23"/>
      <c r="LB289" s="23"/>
      <c r="LC289" s="23"/>
      <c r="LD289" s="23"/>
      <c r="LE289" s="23"/>
      <c r="LF289" s="23"/>
      <c r="LG289" s="23"/>
      <c r="LH289" s="23"/>
      <c r="LI289" s="23"/>
      <c r="LJ289" s="23"/>
      <c r="LK289" s="23"/>
      <c r="LL289" s="23"/>
      <c r="LM289" s="23"/>
      <c r="LN289" s="23"/>
      <c r="LO289" s="23"/>
    </row>
    <row r="290" spans="1:327">
      <c r="A290" s="390"/>
      <c r="B290" s="23"/>
      <c r="C290" s="391"/>
      <c r="D290" s="391"/>
      <c r="E290" s="23"/>
      <c r="F290" s="23"/>
      <c r="G290" s="392"/>
      <c r="H290" s="392"/>
      <c r="I290" s="392"/>
      <c r="J290" s="392"/>
      <c r="K290" s="392"/>
      <c r="L290" s="392"/>
      <c r="M290" s="392"/>
      <c r="N290" s="23"/>
      <c r="O290" s="39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  <c r="IL290" s="23"/>
      <c r="IM290" s="23"/>
      <c r="IN290" s="23"/>
      <c r="IO290" s="23"/>
      <c r="IP290" s="23"/>
      <c r="IQ290" s="23"/>
      <c r="IR290" s="23"/>
      <c r="IS290" s="23"/>
      <c r="IT290" s="23"/>
      <c r="IU290" s="23"/>
      <c r="IV290" s="23"/>
      <c r="IW290" s="23"/>
      <c r="IX290" s="23"/>
      <c r="IY290" s="23"/>
      <c r="IZ290" s="23"/>
      <c r="JA290" s="23"/>
      <c r="JB290" s="23"/>
      <c r="JC290" s="23"/>
      <c r="JD290" s="23"/>
      <c r="JE290" s="23"/>
      <c r="JF290" s="23"/>
      <c r="JG290" s="23"/>
      <c r="JH290" s="23"/>
      <c r="JI290" s="23"/>
      <c r="JJ290" s="23"/>
      <c r="JK290" s="23"/>
      <c r="JL290" s="23"/>
      <c r="JM290" s="23"/>
      <c r="JN290" s="23"/>
      <c r="JO290" s="23"/>
      <c r="JP290" s="23"/>
      <c r="JQ290" s="23"/>
      <c r="JR290" s="23"/>
      <c r="JS290" s="23"/>
      <c r="JT290" s="23"/>
      <c r="JU290" s="23"/>
      <c r="JV290" s="23"/>
      <c r="JW290" s="23"/>
      <c r="JX290" s="23"/>
      <c r="JY290" s="23"/>
      <c r="JZ290" s="23"/>
      <c r="KA290" s="23"/>
      <c r="KB290" s="23"/>
      <c r="KC290" s="23"/>
      <c r="KD290" s="23"/>
      <c r="KE290" s="23"/>
      <c r="KF290" s="23"/>
      <c r="KG290" s="23"/>
      <c r="KH290" s="23"/>
      <c r="KI290" s="23"/>
      <c r="KJ290" s="23"/>
      <c r="KK290" s="23"/>
      <c r="KL290" s="23"/>
      <c r="KM290" s="23"/>
      <c r="KN290" s="23"/>
      <c r="KO290" s="23"/>
      <c r="KP290" s="23"/>
      <c r="KQ290" s="23"/>
      <c r="KR290" s="23"/>
      <c r="KS290" s="23"/>
      <c r="KT290" s="23"/>
      <c r="KU290" s="23"/>
      <c r="KV290" s="23"/>
      <c r="KW290" s="23"/>
      <c r="KX290" s="23"/>
      <c r="KY290" s="23"/>
      <c r="KZ290" s="23"/>
      <c r="LA290" s="23"/>
      <c r="LB290" s="23"/>
      <c r="LC290" s="23"/>
      <c r="LD290" s="23"/>
      <c r="LE290" s="23"/>
      <c r="LF290" s="23"/>
      <c r="LG290" s="23"/>
      <c r="LH290" s="23"/>
      <c r="LI290" s="23"/>
      <c r="LJ290" s="23"/>
      <c r="LK290" s="23"/>
      <c r="LL290" s="23"/>
      <c r="LM290" s="23"/>
      <c r="LN290" s="23"/>
      <c r="LO290" s="23"/>
    </row>
    <row r="291" spans="1:327">
      <c r="A291" s="390"/>
      <c r="B291" s="23"/>
      <c r="C291" s="391"/>
      <c r="D291" s="391"/>
      <c r="E291" s="23"/>
      <c r="F291" s="23"/>
      <c r="G291" s="392"/>
      <c r="H291" s="392"/>
      <c r="I291" s="392"/>
      <c r="J291" s="392"/>
      <c r="K291" s="392"/>
      <c r="L291" s="392"/>
      <c r="M291" s="392"/>
      <c r="N291" s="23"/>
      <c r="O291" s="39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  <c r="IL291" s="23"/>
      <c r="IM291" s="23"/>
      <c r="IN291" s="23"/>
      <c r="IO291" s="23"/>
      <c r="IP291" s="23"/>
      <c r="IQ291" s="23"/>
      <c r="IR291" s="23"/>
      <c r="IS291" s="23"/>
      <c r="IT291" s="23"/>
      <c r="IU291" s="23"/>
      <c r="IV291" s="23"/>
      <c r="IW291" s="23"/>
      <c r="IX291" s="23"/>
      <c r="IY291" s="23"/>
      <c r="IZ291" s="23"/>
      <c r="JA291" s="23"/>
      <c r="JB291" s="23"/>
      <c r="JC291" s="23"/>
      <c r="JD291" s="23"/>
      <c r="JE291" s="23"/>
      <c r="JF291" s="23"/>
      <c r="JG291" s="23"/>
      <c r="JH291" s="23"/>
      <c r="JI291" s="23"/>
      <c r="JJ291" s="23"/>
      <c r="JK291" s="23"/>
      <c r="JL291" s="23"/>
      <c r="JM291" s="23"/>
      <c r="JN291" s="23"/>
      <c r="JO291" s="23"/>
      <c r="JP291" s="23"/>
      <c r="JQ291" s="23"/>
      <c r="JR291" s="23"/>
      <c r="JS291" s="23"/>
      <c r="JT291" s="23"/>
      <c r="JU291" s="23"/>
      <c r="JV291" s="23"/>
      <c r="JW291" s="23"/>
      <c r="JX291" s="23"/>
      <c r="JY291" s="23"/>
      <c r="JZ291" s="23"/>
      <c r="KA291" s="23"/>
      <c r="KB291" s="23"/>
      <c r="KC291" s="23"/>
      <c r="KD291" s="23"/>
      <c r="KE291" s="23"/>
      <c r="KF291" s="23"/>
      <c r="KG291" s="23"/>
      <c r="KH291" s="23"/>
      <c r="KI291" s="23"/>
      <c r="KJ291" s="23"/>
      <c r="KK291" s="23"/>
      <c r="KL291" s="23"/>
      <c r="KM291" s="23"/>
      <c r="KN291" s="23"/>
      <c r="KO291" s="23"/>
      <c r="KP291" s="23"/>
      <c r="KQ291" s="23"/>
      <c r="KR291" s="23"/>
      <c r="KS291" s="23"/>
      <c r="KT291" s="23"/>
      <c r="KU291" s="23"/>
      <c r="KV291" s="23"/>
      <c r="KW291" s="23"/>
      <c r="KX291" s="23"/>
      <c r="KY291" s="23"/>
      <c r="KZ291" s="23"/>
      <c r="LA291" s="23"/>
      <c r="LB291" s="23"/>
      <c r="LC291" s="23"/>
      <c r="LD291" s="23"/>
      <c r="LE291" s="23"/>
      <c r="LF291" s="23"/>
      <c r="LG291" s="23"/>
      <c r="LH291" s="23"/>
      <c r="LI291" s="23"/>
      <c r="LJ291" s="23"/>
      <c r="LK291" s="23"/>
      <c r="LL291" s="23"/>
      <c r="LM291" s="23"/>
      <c r="LN291" s="23"/>
      <c r="LO291" s="23"/>
    </row>
    <row r="292" spans="1:327">
      <c r="A292" s="390"/>
      <c r="B292" s="23"/>
      <c r="C292" s="391"/>
      <c r="D292" s="391"/>
      <c r="E292" s="23"/>
      <c r="F292" s="23"/>
      <c r="G292" s="392"/>
      <c r="H292" s="392"/>
      <c r="I292" s="392"/>
      <c r="J292" s="392"/>
      <c r="K292" s="392"/>
      <c r="L292" s="392"/>
      <c r="M292" s="392"/>
      <c r="N292" s="23"/>
      <c r="O292" s="39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  <c r="IL292" s="23"/>
      <c r="IM292" s="23"/>
      <c r="IN292" s="23"/>
      <c r="IO292" s="23"/>
      <c r="IP292" s="23"/>
      <c r="IQ292" s="23"/>
      <c r="IR292" s="23"/>
      <c r="IS292" s="23"/>
      <c r="IT292" s="23"/>
      <c r="IU292" s="23"/>
      <c r="IV292" s="23"/>
      <c r="IW292" s="23"/>
      <c r="IX292" s="23"/>
      <c r="IY292" s="23"/>
      <c r="IZ292" s="23"/>
      <c r="JA292" s="23"/>
      <c r="JB292" s="23"/>
      <c r="JC292" s="23"/>
      <c r="JD292" s="23"/>
      <c r="JE292" s="23"/>
      <c r="JF292" s="23"/>
      <c r="JG292" s="23"/>
      <c r="JH292" s="23"/>
      <c r="JI292" s="23"/>
      <c r="JJ292" s="23"/>
      <c r="JK292" s="23"/>
      <c r="JL292" s="23"/>
      <c r="JM292" s="23"/>
      <c r="JN292" s="23"/>
      <c r="JO292" s="23"/>
      <c r="JP292" s="23"/>
      <c r="JQ292" s="23"/>
      <c r="JR292" s="23"/>
      <c r="JS292" s="23"/>
      <c r="JT292" s="23"/>
      <c r="JU292" s="23"/>
      <c r="JV292" s="23"/>
      <c r="JW292" s="23"/>
      <c r="JX292" s="23"/>
      <c r="JY292" s="23"/>
      <c r="JZ292" s="23"/>
      <c r="KA292" s="23"/>
      <c r="KB292" s="23"/>
      <c r="KC292" s="23"/>
      <c r="KD292" s="23"/>
      <c r="KE292" s="23"/>
      <c r="KF292" s="23"/>
      <c r="KG292" s="23"/>
      <c r="KH292" s="23"/>
      <c r="KI292" s="23"/>
      <c r="KJ292" s="23"/>
      <c r="KK292" s="23"/>
      <c r="KL292" s="23"/>
      <c r="KM292" s="23"/>
      <c r="KN292" s="23"/>
      <c r="KO292" s="23"/>
      <c r="KP292" s="23"/>
      <c r="KQ292" s="23"/>
      <c r="KR292" s="23"/>
      <c r="KS292" s="23"/>
      <c r="KT292" s="23"/>
      <c r="KU292" s="23"/>
      <c r="KV292" s="23"/>
      <c r="KW292" s="23"/>
      <c r="KX292" s="23"/>
      <c r="KY292" s="23"/>
      <c r="KZ292" s="23"/>
      <c r="LA292" s="23"/>
      <c r="LB292" s="23"/>
      <c r="LC292" s="23"/>
      <c r="LD292" s="23"/>
      <c r="LE292" s="23"/>
      <c r="LF292" s="23"/>
      <c r="LG292" s="23"/>
      <c r="LH292" s="23"/>
      <c r="LI292" s="23"/>
      <c r="LJ292" s="23"/>
      <c r="LK292" s="23"/>
      <c r="LL292" s="23"/>
      <c r="LM292" s="23"/>
      <c r="LN292" s="23"/>
      <c r="LO292" s="23"/>
    </row>
    <row r="293" spans="1:327">
      <c r="A293" s="390"/>
      <c r="B293" s="23"/>
      <c r="C293" s="391"/>
      <c r="D293" s="391"/>
      <c r="E293" s="23"/>
      <c r="F293" s="23"/>
      <c r="G293" s="392"/>
      <c r="H293" s="392"/>
      <c r="I293" s="392"/>
      <c r="J293" s="392"/>
      <c r="K293" s="392"/>
      <c r="L293" s="392"/>
      <c r="M293" s="392"/>
      <c r="N293" s="23"/>
      <c r="O293" s="39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  <c r="IL293" s="23"/>
      <c r="IM293" s="23"/>
      <c r="IN293" s="23"/>
      <c r="IO293" s="23"/>
      <c r="IP293" s="23"/>
      <c r="IQ293" s="23"/>
      <c r="IR293" s="23"/>
      <c r="IS293" s="23"/>
      <c r="IT293" s="23"/>
      <c r="IU293" s="23"/>
      <c r="IV293" s="23"/>
      <c r="IW293" s="23"/>
      <c r="IX293" s="23"/>
      <c r="IY293" s="23"/>
      <c r="IZ293" s="23"/>
      <c r="JA293" s="23"/>
      <c r="JB293" s="23"/>
      <c r="JC293" s="23"/>
      <c r="JD293" s="23"/>
      <c r="JE293" s="23"/>
      <c r="JF293" s="23"/>
      <c r="JG293" s="23"/>
      <c r="JH293" s="23"/>
      <c r="JI293" s="23"/>
      <c r="JJ293" s="23"/>
      <c r="JK293" s="23"/>
      <c r="JL293" s="23"/>
      <c r="JM293" s="23"/>
      <c r="JN293" s="23"/>
      <c r="JO293" s="23"/>
      <c r="JP293" s="23"/>
      <c r="JQ293" s="23"/>
      <c r="JR293" s="23"/>
      <c r="JS293" s="23"/>
      <c r="JT293" s="23"/>
      <c r="JU293" s="23"/>
      <c r="JV293" s="23"/>
      <c r="JW293" s="23"/>
      <c r="JX293" s="23"/>
      <c r="JY293" s="23"/>
      <c r="JZ293" s="23"/>
      <c r="KA293" s="23"/>
      <c r="KB293" s="23"/>
      <c r="KC293" s="23"/>
      <c r="KD293" s="23"/>
      <c r="KE293" s="23"/>
      <c r="KF293" s="23"/>
      <c r="KG293" s="23"/>
      <c r="KH293" s="23"/>
      <c r="KI293" s="23"/>
      <c r="KJ293" s="23"/>
      <c r="KK293" s="23"/>
      <c r="KL293" s="23"/>
      <c r="KM293" s="23"/>
      <c r="KN293" s="23"/>
      <c r="KO293" s="23"/>
      <c r="KP293" s="23"/>
      <c r="KQ293" s="23"/>
      <c r="KR293" s="23"/>
      <c r="KS293" s="23"/>
      <c r="KT293" s="23"/>
      <c r="KU293" s="23"/>
      <c r="KV293" s="23"/>
      <c r="KW293" s="23"/>
      <c r="KX293" s="23"/>
      <c r="KY293" s="23"/>
      <c r="KZ293" s="23"/>
      <c r="LA293" s="23"/>
      <c r="LB293" s="23"/>
      <c r="LC293" s="23"/>
      <c r="LD293" s="23"/>
      <c r="LE293" s="23"/>
      <c r="LF293" s="23"/>
      <c r="LG293" s="23"/>
      <c r="LH293" s="23"/>
      <c r="LI293" s="23"/>
      <c r="LJ293" s="23"/>
      <c r="LK293" s="23"/>
      <c r="LL293" s="23"/>
      <c r="LM293" s="23"/>
      <c r="LN293" s="23"/>
      <c r="LO293" s="23"/>
    </row>
    <row r="294" spans="1:327">
      <c r="A294" s="390"/>
      <c r="B294" s="23"/>
      <c r="C294" s="391"/>
      <c r="D294" s="391"/>
      <c r="E294" s="23"/>
      <c r="F294" s="23"/>
      <c r="G294" s="392"/>
      <c r="H294" s="392"/>
      <c r="I294" s="392"/>
      <c r="J294" s="392"/>
      <c r="K294" s="392"/>
      <c r="L294" s="392"/>
      <c r="M294" s="392"/>
      <c r="N294" s="23"/>
      <c r="O294" s="39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  <c r="IL294" s="23"/>
      <c r="IM294" s="23"/>
      <c r="IN294" s="23"/>
      <c r="IO294" s="23"/>
      <c r="IP294" s="23"/>
      <c r="IQ294" s="23"/>
      <c r="IR294" s="23"/>
      <c r="IS294" s="23"/>
      <c r="IT294" s="23"/>
      <c r="IU294" s="23"/>
      <c r="IV294" s="23"/>
      <c r="IW294" s="23"/>
      <c r="IX294" s="23"/>
      <c r="IY294" s="23"/>
      <c r="IZ294" s="23"/>
      <c r="JA294" s="23"/>
      <c r="JB294" s="23"/>
      <c r="JC294" s="23"/>
      <c r="JD294" s="23"/>
      <c r="JE294" s="23"/>
      <c r="JF294" s="23"/>
      <c r="JG294" s="23"/>
      <c r="JH294" s="23"/>
      <c r="JI294" s="23"/>
      <c r="JJ294" s="23"/>
      <c r="JK294" s="23"/>
      <c r="JL294" s="23"/>
      <c r="JM294" s="23"/>
      <c r="JN294" s="23"/>
      <c r="JO294" s="23"/>
      <c r="JP294" s="23"/>
      <c r="JQ294" s="23"/>
      <c r="JR294" s="23"/>
      <c r="JS294" s="23"/>
      <c r="JT294" s="23"/>
      <c r="JU294" s="23"/>
      <c r="JV294" s="23"/>
      <c r="JW294" s="23"/>
      <c r="JX294" s="23"/>
      <c r="JY294" s="23"/>
      <c r="JZ294" s="23"/>
      <c r="KA294" s="23"/>
      <c r="KB294" s="23"/>
      <c r="KC294" s="23"/>
      <c r="KD294" s="23"/>
      <c r="KE294" s="23"/>
      <c r="KF294" s="23"/>
      <c r="KG294" s="23"/>
      <c r="KH294" s="23"/>
      <c r="KI294" s="23"/>
      <c r="KJ294" s="23"/>
      <c r="KK294" s="23"/>
      <c r="KL294" s="23"/>
      <c r="KM294" s="23"/>
      <c r="KN294" s="23"/>
      <c r="KO294" s="23"/>
      <c r="KP294" s="23"/>
      <c r="KQ294" s="23"/>
      <c r="KR294" s="23"/>
      <c r="KS294" s="23"/>
      <c r="KT294" s="23"/>
      <c r="KU294" s="23"/>
      <c r="KV294" s="23"/>
      <c r="KW294" s="23"/>
      <c r="KX294" s="23"/>
      <c r="KY294" s="23"/>
      <c r="KZ294" s="23"/>
      <c r="LA294" s="23"/>
      <c r="LB294" s="23"/>
      <c r="LC294" s="23"/>
      <c r="LD294" s="23"/>
      <c r="LE294" s="23"/>
      <c r="LF294" s="23"/>
      <c r="LG294" s="23"/>
      <c r="LH294" s="23"/>
      <c r="LI294" s="23"/>
      <c r="LJ294" s="23"/>
      <c r="LK294" s="23"/>
      <c r="LL294" s="23"/>
      <c r="LM294" s="23"/>
      <c r="LN294" s="23"/>
      <c r="LO294" s="23"/>
    </row>
    <row r="295" spans="1:327">
      <c r="A295" s="390"/>
      <c r="B295" s="23"/>
      <c r="C295" s="391"/>
      <c r="D295" s="391"/>
      <c r="E295" s="23"/>
      <c r="F295" s="23"/>
      <c r="G295" s="392"/>
      <c r="H295" s="392"/>
      <c r="I295" s="392"/>
      <c r="J295" s="392"/>
      <c r="K295" s="392"/>
      <c r="L295" s="392"/>
      <c r="M295" s="392"/>
      <c r="N295" s="23"/>
      <c r="O295" s="39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  <c r="IL295" s="23"/>
      <c r="IM295" s="23"/>
      <c r="IN295" s="23"/>
      <c r="IO295" s="23"/>
      <c r="IP295" s="23"/>
      <c r="IQ295" s="23"/>
      <c r="IR295" s="23"/>
      <c r="IS295" s="23"/>
      <c r="IT295" s="23"/>
      <c r="IU295" s="23"/>
      <c r="IV295" s="23"/>
      <c r="IW295" s="23"/>
      <c r="IX295" s="23"/>
      <c r="IY295" s="23"/>
      <c r="IZ295" s="23"/>
      <c r="JA295" s="23"/>
      <c r="JB295" s="23"/>
      <c r="JC295" s="23"/>
      <c r="JD295" s="23"/>
      <c r="JE295" s="23"/>
      <c r="JF295" s="23"/>
      <c r="JG295" s="23"/>
      <c r="JH295" s="23"/>
      <c r="JI295" s="23"/>
      <c r="JJ295" s="23"/>
      <c r="JK295" s="23"/>
      <c r="JL295" s="23"/>
      <c r="JM295" s="23"/>
      <c r="JN295" s="23"/>
      <c r="JO295" s="23"/>
      <c r="JP295" s="23"/>
      <c r="JQ295" s="23"/>
      <c r="JR295" s="23"/>
      <c r="JS295" s="23"/>
      <c r="JT295" s="23"/>
      <c r="JU295" s="23"/>
      <c r="JV295" s="23"/>
      <c r="JW295" s="23"/>
      <c r="JX295" s="23"/>
      <c r="JY295" s="23"/>
      <c r="JZ295" s="23"/>
      <c r="KA295" s="23"/>
      <c r="KB295" s="23"/>
      <c r="KC295" s="23"/>
      <c r="KD295" s="23"/>
      <c r="KE295" s="23"/>
      <c r="KF295" s="23"/>
      <c r="KG295" s="23"/>
      <c r="KH295" s="23"/>
      <c r="KI295" s="23"/>
      <c r="KJ295" s="23"/>
      <c r="KK295" s="23"/>
      <c r="KL295" s="23"/>
      <c r="KM295" s="23"/>
      <c r="KN295" s="23"/>
      <c r="KO295" s="23"/>
      <c r="KP295" s="23"/>
      <c r="KQ295" s="23"/>
      <c r="KR295" s="23"/>
      <c r="KS295" s="23"/>
      <c r="KT295" s="23"/>
      <c r="KU295" s="23"/>
      <c r="KV295" s="23"/>
      <c r="KW295" s="23"/>
      <c r="KX295" s="23"/>
      <c r="KY295" s="23"/>
      <c r="KZ295" s="23"/>
      <c r="LA295" s="23"/>
      <c r="LB295" s="23"/>
      <c r="LC295" s="23"/>
      <c r="LD295" s="23"/>
      <c r="LE295" s="23"/>
      <c r="LF295" s="23"/>
      <c r="LG295" s="23"/>
      <c r="LH295" s="23"/>
      <c r="LI295" s="23"/>
      <c r="LJ295" s="23"/>
      <c r="LK295" s="23"/>
      <c r="LL295" s="23"/>
      <c r="LM295" s="23"/>
      <c r="LN295" s="23"/>
      <c r="LO295" s="23"/>
    </row>
    <row r="296" spans="1:327">
      <c r="A296" s="390"/>
      <c r="B296" s="23"/>
      <c r="C296" s="391"/>
      <c r="D296" s="391"/>
      <c r="E296" s="23"/>
      <c r="F296" s="23"/>
      <c r="G296" s="392"/>
      <c r="H296" s="392"/>
      <c r="I296" s="392"/>
      <c r="J296" s="392"/>
      <c r="K296" s="392"/>
      <c r="L296" s="392"/>
      <c r="M296" s="392"/>
      <c r="N296" s="23"/>
      <c r="O296" s="39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  <c r="IL296" s="23"/>
      <c r="IM296" s="23"/>
      <c r="IN296" s="23"/>
      <c r="IO296" s="23"/>
      <c r="IP296" s="23"/>
      <c r="IQ296" s="23"/>
      <c r="IR296" s="23"/>
      <c r="IS296" s="23"/>
      <c r="IT296" s="23"/>
      <c r="IU296" s="23"/>
      <c r="IV296" s="23"/>
      <c r="IW296" s="23"/>
      <c r="IX296" s="23"/>
      <c r="IY296" s="23"/>
      <c r="IZ296" s="23"/>
      <c r="JA296" s="23"/>
      <c r="JB296" s="23"/>
      <c r="JC296" s="23"/>
      <c r="JD296" s="23"/>
      <c r="JE296" s="23"/>
      <c r="JF296" s="23"/>
      <c r="JG296" s="23"/>
      <c r="JH296" s="23"/>
      <c r="JI296" s="23"/>
      <c r="JJ296" s="23"/>
      <c r="JK296" s="23"/>
      <c r="JL296" s="23"/>
      <c r="JM296" s="23"/>
      <c r="JN296" s="23"/>
      <c r="JO296" s="23"/>
      <c r="JP296" s="23"/>
      <c r="JQ296" s="23"/>
      <c r="JR296" s="23"/>
      <c r="JS296" s="23"/>
      <c r="JT296" s="23"/>
      <c r="JU296" s="23"/>
      <c r="JV296" s="23"/>
      <c r="JW296" s="23"/>
      <c r="JX296" s="23"/>
      <c r="JY296" s="23"/>
      <c r="JZ296" s="23"/>
      <c r="KA296" s="23"/>
      <c r="KB296" s="23"/>
      <c r="KC296" s="23"/>
      <c r="KD296" s="23"/>
      <c r="KE296" s="23"/>
      <c r="KF296" s="23"/>
      <c r="KG296" s="23"/>
      <c r="KH296" s="23"/>
      <c r="KI296" s="23"/>
      <c r="KJ296" s="23"/>
      <c r="KK296" s="23"/>
      <c r="KL296" s="23"/>
      <c r="KM296" s="23"/>
      <c r="KN296" s="23"/>
      <c r="KO296" s="23"/>
      <c r="KP296" s="23"/>
      <c r="KQ296" s="23"/>
      <c r="KR296" s="23"/>
      <c r="KS296" s="23"/>
      <c r="KT296" s="23"/>
      <c r="KU296" s="23"/>
      <c r="KV296" s="23"/>
      <c r="KW296" s="23"/>
      <c r="KX296" s="23"/>
      <c r="KY296" s="23"/>
      <c r="KZ296" s="23"/>
      <c r="LA296" s="23"/>
      <c r="LB296" s="23"/>
      <c r="LC296" s="23"/>
      <c r="LD296" s="23"/>
      <c r="LE296" s="23"/>
      <c r="LF296" s="23"/>
      <c r="LG296" s="23"/>
      <c r="LH296" s="23"/>
      <c r="LI296" s="23"/>
      <c r="LJ296" s="23"/>
      <c r="LK296" s="23"/>
      <c r="LL296" s="23"/>
      <c r="LM296" s="23"/>
      <c r="LN296" s="23"/>
      <c r="LO296" s="23"/>
    </row>
    <row r="297" spans="1:327">
      <c r="A297" s="390"/>
      <c r="B297" s="23"/>
      <c r="C297" s="391"/>
      <c r="D297" s="391"/>
      <c r="E297" s="23"/>
      <c r="F297" s="23"/>
      <c r="G297" s="392"/>
      <c r="H297" s="392"/>
      <c r="I297" s="392"/>
      <c r="J297" s="392"/>
      <c r="K297" s="392"/>
      <c r="L297" s="392"/>
      <c r="M297" s="392"/>
      <c r="N297" s="23"/>
      <c r="O297" s="39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  <c r="IL297" s="23"/>
      <c r="IM297" s="23"/>
      <c r="IN297" s="23"/>
      <c r="IO297" s="23"/>
      <c r="IP297" s="23"/>
      <c r="IQ297" s="23"/>
      <c r="IR297" s="23"/>
      <c r="IS297" s="23"/>
      <c r="IT297" s="23"/>
      <c r="IU297" s="23"/>
      <c r="IV297" s="23"/>
      <c r="IW297" s="23"/>
      <c r="IX297" s="23"/>
      <c r="IY297" s="23"/>
      <c r="IZ297" s="23"/>
      <c r="JA297" s="23"/>
      <c r="JB297" s="23"/>
      <c r="JC297" s="23"/>
      <c r="JD297" s="23"/>
      <c r="JE297" s="23"/>
      <c r="JF297" s="23"/>
      <c r="JG297" s="23"/>
      <c r="JH297" s="23"/>
      <c r="JI297" s="23"/>
      <c r="JJ297" s="23"/>
      <c r="JK297" s="23"/>
      <c r="JL297" s="23"/>
      <c r="JM297" s="23"/>
      <c r="JN297" s="23"/>
      <c r="JO297" s="23"/>
      <c r="JP297" s="23"/>
      <c r="JQ297" s="23"/>
      <c r="JR297" s="23"/>
      <c r="JS297" s="23"/>
      <c r="JT297" s="23"/>
      <c r="JU297" s="23"/>
      <c r="JV297" s="23"/>
      <c r="JW297" s="23"/>
      <c r="JX297" s="23"/>
      <c r="JY297" s="23"/>
      <c r="JZ297" s="23"/>
      <c r="KA297" s="23"/>
      <c r="KB297" s="23"/>
      <c r="KC297" s="23"/>
      <c r="KD297" s="23"/>
      <c r="KE297" s="23"/>
      <c r="KF297" s="23"/>
      <c r="KG297" s="23"/>
      <c r="KH297" s="23"/>
      <c r="KI297" s="23"/>
      <c r="KJ297" s="23"/>
      <c r="KK297" s="23"/>
      <c r="KL297" s="23"/>
      <c r="KM297" s="23"/>
      <c r="KN297" s="23"/>
      <c r="KO297" s="23"/>
      <c r="KP297" s="23"/>
      <c r="KQ297" s="23"/>
      <c r="KR297" s="23"/>
      <c r="KS297" s="23"/>
      <c r="KT297" s="23"/>
      <c r="KU297" s="23"/>
      <c r="KV297" s="23"/>
      <c r="KW297" s="23"/>
      <c r="KX297" s="23"/>
      <c r="KY297" s="23"/>
      <c r="KZ297" s="23"/>
      <c r="LA297" s="23"/>
      <c r="LB297" s="23"/>
      <c r="LC297" s="23"/>
      <c r="LD297" s="23"/>
      <c r="LE297" s="23"/>
      <c r="LF297" s="23"/>
      <c r="LG297" s="23"/>
      <c r="LH297" s="23"/>
      <c r="LI297" s="23"/>
      <c r="LJ297" s="23"/>
      <c r="LK297" s="23"/>
      <c r="LL297" s="23"/>
      <c r="LM297" s="23"/>
      <c r="LN297" s="23"/>
      <c r="LO297" s="23"/>
    </row>
    <row r="298" spans="1:327">
      <c r="A298" s="390"/>
      <c r="B298" s="23"/>
      <c r="C298" s="391"/>
      <c r="D298" s="391"/>
      <c r="E298" s="23"/>
      <c r="F298" s="23"/>
      <c r="G298" s="392"/>
      <c r="H298" s="392"/>
      <c r="I298" s="392"/>
      <c r="J298" s="392"/>
      <c r="K298" s="392"/>
      <c r="L298" s="392"/>
      <c r="M298" s="392"/>
      <c r="N298" s="23"/>
      <c r="O298" s="39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  <c r="IL298" s="23"/>
      <c r="IM298" s="23"/>
      <c r="IN298" s="23"/>
      <c r="IO298" s="23"/>
      <c r="IP298" s="23"/>
      <c r="IQ298" s="23"/>
      <c r="IR298" s="23"/>
      <c r="IS298" s="23"/>
      <c r="IT298" s="23"/>
      <c r="IU298" s="23"/>
      <c r="IV298" s="23"/>
      <c r="IW298" s="23"/>
      <c r="IX298" s="23"/>
      <c r="IY298" s="23"/>
      <c r="IZ298" s="23"/>
      <c r="JA298" s="23"/>
      <c r="JB298" s="23"/>
      <c r="JC298" s="23"/>
      <c r="JD298" s="23"/>
      <c r="JE298" s="23"/>
      <c r="JF298" s="23"/>
      <c r="JG298" s="23"/>
      <c r="JH298" s="23"/>
      <c r="JI298" s="23"/>
      <c r="JJ298" s="23"/>
      <c r="JK298" s="23"/>
      <c r="JL298" s="23"/>
      <c r="JM298" s="23"/>
      <c r="JN298" s="23"/>
      <c r="JO298" s="23"/>
      <c r="JP298" s="23"/>
      <c r="JQ298" s="23"/>
      <c r="JR298" s="23"/>
      <c r="JS298" s="23"/>
      <c r="JT298" s="23"/>
      <c r="JU298" s="23"/>
      <c r="JV298" s="23"/>
      <c r="JW298" s="23"/>
      <c r="JX298" s="23"/>
      <c r="JY298" s="23"/>
      <c r="JZ298" s="23"/>
      <c r="KA298" s="23"/>
      <c r="KB298" s="23"/>
      <c r="KC298" s="23"/>
      <c r="KD298" s="23"/>
      <c r="KE298" s="23"/>
      <c r="KF298" s="23"/>
      <c r="KG298" s="23"/>
      <c r="KH298" s="23"/>
      <c r="KI298" s="23"/>
      <c r="KJ298" s="23"/>
      <c r="KK298" s="23"/>
      <c r="KL298" s="23"/>
      <c r="KM298" s="23"/>
      <c r="KN298" s="23"/>
      <c r="KO298" s="23"/>
      <c r="KP298" s="23"/>
      <c r="KQ298" s="23"/>
      <c r="KR298" s="23"/>
      <c r="KS298" s="23"/>
      <c r="KT298" s="23"/>
      <c r="KU298" s="23"/>
      <c r="KV298" s="23"/>
      <c r="KW298" s="23"/>
      <c r="KX298" s="23"/>
      <c r="KY298" s="23"/>
      <c r="KZ298" s="23"/>
      <c r="LA298" s="23"/>
      <c r="LB298" s="23"/>
      <c r="LC298" s="23"/>
      <c r="LD298" s="23"/>
      <c r="LE298" s="23"/>
      <c r="LF298" s="23"/>
      <c r="LG298" s="23"/>
      <c r="LH298" s="23"/>
      <c r="LI298" s="23"/>
      <c r="LJ298" s="23"/>
      <c r="LK298" s="23"/>
      <c r="LL298" s="23"/>
      <c r="LM298" s="23"/>
      <c r="LN298" s="23"/>
      <c r="LO298" s="23"/>
    </row>
    <row r="299" spans="1:327">
      <c r="A299" s="390"/>
      <c r="B299" s="23"/>
      <c r="C299" s="391"/>
      <c r="D299" s="391"/>
      <c r="E299" s="23"/>
      <c r="F299" s="23"/>
      <c r="G299" s="392"/>
      <c r="H299" s="392"/>
      <c r="I299" s="392"/>
      <c r="J299" s="392"/>
      <c r="K299" s="392"/>
      <c r="L299" s="392"/>
      <c r="M299" s="392"/>
      <c r="N299" s="23"/>
      <c r="O299" s="39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  <c r="IL299" s="23"/>
      <c r="IM299" s="23"/>
      <c r="IN299" s="23"/>
      <c r="IO299" s="23"/>
      <c r="IP299" s="23"/>
      <c r="IQ299" s="23"/>
      <c r="IR299" s="23"/>
      <c r="IS299" s="23"/>
      <c r="IT299" s="23"/>
      <c r="IU299" s="23"/>
      <c r="IV299" s="23"/>
      <c r="IW299" s="23"/>
      <c r="IX299" s="23"/>
      <c r="IY299" s="23"/>
      <c r="IZ299" s="23"/>
      <c r="JA299" s="23"/>
      <c r="JB299" s="23"/>
      <c r="JC299" s="23"/>
      <c r="JD299" s="23"/>
      <c r="JE299" s="23"/>
      <c r="JF299" s="23"/>
      <c r="JG299" s="23"/>
      <c r="JH299" s="23"/>
      <c r="JI299" s="23"/>
      <c r="JJ299" s="23"/>
      <c r="JK299" s="23"/>
      <c r="JL299" s="23"/>
      <c r="JM299" s="23"/>
      <c r="JN299" s="23"/>
      <c r="JO299" s="23"/>
      <c r="JP299" s="23"/>
      <c r="JQ299" s="23"/>
      <c r="JR299" s="23"/>
      <c r="JS299" s="23"/>
      <c r="JT299" s="23"/>
      <c r="JU299" s="23"/>
      <c r="JV299" s="23"/>
      <c r="JW299" s="23"/>
      <c r="JX299" s="23"/>
      <c r="JY299" s="23"/>
      <c r="JZ299" s="23"/>
      <c r="KA299" s="23"/>
      <c r="KB299" s="23"/>
      <c r="KC299" s="23"/>
      <c r="KD299" s="23"/>
      <c r="KE299" s="23"/>
      <c r="KF299" s="23"/>
      <c r="KG299" s="23"/>
      <c r="KH299" s="23"/>
      <c r="KI299" s="23"/>
      <c r="KJ299" s="23"/>
      <c r="KK299" s="23"/>
      <c r="KL299" s="23"/>
      <c r="KM299" s="23"/>
      <c r="KN299" s="23"/>
      <c r="KO299" s="23"/>
      <c r="KP299" s="23"/>
      <c r="KQ299" s="23"/>
      <c r="KR299" s="23"/>
      <c r="KS299" s="23"/>
      <c r="KT299" s="23"/>
      <c r="KU299" s="23"/>
      <c r="KV299" s="23"/>
      <c r="KW299" s="23"/>
      <c r="KX299" s="23"/>
      <c r="KY299" s="23"/>
      <c r="KZ299" s="23"/>
      <c r="LA299" s="23"/>
      <c r="LB299" s="23"/>
      <c r="LC299" s="23"/>
      <c r="LD299" s="23"/>
      <c r="LE299" s="23"/>
      <c r="LF299" s="23"/>
      <c r="LG299" s="23"/>
      <c r="LH299" s="23"/>
      <c r="LI299" s="23"/>
      <c r="LJ299" s="23"/>
      <c r="LK299" s="23"/>
      <c r="LL299" s="23"/>
      <c r="LM299" s="23"/>
      <c r="LN299" s="23"/>
      <c r="LO299" s="23"/>
    </row>
    <row r="300" spans="1:327">
      <c r="A300" s="390"/>
      <c r="B300" s="23"/>
      <c r="C300" s="391"/>
      <c r="D300" s="391"/>
      <c r="E300" s="23"/>
      <c r="F300" s="23"/>
      <c r="G300" s="392"/>
      <c r="H300" s="392"/>
      <c r="I300" s="392"/>
      <c r="J300" s="392"/>
      <c r="K300" s="392"/>
      <c r="L300" s="392"/>
      <c r="M300" s="392"/>
      <c r="N300" s="23"/>
      <c r="O300" s="39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  <c r="IL300" s="23"/>
      <c r="IM300" s="23"/>
      <c r="IN300" s="23"/>
      <c r="IO300" s="23"/>
      <c r="IP300" s="23"/>
      <c r="IQ300" s="23"/>
      <c r="IR300" s="23"/>
      <c r="IS300" s="23"/>
      <c r="IT300" s="23"/>
      <c r="IU300" s="23"/>
      <c r="IV300" s="23"/>
      <c r="IW300" s="23"/>
      <c r="IX300" s="23"/>
      <c r="IY300" s="23"/>
      <c r="IZ300" s="23"/>
      <c r="JA300" s="23"/>
      <c r="JB300" s="23"/>
      <c r="JC300" s="23"/>
      <c r="JD300" s="23"/>
      <c r="JE300" s="23"/>
      <c r="JF300" s="23"/>
      <c r="JG300" s="23"/>
      <c r="JH300" s="23"/>
      <c r="JI300" s="23"/>
      <c r="JJ300" s="23"/>
      <c r="JK300" s="23"/>
      <c r="JL300" s="23"/>
      <c r="JM300" s="23"/>
      <c r="JN300" s="23"/>
      <c r="JO300" s="23"/>
      <c r="JP300" s="23"/>
      <c r="JQ300" s="23"/>
      <c r="JR300" s="23"/>
      <c r="JS300" s="23"/>
      <c r="JT300" s="23"/>
      <c r="JU300" s="23"/>
      <c r="JV300" s="23"/>
      <c r="JW300" s="23"/>
      <c r="JX300" s="23"/>
      <c r="JY300" s="23"/>
      <c r="JZ300" s="23"/>
      <c r="KA300" s="23"/>
      <c r="KB300" s="23"/>
      <c r="KC300" s="23"/>
      <c r="KD300" s="23"/>
      <c r="KE300" s="23"/>
      <c r="KF300" s="23"/>
      <c r="KG300" s="23"/>
      <c r="KH300" s="23"/>
      <c r="KI300" s="23"/>
      <c r="KJ300" s="23"/>
      <c r="KK300" s="23"/>
      <c r="KL300" s="23"/>
      <c r="KM300" s="23"/>
      <c r="KN300" s="23"/>
      <c r="KO300" s="23"/>
      <c r="KP300" s="23"/>
      <c r="KQ300" s="23"/>
      <c r="KR300" s="23"/>
      <c r="KS300" s="23"/>
      <c r="KT300" s="23"/>
      <c r="KU300" s="23"/>
      <c r="KV300" s="23"/>
      <c r="KW300" s="23"/>
      <c r="KX300" s="23"/>
      <c r="KY300" s="23"/>
      <c r="KZ300" s="23"/>
      <c r="LA300" s="23"/>
      <c r="LB300" s="23"/>
      <c r="LC300" s="23"/>
      <c r="LD300" s="23"/>
      <c r="LE300" s="23"/>
      <c r="LF300" s="23"/>
      <c r="LG300" s="23"/>
      <c r="LH300" s="23"/>
      <c r="LI300" s="23"/>
      <c r="LJ300" s="23"/>
      <c r="LK300" s="23"/>
      <c r="LL300" s="23"/>
      <c r="LM300" s="23"/>
      <c r="LN300" s="23"/>
      <c r="LO300" s="23"/>
    </row>
    <row r="301" spans="1:327">
      <c r="A301" s="390"/>
      <c r="B301" s="23"/>
      <c r="C301" s="391"/>
      <c r="D301" s="391"/>
      <c r="E301" s="23"/>
      <c r="F301" s="23"/>
      <c r="G301" s="392"/>
      <c r="H301" s="392"/>
      <c r="I301" s="392"/>
      <c r="J301" s="392"/>
      <c r="K301" s="392"/>
      <c r="L301" s="392"/>
      <c r="M301" s="392"/>
      <c r="N301" s="23"/>
      <c r="O301" s="39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  <c r="IL301" s="23"/>
      <c r="IM301" s="23"/>
      <c r="IN301" s="23"/>
      <c r="IO301" s="23"/>
      <c r="IP301" s="23"/>
      <c r="IQ301" s="23"/>
      <c r="IR301" s="23"/>
      <c r="IS301" s="23"/>
      <c r="IT301" s="23"/>
      <c r="IU301" s="23"/>
      <c r="IV301" s="23"/>
      <c r="IW301" s="23"/>
      <c r="IX301" s="23"/>
      <c r="IY301" s="23"/>
      <c r="IZ301" s="23"/>
      <c r="JA301" s="23"/>
      <c r="JB301" s="23"/>
      <c r="JC301" s="23"/>
      <c r="JD301" s="23"/>
      <c r="JE301" s="23"/>
      <c r="JF301" s="23"/>
      <c r="JG301" s="23"/>
      <c r="JH301" s="23"/>
      <c r="JI301" s="23"/>
      <c r="JJ301" s="23"/>
      <c r="JK301" s="23"/>
      <c r="JL301" s="23"/>
      <c r="JM301" s="23"/>
      <c r="JN301" s="23"/>
      <c r="JO301" s="23"/>
      <c r="JP301" s="23"/>
      <c r="JQ301" s="23"/>
      <c r="JR301" s="23"/>
      <c r="JS301" s="23"/>
      <c r="JT301" s="23"/>
      <c r="JU301" s="23"/>
      <c r="JV301" s="23"/>
      <c r="JW301" s="23"/>
      <c r="JX301" s="23"/>
      <c r="JY301" s="23"/>
      <c r="JZ301" s="23"/>
      <c r="KA301" s="23"/>
      <c r="KB301" s="23"/>
      <c r="KC301" s="23"/>
      <c r="KD301" s="23"/>
      <c r="KE301" s="23"/>
      <c r="KF301" s="23"/>
      <c r="KG301" s="23"/>
      <c r="KH301" s="23"/>
      <c r="KI301" s="23"/>
      <c r="KJ301" s="23"/>
      <c r="KK301" s="23"/>
      <c r="KL301" s="23"/>
      <c r="KM301" s="23"/>
      <c r="KN301" s="23"/>
      <c r="KO301" s="23"/>
      <c r="KP301" s="23"/>
      <c r="KQ301" s="23"/>
      <c r="KR301" s="23"/>
      <c r="KS301" s="23"/>
      <c r="KT301" s="23"/>
      <c r="KU301" s="23"/>
      <c r="KV301" s="23"/>
      <c r="KW301" s="23"/>
      <c r="KX301" s="23"/>
      <c r="KY301" s="23"/>
      <c r="KZ301" s="23"/>
      <c r="LA301" s="23"/>
      <c r="LB301" s="23"/>
      <c r="LC301" s="23"/>
      <c r="LD301" s="23"/>
      <c r="LE301" s="23"/>
      <c r="LF301" s="23"/>
      <c r="LG301" s="23"/>
      <c r="LH301" s="23"/>
      <c r="LI301" s="23"/>
      <c r="LJ301" s="23"/>
      <c r="LK301" s="23"/>
      <c r="LL301" s="23"/>
      <c r="LM301" s="23"/>
      <c r="LN301" s="23"/>
      <c r="LO301" s="23"/>
    </row>
    <row r="302" spans="1:327">
      <c r="A302" s="390"/>
      <c r="B302" s="23"/>
      <c r="C302" s="391"/>
      <c r="D302" s="391"/>
      <c r="E302" s="23"/>
      <c r="F302" s="23"/>
      <c r="G302" s="392"/>
      <c r="H302" s="392"/>
      <c r="I302" s="392"/>
      <c r="J302" s="392"/>
      <c r="K302" s="392"/>
      <c r="L302" s="392"/>
      <c r="M302" s="392"/>
      <c r="N302" s="23"/>
      <c r="O302" s="39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  <c r="IL302" s="23"/>
      <c r="IM302" s="23"/>
      <c r="IN302" s="23"/>
      <c r="IO302" s="23"/>
      <c r="IP302" s="23"/>
      <c r="IQ302" s="23"/>
      <c r="IR302" s="23"/>
      <c r="IS302" s="23"/>
      <c r="IT302" s="23"/>
      <c r="IU302" s="23"/>
      <c r="IV302" s="23"/>
      <c r="IW302" s="23"/>
      <c r="IX302" s="23"/>
      <c r="IY302" s="23"/>
      <c r="IZ302" s="23"/>
      <c r="JA302" s="23"/>
      <c r="JB302" s="23"/>
      <c r="JC302" s="23"/>
      <c r="JD302" s="23"/>
      <c r="JE302" s="23"/>
      <c r="JF302" s="23"/>
      <c r="JG302" s="23"/>
      <c r="JH302" s="23"/>
      <c r="JI302" s="23"/>
      <c r="JJ302" s="23"/>
      <c r="JK302" s="23"/>
      <c r="JL302" s="23"/>
      <c r="JM302" s="23"/>
      <c r="JN302" s="23"/>
      <c r="JO302" s="23"/>
      <c r="JP302" s="23"/>
      <c r="JQ302" s="23"/>
      <c r="JR302" s="23"/>
      <c r="JS302" s="23"/>
      <c r="JT302" s="23"/>
      <c r="JU302" s="23"/>
      <c r="JV302" s="23"/>
      <c r="JW302" s="23"/>
      <c r="JX302" s="23"/>
      <c r="JY302" s="23"/>
      <c r="JZ302" s="23"/>
      <c r="KA302" s="23"/>
      <c r="KB302" s="23"/>
      <c r="KC302" s="23"/>
      <c r="KD302" s="23"/>
      <c r="KE302" s="23"/>
      <c r="KF302" s="23"/>
      <c r="KG302" s="23"/>
      <c r="KH302" s="23"/>
      <c r="KI302" s="23"/>
      <c r="KJ302" s="23"/>
      <c r="KK302" s="23"/>
      <c r="KL302" s="23"/>
      <c r="KM302" s="23"/>
      <c r="KN302" s="23"/>
      <c r="KO302" s="23"/>
      <c r="KP302" s="23"/>
      <c r="KQ302" s="23"/>
      <c r="KR302" s="23"/>
      <c r="KS302" s="23"/>
      <c r="KT302" s="23"/>
      <c r="KU302" s="23"/>
      <c r="KV302" s="23"/>
      <c r="KW302" s="23"/>
      <c r="KX302" s="23"/>
      <c r="KY302" s="23"/>
      <c r="KZ302" s="23"/>
      <c r="LA302" s="23"/>
      <c r="LB302" s="23"/>
      <c r="LC302" s="23"/>
      <c r="LD302" s="23"/>
      <c r="LE302" s="23"/>
      <c r="LF302" s="23"/>
      <c r="LG302" s="23"/>
      <c r="LH302" s="23"/>
      <c r="LI302" s="23"/>
      <c r="LJ302" s="23"/>
      <c r="LK302" s="23"/>
      <c r="LL302" s="23"/>
      <c r="LM302" s="23"/>
      <c r="LN302" s="23"/>
      <c r="LO302" s="23"/>
    </row>
    <row r="303" spans="1:327">
      <c r="A303" s="390"/>
      <c r="B303" s="23"/>
      <c r="C303" s="391"/>
      <c r="D303" s="391"/>
      <c r="E303" s="23"/>
      <c r="F303" s="23"/>
      <c r="G303" s="392"/>
      <c r="H303" s="392"/>
      <c r="I303" s="392"/>
      <c r="J303" s="392"/>
      <c r="K303" s="392"/>
      <c r="L303" s="392"/>
      <c r="M303" s="392"/>
      <c r="N303" s="23"/>
      <c r="O303" s="39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  <c r="IL303" s="23"/>
      <c r="IM303" s="23"/>
      <c r="IN303" s="23"/>
      <c r="IO303" s="23"/>
      <c r="IP303" s="23"/>
      <c r="IQ303" s="23"/>
      <c r="IR303" s="23"/>
      <c r="IS303" s="23"/>
      <c r="IT303" s="23"/>
      <c r="IU303" s="23"/>
      <c r="IV303" s="23"/>
      <c r="IW303" s="23"/>
      <c r="IX303" s="23"/>
      <c r="IY303" s="23"/>
      <c r="IZ303" s="23"/>
      <c r="JA303" s="23"/>
      <c r="JB303" s="23"/>
      <c r="JC303" s="23"/>
      <c r="JD303" s="23"/>
      <c r="JE303" s="23"/>
      <c r="JF303" s="23"/>
      <c r="JG303" s="23"/>
      <c r="JH303" s="23"/>
      <c r="JI303" s="23"/>
      <c r="JJ303" s="23"/>
      <c r="JK303" s="23"/>
      <c r="JL303" s="23"/>
      <c r="JM303" s="23"/>
      <c r="JN303" s="23"/>
      <c r="JO303" s="23"/>
      <c r="JP303" s="23"/>
      <c r="JQ303" s="23"/>
      <c r="JR303" s="23"/>
      <c r="JS303" s="23"/>
      <c r="JT303" s="23"/>
      <c r="JU303" s="23"/>
      <c r="JV303" s="23"/>
      <c r="JW303" s="23"/>
      <c r="JX303" s="23"/>
      <c r="JY303" s="23"/>
      <c r="JZ303" s="23"/>
      <c r="KA303" s="23"/>
      <c r="KB303" s="23"/>
      <c r="KC303" s="23"/>
      <c r="KD303" s="23"/>
      <c r="KE303" s="23"/>
      <c r="KF303" s="23"/>
      <c r="KG303" s="23"/>
      <c r="KH303" s="23"/>
      <c r="KI303" s="23"/>
      <c r="KJ303" s="23"/>
      <c r="KK303" s="23"/>
      <c r="KL303" s="23"/>
      <c r="KM303" s="23"/>
      <c r="KN303" s="23"/>
      <c r="KO303" s="23"/>
      <c r="KP303" s="23"/>
      <c r="KQ303" s="23"/>
      <c r="KR303" s="23"/>
      <c r="KS303" s="23"/>
      <c r="KT303" s="23"/>
      <c r="KU303" s="23"/>
      <c r="KV303" s="23"/>
      <c r="KW303" s="23"/>
      <c r="KX303" s="23"/>
      <c r="KY303" s="23"/>
      <c r="KZ303" s="23"/>
      <c r="LA303" s="23"/>
      <c r="LB303" s="23"/>
      <c r="LC303" s="23"/>
      <c r="LD303" s="23"/>
      <c r="LE303" s="23"/>
      <c r="LF303" s="23"/>
      <c r="LG303" s="23"/>
      <c r="LH303" s="23"/>
      <c r="LI303" s="23"/>
      <c r="LJ303" s="23"/>
      <c r="LK303" s="23"/>
      <c r="LL303" s="23"/>
      <c r="LM303" s="23"/>
      <c r="LN303" s="23"/>
      <c r="LO303" s="23"/>
    </row>
    <row r="304" spans="1:327">
      <c r="A304" s="390"/>
      <c r="B304" s="23"/>
      <c r="C304" s="391"/>
      <c r="D304" s="391"/>
      <c r="E304" s="23"/>
      <c r="F304" s="23"/>
      <c r="G304" s="392"/>
      <c r="H304" s="392"/>
      <c r="I304" s="392"/>
      <c r="J304" s="392"/>
      <c r="K304" s="392"/>
      <c r="L304" s="392"/>
      <c r="M304" s="392"/>
      <c r="N304" s="23"/>
      <c r="O304" s="39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  <c r="IL304" s="23"/>
      <c r="IM304" s="23"/>
      <c r="IN304" s="23"/>
      <c r="IO304" s="23"/>
      <c r="IP304" s="23"/>
      <c r="IQ304" s="23"/>
      <c r="IR304" s="23"/>
      <c r="IS304" s="23"/>
      <c r="IT304" s="23"/>
      <c r="IU304" s="23"/>
      <c r="IV304" s="23"/>
      <c r="IW304" s="23"/>
      <c r="IX304" s="23"/>
      <c r="IY304" s="23"/>
      <c r="IZ304" s="23"/>
      <c r="JA304" s="23"/>
      <c r="JB304" s="23"/>
      <c r="JC304" s="23"/>
      <c r="JD304" s="23"/>
      <c r="JE304" s="23"/>
      <c r="JF304" s="23"/>
      <c r="JG304" s="23"/>
      <c r="JH304" s="23"/>
      <c r="JI304" s="23"/>
      <c r="JJ304" s="23"/>
      <c r="JK304" s="23"/>
      <c r="JL304" s="23"/>
      <c r="JM304" s="23"/>
      <c r="JN304" s="23"/>
      <c r="JO304" s="23"/>
      <c r="JP304" s="23"/>
      <c r="JQ304" s="23"/>
      <c r="JR304" s="23"/>
      <c r="JS304" s="23"/>
      <c r="JT304" s="23"/>
      <c r="JU304" s="23"/>
      <c r="JV304" s="23"/>
      <c r="JW304" s="23"/>
      <c r="JX304" s="23"/>
      <c r="JY304" s="23"/>
      <c r="JZ304" s="23"/>
      <c r="KA304" s="23"/>
      <c r="KB304" s="23"/>
      <c r="KC304" s="23"/>
      <c r="KD304" s="23"/>
      <c r="KE304" s="23"/>
      <c r="KF304" s="23"/>
      <c r="KG304" s="23"/>
      <c r="KH304" s="23"/>
      <c r="KI304" s="23"/>
      <c r="KJ304" s="23"/>
      <c r="KK304" s="23"/>
      <c r="KL304" s="23"/>
      <c r="KM304" s="23"/>
      <c r="KN304" s="23"/>
      <c r="KO304" s="23"/>
      <c r="KP304" s="23"/>
      <c r="KQ304" s="23"/>
      <c r="KR304" s="23"/>
      <c r="KS304" s="23"/>
      <c r="KT304" s="23"/>
      <c r="KU304" s="23"/>
      <c r="KV304" s="23"/>
      <c r="KW304" s="23"/>
      <c r="KX304" s="23"/>
      <c r="KY304" s="23"/>
      <c r="KZ304" s="23"/>
      <c r="LA304" s="23"/>
      <c r="LB304" s="23"/>
      <c r="LC304" s="23"/>
      <c r="LD304" s="23"/>
      <c r="LE304" s="23"/>
      <c r="LF304" s="23"/>
      <c r="LG304" s="23"/>
      <c r="LH304" s="23"/>
      <c r="LI304" s="23"/>
      <c r="LJ304" s="23"/>
      <c r="LK304" s="23"/>
      <c r="LL304" s="23"/>
      <c r="LM304" s="23"/>
      <c r="LN304" s="23"/>
      <c r="LO304" s="23"/>
    </row>
    <row r="305" spans="1:327">
      <c r="A305" s="390"/>
      <c r="B305" s="23"/>
      <c r="C305" s="391"/>
      <c r="D305" s="391"/>
      <c r="E305" s="23"/>
      <c r="F305" s="23"/>
      <c r="G305" s="392"/>
      <c r="H305" s="392"/>
      <c r="I305" s="392"/>
      <c r="J305" s="392"/>
      <c r="K305" s="392"/>
      <c r="L305" s="392"/>
      <c r="M305" s="392"/>
      <c r="N305" s="23"/>
      <c r="O305" s="39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  <c r="IL305" s="23"/>
      <c r="IM305" s="23"/>
      <c r="IN305" s="23"/>
      <c r="IO305" s="23"/>
      <c r="IP305" s="23"/>
      <c r="IQ305" s="23"/>
      <c r="IR305" s="23"/>
      <c r="IS305" s="23"/>
      <c r="IT305" s="23"/>
      <c r="IU305" s="23"/>
      <c r="IV305" s="23"/>
      <c r="IW305" s="23"/>
      <c r="IX305" s="23"/>
      <c r="IY305" s="23"/>
      <c r="IZ305" s="23"/>
      <c r="JA305" s="23"/>
      <c r="JB305" s="23"/>
      <c r="JC305" s="23"/>
      <c r="JD305" s="23"/>
      <c r="JE305" s="23"/>
      <c r="JF305" s="23"/>
      <c r="JG305" s="23"/>
      <c r="JH305" s="23"/>
      <c r="JI305" s="23"/>
      <c r="JJ305" s="23"/>
      <c r="JK305" s="23"/>
      <c r="JL305" s="23"/>
      <c r="JM305" s="23"/>
      <c r="JN305" s="23"/>
      <c r="JO305" s="23"/>
      <c r="JP305" s="23"/>
      <c r="JQ305" s="23"/>
      <c r="JR305" s="23"/>
      <c r="JS305" s="23"/>
      <c r="JT305" s="23"/>
      <c r="JU305" s="23"/>
      <c r="JV305" s="23"/>
      <c r="JW305" s="23"/>
      <c r="JX305" s="23"/>
      <c r="JY305" s="23"/>
      <c r="JZ305" s="23"/>
      <c r="KA305" s="23"/>
      <c r="KB305" s="23"/>
      <c r="KC305" s="23"/>
      <c r="KD305" s="23"/>
      <c r="KE305" s="23"/>
      <c r="KF305" s="23"/>
      <c r="KG305" s="23"/>
      <c r="KH305" s="23"/>
      <c r="KI305" s="23"/>
      <c r="KJ305" s="23"/>
      <c r="KK305" s="23"/>
      <c r="KL305" s="23"/>
      <c r="KM305" s="23"/>
      <c r="KN305" s="23"/>
      <c r="KO305" s="23"/>
      <c r="KP305" s="23"/>
      <c r="KQ305" s="23"/>
      <c r="KR305" s="23"/>
      <c r="KS305" s="23"/>
      <c r="KT305" s="23"/>
      <c r="KU305" s="23"/>
      <c r="KV305" s="23"/>
      <c r="KW305" s="23"/>
      <c r="KX305" s="23"/>
      <c r="KY305" s="23"/>
      <c r="KZ305" s="23"/>
      <c r="LA305" s="23"/>
      <c r="LB305" s="23"/>
      <c r="LC305" s="23"/>
      <c r="LD305" s="23"/>
      <c r="LE305" s="23"/>
      <c r="LF305" s="23"/>
      <c r="LG305" s="23"/>
      <c r="LH305" s="23"/>
      <c r="LI305" s="23"/>
      <c r="LJ305" s="23"/>
      <c r="LK305" s="23"/>
      <c r="LL305" s="23"/>
      <c r="LM305" s="23"/>
      <c r="LN305" s="23"/>
      <c r="LO305" s="23"/>
    </row>
    <row r="306" spans="1:327">
      <c r="A306" s="390"/>
      <c r="B306" s="23"/>
      <c r="C306" s="391"/>
      <c r="D306" s="391"/>
      <c r="E306" s="23"/>
      <c r="F306" s="23"/>
      <c r="G306" s="392"/>
      <c r="H306" s="392"/>
      <c r="I306" s="392"/>
      <c r="J306" s="392"/>
      <c r="K306" s="392"/>
      <c r="L306" s="392"/>
      <c r="M306" s="392"/>
      <c r="N306" s="23"/>
      <c r="O306" s="39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  <c r="IL306" s="23"/>
      <c r="IM306" s="23"/>
      <c r="IN306" s="23"/>
      <c r="IO306" s="23"/>
      <c r="IP306" s="23"/>
      <c r="IQ306" s="23"/>
      <c r="IR306" s="23"/>
      <c r="IS306" s="23"/>
      <c r="IT306" s="23"/>
      <c r="IU306" s="23"/>
      <c r="IV306" s="23"/>
      <c r="IW306" s="23"/>
      <c r="IX306" s="23"/>
      <c r="IY306" s="23"/>
      <c r="IZ306" s="23"/>
      <c r="JA306" s="23"/>
      <c r="JB306" s="23"/>
      <c r="JC306" s="23"/>
      <c r="JD306" s="23"/>
      <c r="JE306" s="23"/>
      <c r="JF306" s="23"/>
      <c r="JG306" s="23"/>
      <c r="JH306" s="23"/>
      <c r="JI306" s="23"/>
      <c r="JJ306" s="23"/>
      <c r="JK306" s="23"/>
      <c r="JL306" s="23"/>
      <c r="JM306" s="23"/>
      <c r="JN306" s="23"/>
      <c r="JO306" s="23"/>
      <c r="JP306" s="23"/>
      <c r="JQ306" s="23"/>
      <c r="JR306" s="23"/>
      <c r="JS306" s="23"/>
      <c r="JT306" s="23"/>
      <c r="JU306" s="23"/>
      <c r="JV306" s="23"/>
      <c r="JW306" s="23"/>
      <c r="JX306" s="23"/>
      <c r="JY306" s="23"/>
      <c r="JZ306" s="23"/>
      <c r="KA306" s="23"/>
      <c r="KB306" s="23"/>
      <c r="KC306" s="23"/>
      <c r="KD306" s="23"/>
      <c r="KE306" s="23"/>
      <c r="KF306" s="23"/>
      <c r="KG306" s="23"/>
      <c r="KH306" s="23"/>
      <c r="KI306" s="23"/>
      <c r="KJ306" s="23"/>
      <c r="KK306" s="23"/>
      <c r="KL306" s="23"/>
      <c r="KM306" s="23"/>
      <c r="KN306" s="23"/>
      <c r="KO306" s="23"/>
      <c r="KP306" s="23"/>
      <c r="KQ306" s="23"/>
      <c r="KR306" s="23"/>
      <c r="KS306" s="23"/>
      <c r="KT306" s="23"/>
      <c r="KU306" s="23"/>
      <c r="KV306" s="23"/>
      <c r="KW306" s="23"/>
      <c r="KX306" s="23"/>
      <c r="KY306" s="23"/>
      <c r="KZ306" s="23"/>
      <c r="LA306" s="23"/>
      <c r="LB306" s="23"/>
      <c r="LC306" s="23"/>
      <c r="LD306" s="23"/>
      <c r="LE306" s="23"/>
      <c r="LF306" s="23"/>
      <c r="LG306" s="23"/>
      <c r="LH306" s="23"/>
      <c r="LI306" s="23"/>
      <c r="LJ306" s="23"/>
      <c r="LK306" s="23"/>
      <c r="LL306" s="23"/>
      <c r="LM306" s="23"/>
      <c r="LN306" s="23"/>
      <c r="LO306" s="23"/>
    </row>
    <row r="307" spans="1:327">
      <c r="A307" s="390"/>
      <c r="B307" s="23"/>
      <c r="C307" s="391"/>
      <c r="D307" s="391"/>
      <c r="E307" s="23"/>
      <c r="F307" s="23"/>
      <c r="G307" s="392"/>
      <c r="H307" s="392"/>
      <c r="I307" s="392"/>
      <c r="J307" s="392"/>
      <c r="K307" s="392"/>
      <c r="L307" s="392"/>
      <c r="M307" s="392"/>
      <c r="N307" s="23"/>
      <c r="O307" s="39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  <c r="IL307" s="23"/>
      <c r="IM307" s="23"/>
      <c r="IN307" s="23"/>
      <c r="IO307" s="23"/>
      <c r="IP307" s="23"/>
      <c r="IQ307" s="23"/>
      <c r="IR307" s="23"/>
      <c r="IS307" s="23"/>
      <c r="IT307" s="23"/>
      <c r="IU307" s="23"/>
      <c r="IV307" s="23"/>
      <c r="IW307" s="23"/>
      <c r="IX307" s="23"/>
      <c r="IY307" s="23"/>
      <c r="IZ307" s="23"/>
      <c r="JA307" s="23"/>
      <c r="JB307" s="23"/>
      <c r="JC307" s="23"/>
      <c r="JD307" s="23"/>
      <c r="JE307" s="23"/>
      <c r="JF307" s="23"/>
      <c r="JG307" s="23"/>
      <c r="JH307" s="23"/>
      <c r="JI307" s="23"/>
      <c r="JJ307" s="23"/>
      <c r="JK307" s="23"/>
      <c r="JL307" s="23"/>
      <c r="JM307" s="23"/>
      <c r="JN307" s="23"/>
      <c r="JO307" s="23"/>
      <c r="JP307" s="23"/>
      <c r="JQ307" s="23"/>
      <c r="JR307" s="23"/>
      <c r="JS307" s="23"/>
      <c r="JT307" s="23"/>
      <c r="JU307" s="23"/>
      <c r="JV307" s="23"/>
      <c r="JW307" s="23"/>
      <c r="JX307" s="23"/>
      <c r="JY307" s="23"/>
      <c r="JZ307" s="23"/>
      <c r="KA307" s="23"/>
      <c r="KB307" s="23"/>
      <c r="KC307" s="23"/>
      <c r="KD307" s="23"/>
      <c r="KE307" s="23"/>
      <c r="KF307" s="23"/>
      <c r="KG307" s="23"/>
      <c r="KH307" s="23"/>
      <c r="KI307" s="23"/>
      <c r="KJ307" s="23"/>
      <c r="KK307" s="23"/>
      <c r="KL307" s="23"/>
      <c r="KM307" s="23"/>
      <c r="KN307" s="23"/>
      <c r="KO307" s="23"/>
      <c r="KP307" s="23"/>
      <c r="KQ307" s="23"/>
      <c r="KR307" s="23"/>
      <c r="KS307" s="23"/>
      <c r="KT307" s="23"/>
      <c r="KU307" s="23"/>
      <c r="KV307" s="23"/>
      <c r="KW307" s="23"/>
      <c r="KX307" s="23"/>
      <c r="KY307" s="23"/>
      <c r="KZ307" s="23"/>
      <c r="LA307" s="23"/>
      <c r="LB307" s="23"/>
      <c r="LC307" s="23"/>
      <c r="LD307" s="23"/>
      <c r="LE307" s="23"/>
      <c r="LF307" s="23"/>
      <c r="LG307" s="23"/>
      <c r="LH307" s="23"/>
      <c r="LI307" s="23"/>
      <c r="LJ307" s="23"/>
      <c r="LK307" s="23"/>
      <c r="LL307" s="23"/>
      <c r="LM307" s="23"/>
      <c r="LN307" s="23"/>
      <c r="LO307" s="23"/>
    </row>
    <row r="308" spans="1:327">
      <c r="A308" s="390"/>
      <c r="B308" s="23"/>
      <c r="C308" s="391"/>
      <c r="D308" s="391"/>
      <c r="E308" s="23"/>
      <c r="F308" s="23"/>
      <c r="G308" s="392"/>
      <c r="H308" s="392"/>
      <c r="I308" s="392"/>
      <c r="J308" s="392"/>
      <c r="K308" s="392"/>
      <c r="L308" s="392"/>
      <c r="M308" s="392"/>
      <c r="N308" s="23"/>
      <c r="O308" s="39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  <c r="IL308" s="23"/>
      <c r="IM308" s="23"/>
      <c r="IN308" s="23"/>
      <c r="IO308" s="23"/>
      <c r="IP308" s="23"/>
      <c r="IQ308" s="23"/>
      <c r="IR308" s="23"/>
      <c r="IS308" s="23"/>
      <c r="IT308" s="23"/>
      <c r="IU308" s="23"/>
      <c r="IV308" s="23"/>
      <c r="IW308" s="23"/>
      <c r="IX308" s="23"/>
      <c r="IY308" s="23"/>
      <c r="IZ308" s="23"/>
      <c r="JA308" s="23"/>
      <c r="JB308" s="23"/>
      <c r="JC308" s="23"/>
      <c r="JD308" s="23"/>
      <c r="JE308" s="23"/>
      <c r="JF308" s="23"/>
      <c r="JG308" s="23"/>
      <c r="JH308" s="23"/>
      <c r="JI308" s="23"/>
      <c r="JJ308" s="23"/>
      <c r="JK308" s="23"/>
      <c r="JL308" s="23"/>
      <c r="JM308" s="23"/>
      <c r="JN308" s="23"/>
      <c r="JO308" s="23"/>
      <c r="JP308" s="23"/>
      <c r="JQ308" s="23"/>
      <c r="JR308" s="23"/>
      <c r="JS308" s="23"/>
      <c r="JT308" s="23"/>
      <c r="JU308" s="23"/>
      <c r="JV308" s="23"/>
      <c r="JW308" s="23"/>
      <c r="JX308" s="23"/>
      <c r="JY308" s="23"/>
      <c r="JZ308" s="23"/>
      <c r="KA308" s="23"/>
      <c r="KB308" s="23"/>
      <c r="KC308" s="23"/>
      <c r="KD308" s="23"/>
      <c r="KE308" s="23"/>
      <c r="KF308" s="23"/>
      <c r="KG308" s="23"/>
      <c r="KH308" s="23"/>
      <c r="KI308" s="23"/>
      <c r="KJ308" s="23"/>
      <c r="KK308" s="23"/>
      <c r="KL308" s="23"/>
      <c r="KM308" s="23"/>
      <c r="KN308" s="23"/>
      <c r="KO308" s="23"/>
      <c r="KP308" s="23"/>
      <c r="KQ308" s="23"/>
      <c r="KR308" s="23"/>
      <c r="KS308" s="23"/>
      <c r="KT308" s="23"/>
      <c r="KU308" s="23"/>
      <c r="KV308" s="23"/>
      <c r="KW308" s="23"/>
      <c r="KX308" s="23"/>
      <c r="KY308" s="23"/>
      <c r="KZ308" s="23"/>
      <c r="LA308" s="23"/>
      <c r="LB308" s="23"/>
      <c r="LC308" s="23"/>
      <c r="LD308" s="23"/>
      <c r="LE308" s="23"/>
      <c r="LF308" s="23"/>
      <c r="LG308" s="23"/>
      <c r="LH308" s="23"/>
      <c r="LI308" s="23"/>
      <c r="LJ308" s="23"/>
      <c r="LK308" s="23"/>
      <c r="LL308" s="23"/>
      <c r="LM308" s="23"/>
      <c r="LN308" s="23"/>
      <c r="LO308" s="23"/>
    </row>
    <row r="309" spans="1:327">
      <c r="A309" s="390"/>
      <c r="B309" s="23"/>
      <c r="C309" s="391"/>
      <c r="D309" s="391"/>
      <c r="E309" s="23"/>
      <c r="F309" s="23"/>
      <c r="G309" s="392"/>
      <c r="H309" s="392"/>
      <c r="I309" s="392"/>
      <c r="J309" s="392"/>
      <c r="K309" s="392"/>
      <c r="L309" s="392"/>
      <c r="M309" s="392"/>
      <c r="N309" s="23"/>
      <c r="O309" s="39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  <c r="IL309" s="23"/>
      <c r="IM309" s="23"/>
      <c r="IN309" s="23"/>
      <c r="IO309" s="23"/>
      <c r="IP309" s="23"/>
      <c r="IQ309" s="23"/>
      <c r="IR309" s="23"/>
      <c r="IS309" s="23"/>
      <c r="IT309" s="23"/>
      <c r="IU309" s="23"/>
      <c r="IV309" s="23"/>
      <c r="IW309" s="23"/>
      <c r="IX309" s="23"/>
      <c r="IY309" s="23"/>
      <c r="IZ309" s="23"/>
      <c r="JA309" s="23"/>
      <c r="JB309" s="23"/>
      <c r="JC309" s="23"/>
      <c r="JD309" s="23"/>
      <c r="JE309" s="23"/>
      <c r="JF309" s="23"/>
      <c r="JG309" s="23"/>
      <c r="JH309" s="23"/>
      <c r="JI309" s="23"/>
      <c r="JJ309" s="23"/>
      <c r="JK309" s="23"/>
      <c r="JL309" s="23"/>
      <c r="JM309" s="23"/>
      <c r="JN309" s="23"/>
      <c r="JO309" s="23"/>
      <c r="JP309" s="23"/>
      <c r="JQ309" s="23"/>
      <c r="JR309" s="23"/>
      <c r="JS309" s="23"/>
      <c r="JT309" s="23"/>
      <c r="JU309" s="23"/>
      <c r="JV309" s="23"/>
      <c r="JW309" s="23"/>
      <c r="JX309" s="23"/>
      <c r="JY309" s="23"/>
      <c r="JZ309" s="23"/>
      <c r="KA309" s="23"/>
      <c r="KB309" s="23"/>
      <c r="KC309" s="23"/>
      <c r="KD309" s="23"/>
      <c r="KE309" s="23"/>
      <c r="KF309" s="23"/>
      <c r="KG309" s="23"/>
      <c r="KH309" s="23"/>
      <c r="KI309" s="23"/>
      <c r="KJ309" s="23"/>
      <c r="KK309" s="23"/>
      <c r="KL309" s="23"/>
      <c r="KM309" s="23"/>
      <c r="KN309" s="23"/>
      <c r="KO309" s="23"/>
      <c r="KP309" s="23"/>
      <c r="KQ309" s="23"/>
      <c r="KR309" s="23"/>
      <c r="KS309" s="23"/>
      <c r="KT309" s="23"/>
      <c r="KU309" s="23"/>
      <c r="KV309" s="23"/>
      <c r="KW309" s="23"/>
      <c r="KX309" s="23"/>
      <c r="KY309" s="23"/>
      <c r="KZ309" s="23"/>
      <c r="LA309" s="23"/>
      <c r="LB309" s="23"/>
      <c r="LC309" s="23"/>
      <c r="LD309" s="23"/>
      <c r="LE309" s="23"/>
      <c r="LF309" s="23"/>
      <c r="LG309" s="23"/>
      <c r="LH309" s="23"/>
      <c r="LI309" s="23"/>
      <c r="LJ309" s="23"/>
      <c r="LK309" s="23"/>
      <c r="LL309" s="23"/>
      <c r="LM309" s="23"/>
      <c r="LN309" s="23"/>
      <c r="LO309" s="23"/>
    </row>
    <row r="310" spans="1:327">
      <c r="A310" s="390"/>
      <c r="B310" s="23"/>
      <c r="C310" s="391"/>
      <c r="D310" s="391"/>
      <c r="E310" s="23"/>
      <c r="F310" s="23"/>
      <c r="G310" s="392"/>
      <c r="H310" s="392"/>
      <c r="I310" s="392"/>
      <c r="J310" s="392"/>
      <c r="K310" s="392"/>
      <c r="L310" s="392"/>
      <c r="M310" s="392"/>
      <c r="N310" s="23"/>
      <c r="O310" s="39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  <c r="IL310" s="23"/>
      <c r="IM310" s="23"/>
      <c r="IN310" s="23"/>
      <c r="IO310" s="23"/>
      <c r="IP310" s="23"/>
      <c r="IQ310" s="23"/>
      <c r="IR310" s="23"/>
      <c r="IS310" s="23"/>
      <c r="IT310" s="23"/>
      <c r="IU310" s="23"/>
      <c r="IV310" s="23"/>
      <c r="IW310" s="23"/>
      <c r="IX310" s="23"/>
      <c r="IY310" s="23"/>
      <c r="IZ310" s="23"/>
      <c r="JA310" s="23"/>
      <c r="JB310" s="23"/>
      <c r="JC310" s="23"/>
      <c r="JD310" s="23"/>
      <c r="JE310" s="23"/>
      <c r="JF310" s="23"/>
      <c r="JG310" s="23"/>
      <c r="JH310" s="23"/>
      <c r="JI310" s="23"/>
      <c r="JJ310" s="23"/>
      <c r="JK310" s="23"/>
      <c r="JL310" s="23"/>
      <c r="JM310" s="23"/>
      <c r="JN310" s="23"/>
      <c r="JO310" s="23"/>
      <c r="JP310" s="23"/>
      <c r="JQ310" s="23"/>
      <c r="JR310" s="23"/>
      <c r="JS310" s="23"/>
      <c r="JT310" s="23"/>
      <c r="JU310" s="23"/>
      <c r="JV310" s="23"/>
      <c r="JW310" s="23"/>
      <c r="JX310" s="23"/>
      <c r="JY310" s="23"/>
      <c r="JZ310" s="23"/>
      <c r="KA310" s="23"/>
      <c r="KB310" s="23"/>
      <c r="KC310" s="23"/>
      <c r="KD310" s="23"/>
      <c r="KE310" s="23"/>
      <c r="KF310" s="23"/>
      <c r="KG310" s="23"/>
      <c r="KH310" s="23"/>
      <c r="KI310" s="23"/>
      <c r="KJ310" s="23"/>
      <c r="KK310" s="23"/>
      <c r="KL310" s="23"/>
      <c r="KM310" s="23"/>
      <c r="KN310" s="23"/>
      <c r="KO310" s="23"/>
      <c r="KP310" s="23"/>
      <c r="KQ310" s="23"/>
      <c r="KR310" s="23"/>
      <c r="KS310" s="23"/>
      <c r="KT310" s="23"/>
      <c r="KU310" s="23"/>
      <c r="KV310" s="23"/>
      <c r="KW310" s="23"/>
      <c r="KX310" s="23"/>
      <c r="KY310" s="23"/>
      <c r="KZ310" s="23"/>
      <c r="LA310" s="23"/>
      <c r="LB310" s="23"/>
      <c r="LC310" s="23"/>
      <c r="LD310" s="23"/>
      <c r="LE310" s="23"/>
      <c r="LF310" s="23"/>
      <c r="LG310" s="23"/>
      <c r="LH310" s="23"/>
      <c r="LI310" s="23"/>
      <c r="LJ310" s="23"/>
      <c r="LK310" s="23"/>
      <c r="LL310" s="23"/>
      <c r="LM310" s="23"/>
      <c r="LN310" s="23"/>
      <c r="LO310" s="23"/>
    </row>
    <row r="311" spans="1:327">
      <c r="A311" s="390"/>
      <c r="B311" s="23"/>
      <c r="C311" s="391"/>
      <c r="D311" s="391"/>
      <c r="E311" s="23"/>
      <c r="F311" s="23"/>
      <c r="G311" s="392"/>
      <c r="H311" s="392"/>
      <c r="I311" s="392"/>
      <c r="J311" s="392"/>
      <c r="K311" s="392"/>
      <c r="L311" s="392"/>
      <c r="M311" s="392"/>
      <c r="N311" s="23"/>
      <c r="O311" s="39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  <c r="IL311" s="23"/>
      <c r="IM311" s="23"/>
      <c r="IN311" s="23"/>
      <c r="IO311" s="23"/>
      <c r="IP311" s="23"/>
      <c r="IQ311" s="23"/>
      <c r="IR311" s="23"/>
      <c r="IS311" s="23"/>
      <c r="IT311" s="23"/>
      <c r="IU311" s="23"/>
      <c r="IV311" s="23"/>
      <c r="IW311" s="23"/>
      <c r="IX311" s="23"/>
      <c r="IY311" s="23"/>
      <c r="IZ311" s="23"/>
      <c r="JA311" s="23"/>
      <c r="JB311" s="23"/>
      <c r="JC311" s="23"/>
      <c r="JD311" s="23"/>
      <c r="JE311" s="23"/>
      <c r="JF311" s="23"/>
      <c r="JG311" s="23"/>
      <c r="JH311" s="23"/>
      <c r="JI311" s="23"/>
      <c r="JJ311" s="23"/>
      <c r="JK311" s="23"/>
      <c r="JL311" s="23"/>
      <c r="JM311" s="23"/>
      <c r="JN311" s="23"/>
      <c r="JO311" s="23"/>
      <c r="JP311" s="23"/>
      <c r="JQ311" s="23"/>
      <c r="JR311" s="23"/>
      <c r="JS311" s="23"/>
      <c r="JT311" s="23"/>
      <c r="JU311" s="23"/>
      <c r="JV311" s="23"/>
      <c r="JW311" s="23"/>
      <c r="JX311" s="23"/>
      <c r="JY311" s="23"/>
      <c r="JZ311" s="23"/>
      <c r="KA311" s="23"/>
      <c r="KB311" s="23"/>
      <c r="KC311" s="23"/>
      <c r="KD311" s="23"/>
      <c r="KE311" s="23"/>
      <c r="KF311" s="23"/>
      <c r="KG311" s="23"/>
      <c r="KH311" s="23"/>
      <c r="KI311" s="23"/>
      <c r="KJ311" s="23"/>
      <c r="KK311" s="23"/>
      <c r="KL311" s="23"/>
      <c r="KM311" s="23"/>
      <c r="KN311" s="23"/>
      <c r="KO311" s="23"/>
      <c r="KP311" s="23"/>
      <c r="KQ311" s="23"/>
      <c r="KR311" s="23"/>
      <c r="KS311" s="23"/>
      <c r="KT311" s="23"/>
      <c r="KU311" s="23"/>
      <c r="KV311" s="23"/>
      <c r="KW311" s="23"/>
      <c r="KX311" s="23"/>
      <c r="KY311" s="23"/>
      <c r="KZ311" s="23"/>
      <c r="LA311" s="23"/>
      <c r="LB311" s="23"/>
      <c r="LC311" s="23"/>
      <c r="LD311" s="23"/>
      <c r="LE311" s="23"/>
      <c r="LF311" s="23"/>
      <c r="LG311" s="23"/>
      <c r="LH311" s="23"/>
      <c r="LI311" s="23"/>
      <c r="LJ311" s="23"/>
      <c r="LK311" s="23"/>
      <c r="LL311" s="23"/>
      <c r="LM311" s="23"/>
      <c r="LN311" s="23"/>
      <c r="LO311" s="23"/>
    </row>
    <row r="312" spans="1:327">
      <c r="A312" s="390"/>
      <c r="B312" s="23"/>
      <c r="C312" s="391"/>
      <c r="D312" s="391"/>
      <c r="E312" s="23"/>
      <c r="F312" s="23"/>
      <c r="G312" s="392"/>
      <c r="H312" s="392"/>
      <c r="I312" s="392"/>
      <c r="J312" s="392"/>
      <c r="K312" s="392"/>
      <c r="L312" s="392"/>
      <c r="M312" s="392"/>
      <c r="N312" s="23"/>
      <c r="O312" s="39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  <c r="IL312" s="23"/>
      <c r="IM312" s="23"/>
      <c r="IN312" s="23"/>
      <c r="IO312" s="23"/>
      <c r="IP312" s="23"/>
      <c r="IQ312" s="23"/>
      <c r="IR312" s="23"/>
      <c r="IS312" s="23"/>
      <c r="IT312" s="23"/>
      <c r="IU312" s="23"/>
      <c r="IV312" s="23"/>
      <c r="IW312" s="23"/>
      <c r="IX312" s="23"/>
      <c r="IY312" s="23"/>
      <c r="IZ312" s="23"/>
      <c r="JA312" s="23"/>
      <c r="JB312" s="23"/>
      <c r="JC312" s="23"/>
      <c r="JD312" s="23"/>
      <c r="JE312" s="23"/>
      <c r="JF312" s="23"/>
      <c r="JG312" s="23"/>
      <c r="JH312" s="23"/>
      <c r="JI312" s="23"/>
      <c r="JJ312" s="23"/>
      <c r="JK312" s="23"/>
      <c r="JL312" s="23"/>
      <c r="JM312" s="23"/>
      <c r="JN312" s="23"/>
      <c r="JO312" s="23"/>
      <c r="JP312" s="23"/>
      <c r="JQ312" s="23"/>
      <c r="JR312" s="23"/>
      <c r="JS312" s="23"/>
      <c r="JT312" s="23"/>
      <c r="JU312" s="23"/>
      <c r="JV312" s="23"/>
      <c r="JW312" s="23"/>
      <c r="JX312" s="23"/>
      <c r="JY312" s="23"/>
      <c r="JZ312" s="23"/>
      <c r="KA312" s="23"/>
      <c r="KB312" s="23"/>
      <c r="KC312" s="23"/>
      <c r="KD312" s="23"/>
      <c r="KE312" s="23"/>
      <c r="KF312" s="23"/>
      <c r="KG312" s="23"/>
      <c r="KH312" s="23"/>
      <c r="KI312" s="23"/>
      <c r="KJ312" s="23"/>
      <c r="KK312" s="23"/>
      <c r="KL312" s="23"/>
      <c r="KM312" s="23"/>
      <c r="KN312" s="23"/>
      <c r="KO312" s="23"/>
      <c r="KP312" s="23"/>
      <c r="KQ312" s="23"/>
      <c r="KR312" s="23"/>
      <c r="KS312" s="23"/>
      <c r="KT312" s="23"/>
      <c r="KU312" s="23"/>
      <c r="KV312" s="23"/>
      <c r="KW312" s="23"/>
      <c r="KX312" s="23"/>
      <c r="KY312" s="23"/>
      <c r="KZ312" s="23"/>
      <c r="LA312" s="23"/>
      <c r="LB312" s="23"/>
      <c r="LC312" s="23"/>
      <c r="LD312" s="23"/>
      <c r="LE312" s="23"/>
      <c r="LF312" s="23"/>
      <c r="LG312" s="23"/>
      <c r="LH312" s="23"/>
      <c r="LI312" s="23"/>
      <c r="LJ312" s="23"/>
      <c r="LK312" s="23"/>
      <c r="LL312" s="23"/>
      <c r="LM312" s="23"/>
      <c r="LN312" s="23"/>
      <c r="LO312" s="23"/>
    </row>
    <row r="313" spans="1:327">
      <c r="A313" s="390"/>
      <c r="B313" s="23"/>
      <c r="C313" s="391"/>
      <c r="D313" s="391"/>
      <c r="E313" s="23"/>
      <c r="F313" s="23"/>
      <c r="G313" s="392"/>
      <c r="H313" s="392"/>
      <c r="I313" s="392"/>
      <c r="J313" s="392"/>
      <c r="K313" s="392"/>
      <c r="L313" s="392"/>
      <c r="M313" s="392"/>
      <c r="N313" s="23"/>
      <c r="O313" s="39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  <c r="IL313" s="23"/>
      <c r="IM313" s="23"/>
      <c r="IN313" s="23"/>
      <c r="IO313" s="23"/>
      <c r="IP313" s="23"/>
      <c r="IQ313" s="23"/>
      <c r="IR313" s="23"/>
      <c r="IS313" s="23"/>
      <c r="IT313" s="23"/>
      <c r="IU313" s="23"/>
      <c r="IV313" s="23"/>
      <c r="IW313" s="23"/>
      <c r="IX313" s="23"/>
      <c r="IY313" s="23"/>
      <c r="IZ313" s="23"/>
      <c r="JA313" s="23"/>
      <c r="JB313" s="23"/>
      <c r="JC313" s="23"/>
      <c r="JD313" s="23"/>
      <c r="JE313" s="23"/>
      <c r="JF313" s="23"/>
      <c r="JG313" s="23"/>
      <c r="JH313" s="23"/>
      <c r="JI313" s="23"/>
      <c r="JJ313" s="23"/>
      <c r="JK313" s="23"/>
      <c r="JL313" s="23"/>
      <c r="JM313" s="23"/>
      <c r="JN313" s="23"/>
      <c r="JO313" s="23"/>
      <c r="JP313" s="23"/>
      <c r="JQ313" s="23"/>
      <c r="JR313" s="23"/>
      <c r="JS313" s="23"/>
      <c r="JT313" s="23"/>
      <c r="JU313" s="23"/>
      <c r="JV313" s="23"/>
      <c r="JW313" s="23"/>
      <c r="JX313" s="23"/>
      <c r="JY313" s="23"/>
      <c r="JZ313" s="23"/>
      <c r="KA313" s="23"/>
      <c r="KB313" s="23"/>
      <c r="KC313" s="23"/>
      <c r="KD313" s="23"/>
      <c r="KE313" s="23"/>
      <c r="KF313" s="23"/>
      <c r="KG313" s="23"/>
      <c r="KH313" s="23"/>
      <c r="KI313" s="23"/>
      <c r="KJ313" s="23"/>
      <c r="KK313" s="23"/>
      <c r="KL313" s="23"/>
      <c r="KM313" s="23"/>
      <c r="KN313" s="23"/>
      <c r="KO313" s="23"/>
      <c r="KP313" s="23"/>
      <c r="KQ313" s="23"/>
      <c r="KR313" s="23"/>
      <c r="KS313" s="23"/>
      <c r="KT313" s="23"/>
      <c r="KU313" s="23"/>
      <c r="KV313" s="23"/>
      <c r="KW313" s="23"/>
      <c r="KX313" s="23"/>
      <c r="KY313" s="23"/>
      <c r="KZ313" s="23"/>
      <c r="LA313" s="23"/>
      <c r="LB313" s="23"/>
      <c r="LC313" s="23"/>
      <c r="LD313" s="23"/>
      <c r="LE313" s="23"/>
      <c r="LF313" s="23"/>
      <c r="LG313" s="23"/>
      <c r="LH313" s="23"/>
      <c r="LI313" s="23"/>
      <c r="LJ313" s="23"/>
      <c r="LK313" s="23"/>
      <c r="LL313" s="23"/>
      <c r="LM313" s="23"/>
      <c r="LN313" s="23"/>
      <c r="LO313" s="23"/>
    </row>
    <row r="314" spans="1:327">
      <c r="A314" s="390"/>
      <c r="B314" s="23"/>
      <c r="C314" s="391"/>
      <c r="D314" s="391"/>
      <c r="E314" s="23"/>
      <c r="F314" s="23"/>
      <c r="G314" s="392"/>
      <c r="H314" s="392"/>
      <c r="I314" s="392"/>
      <c r="J314" s="392"/>
      <c r="K314" s="392"/>
      <c r="L314" s="392"/>
      <c r="M314" s="392"/>
      <c r="N314" s="23"/>
      <c r="O314" s="39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  <c r="IL314" s="23"/>
      <c r="IM314" s="23"/>
      <c r="IN314" s="23"/>
      <c r="IO314" s="23"/>
      <c r="IP314" s="23"/>
      <c r="IQ314" s="23"/>
      <c r="IR314" s="23"/>
      <c r="IS314" s="23"/>
      <c r="IT314" s="23"/>
      <c r="IU314" s="23"/>
      <c r="IV314" s="23"/>
      <c r="IW314" s="23"/>
      <c r="IX314" s="23"/>
      <c r="IY314" s="23"/>
      <c r="IZ314" s="23"/>
      <c r="JA314" s="23"/>
      <c r="JB314" s="23"/>
      <c r="JC314" s="23"/>
      <c r="JD314" s="23"/>
      <c r="JE314" s="23"/>
      <c r="JF314" s="23"/>
      <c r="JG314" s="23"/>
      <c r="JH314" s="23"/>
      <c r="JI314" s="23"/>
      <c r="JJ314" s="23"/>
      <c r="JK314" s="23"/>
      <c r="JL314" s="23"/>
      <c r="JM314" s="23"/>
      <c r="JN314" s="23"/>
      <c r="JO314" s="23"/>
      <c r="JP314" s="23"/>
      <c r="JQ314" s="23"/>
      <c r="JR314" s="23"/>
      <c r="JS314" s="23"/>
      <c r="JT314" s="23"/>
      <c r="JU314" s="23"/>
      <c r="JV314" s="23"/>
      <c r="JW314" s="23"/>
      <c r="JX314" s="23"/>
      <c r="JY314" s="23"/>
      <c r="JZ314" s="23"/>
      <c r="KA314" s="23"/>
      <c r="KB314" s="23"/>
      <c r="KC314" s="23"/>
      <c r="KD314" s="23"/>
      <c r="KE314" s="23"/>
      <c r="KF314" s="23"/>
      <c r="KG314" s="23"/>
      <c r="KH314" s="23"/>
      <c r="KI314" s="23"/>
      <c r="KJ314" s="23"/>
      <c r="KK314" s="23"/>
      <c r="KL314" s="23"/>
      <c r="KM314" s="23"/>
      <c r="KN314" s="23"/>
      <c r="KO314" s="23"/>
      <c r="KP314" s="23"/>
      <c r="KQ314" s="23"/>
      <c r="KR314" s="23"/>
      <c r="KS314" s="23"/>
      <c r="KT314" s="23"/>
      <c r="KU314" s="23"/>
      <c r="KV314" s="23"/>
      <c r="KW314" s="23"/>
      <c r="KX314" s="23"/>
      <c r="KY314" s="23"/>
      <c r="KZ314" s="23"/>
      <c r="LA314" s="23"/>
      <c r="LB314" s="23"/>
      <c r="LC314" s="23"/>
      <c r="LD314" s="23"/>
      <c r="LE314" s="23"/>
      <c r="LF314" s="23"/>
      <c r="LG314" s="23"/>
      <c r="LH314" s="23"/>
      <c r="LI314" s="23"/>
      <c r="LJ314" s="23"/>
      <c r="LK314" s="23"/>
      <c r="LL314" s="23"/>
      <c r="LM314" s="23"/>
      <c r="LN314" s="23"/>
      <c r="LO314" s="23"/>
    </row>
    <row r="315" spans="1:327">
      <c r="A315" s="390"/>
      <c r="B315" s="23"/>
      <c r="C315" s="391"/>
      <c r="D315" s="391"/>
      <c r="E315" s="23"/>
      <c r="F315" s="23"/>
      <c r="G315" s="392"/>
      <c r="H315" s="392"/>
      <c r="I315" s="392"/>
      <c r="J315" s="392"/>
      <c r="K315" s="392"/>
      <c r="L315" s="392"/>
      <c r="M315" s="392"/>
      <c r="N315" s="23"/>
      <c r="O315" s="39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  <c r="IL315" s="23"/>
      <c r="IM315" s="23"/>
      <c r="IN315" s="23"/>
      <c r="IO315" s="23"/>
      <c r="IP315" s="23"/>
      <c r="IQ315" s="23"/>
      <c r="IR315" s="23"/>
      <c r="IS315" s="23"/>
      <c r="IT315" s="23"/>
      <c r="IU315" s="23"/>
      <c r="IV315" s="23"/>
      <c r="IW315" s="23"/>
      <c r="IX315" s="23"/>
      <c r="IY315" s="23"/>
      <c r="IZ315" s="23"/>
      <c r="JA315" s="23"/>
      <c r="JB315" s="23"/>
      <c r="JC315" s="23"/>
      <c r="JD315" s="23"/>
      <c r="JE315" s="23"/>
      <c r="JF315" s="23"/>
      <c r="JG315" s="23"/>
      <c r="JH315" s="23"/>
      <c r="JI315" s="23"/>
      <c r="JJ315" s="23"/>
      <c r="JK315" s="23"/>
      <c r="JL315" s="23"/>
      <c r="JM315" s="23"/>
      <c r="JN315" s="23"/>
      <c r="JO315" s="23"/>
      <c r="JP315" s="23"/>
      <c r="JQ315" s="23"/>
      <c r="JR315" s="23"/>
      <c r="JS315" s="23"/>
      <c r="JT315" s="23"/>
      <c r="JU315" s="23"/>
      <c r="JV315" s="23"/>
      <c r="JW315" s="23"/>
      <c r="JX315" s="23"/>
      <c r="JY315" s="23"/>
      <c r="JZ315" s="23"/>
      <c r="KA315" s="23"/>
      <c r="KB315" s="23"/>
      <c r="KC315" s="23"/>
      <c r="KD315" s="23"/>
      <c r="KE315" s="23"/>
      <c r="KF315" s="23"/>
      <c r="KG315" s="23"/>
      <c r="KH315" s="23"/>
      <c r="KI315" s="23"/>
      <c r="KJ315" s="23"/>
      <c r="KK315" s="23"/>
      <c r="KL315" s="23"/>
      <c r="KM315" s="23"/>
      <c r="KN315" s="23"/>
      <c r="KO315" s="23"/>
      <c r="KP315" s="23"/>
      <c r="KQ315" s="23"/>
      <c r="KR315" s="23"/>
      <c r="KS315" s="23"/>
      <c r="KT315" s="23"/>
      <c r="KU315" s="23"/>
      <c r="KV315" s="23"/>
      <c r="KW315" s="23"/>
      <c r="KX315" s="23"/>
      <c r="KY315" s="23"/>
      <c r="KZ315" s="23"/>
      <c r="LA315" s="23"/>
      <c r="LB315" s="23"/>
      <c r="LC315" s="23"/>
      <c r="LD315" s="23"/>
      <c r="LE315" s="23"/>
      <c r="LF315" s="23"/>
      <c r="LG315" s="23"/>
      <c r="LH315" s="23"/>
      <c r="LI315" s="23"/>
      <c r="LJ315" s="23"/>
      <c r="LK315" s="23"/>
      <c r="LL315" s="23"/>
      <c r="LM315" s="23"/>
      <c r="LN315" s="23"/>
      <c r="LO315" s="23"/>
    </row>
    <row r="316" spans="1:327">
      <c r="A316" s="390"/>
      <c r="B316" s="23"/>
      <c r="C316" s="391"/>
      <c r="D316" s="391"/>
      <c r="E316" s="23"/>
      <c r="F316" s="23"/>
      <c r="G316" s="392"/>
      <c r="H316" s="392"/>
      <c r="I316" s="392"/>
      <c r="J316" s="392"/>
      <c r="K316" s="392"/>
      <c r="L316" s="392"/>
      <c r="M316" s="392"/>
      <c r="N316" s="23"/>
      <c r="O316" s="39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  <c r="IL316" s="23"/>
      <c r="IM316" s="23"/>
      <c r="IN316" s="23"/>
      <c r="IO316" s="23"/>
      <c r="IP316" s="23"/>
      <c r="IQ316" s="23"/>
      <c r="IR316" s="23"/>
      <c r="IS316" s="23"/>
      <c r="IT316" s="23"/>
      <c r="IU316" s="23"/>
      <c r="IV316" s="23"/>
      <c r="IW316" s="23"/>
      <c r="IX316" s="23"/>
      <c r="IY316" s="23"/>
      <c r="IZ316" s="23"/>
      <c r="JA316" s="23"/>
      <c r="JB316" s="23"/>
      <c r="JC316" s="23"/>
      <c r="JD316" s="23"/>
      <c r="JE316" s="23"/>
      <c r="JF316" s="23"/>
      <c r="JG316" s="23"/>
      <c r="JH316" s="23"/>
      <c r="JI316" s="23"/>
      <c r="JJ316" s="23"/>
      <c r="JK316" s="23"/>
      <c r="JL316" s="23"/>
      <c r="JM316" s="23"/>
      <c r="JN316" s="23"/>
      <c r="JO316" s="23"/>
      <c r="JP316" s="23"/>
      <c r="JQ316" s="23"/>
      <c r="JR316" s="23"/>
      <c r="JS316" s="23"/>
      <c r="JT316" s="23"/>
      <c r="JU316" s="23"/>
      <c r="JV316" s="23"/>
      <c r="JW316" s="23"/>
      <c r="JX316" s="23"/>
      <c r="JY316" s="23"/>
      <c r="JZ316" s="23"/>
      <c r="KA316" s="23"/>
      <c r="KB316" s="23"/>
      <c r="KC316" s="23"/>
      <c r="KD316" s="23"/>
      <c r="KE316" s="23"/>
      <c r="KF316" s="23"/>
      <c r="KG316" s="23"/>
      <c r="KH316" s="23"/>
      <c r="KI316" s="23"/>
      <c r="KJ316" s="23"/>
      <c r="KK316" s="23"/>
      <c r="KL316" s="23"/>
      <c r="KM316" s="23"/>
      <c r="KN316" s="23"/>
      <c r="KO316" s="23"/>
      <c r="KP316" s="23"/>
      <c r="KQ316" s="23"/>
      <c r="KR316" s="23"/>
      <c r="KS316" s="23"/>
      <c r="KT316" s="23"/>
      <c r="KU316" s="23"/>
      <c r="KV316" s="23"/>
      <c r="KW316" s="23"/>
      <c r="KX316" s="23"/>
      <c r="KY316" s="23"/>
      <c r="KZ316" s="23"/>
      <c r="LA316" s="23"/>
      <c r="LB316" s="23"/>
      <c r="LC316" s="23"/>
      <c r="LD316" s="23"/>
      <c r="LE316" s="23"/>
      <c r="LF316" s="23"/>
      <c r="LG316" s="23"/>
      <c r="LH316" s="23"/>
      <c r="LI316" s="23"/>
      <c r="LJ316" s="23"/>
      <c r="LK316" s="23"/>
      <c r="LL316" s="23"/>
      <c r="LM316" s="23"/>
      <c r="LN316" s="23"/>
      <c r="LO316" s="23"/>
    </row>
    <row r="317" spans="1:327">
      <c r="A317" s="390"/>
      <c r="B317" s="23"/>
      <c r="C317" s="391"/>
      <c r="D317" s="391"/>
      <c r="E317" s="23"/>
      <c r="F317" s="23"/>
      <c r="G317" s="392"/>
      <c r="H317" s="392"/>
      <c r="I317" s="392"/>
      <c r="J317" s="392"/>
      <c r="K317" s="392"/>
      <c r="L317" s="392"/>
      <c r="M317" s="392"/>
      <c r="N317" s="23"/>
      <c r="O317" s="39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  <c r="IL317" s="23"/>
      <c r="IM317" s="23"/>
      <c r="IN317" s="23"/>
      <c r="IO317" s="23"/>
      <c r="IP317" s="23"/>
      <c r="IQ317" s="23"/>
      <c r="IR317" s="23"/>
      <c r="IS317" s="23"/>
      <c r="IT317" s="23"/>
      <c r="IU317" s="23"/>
      <c r="IV317" s="23"/>
      <c r="IW317" s="23"/>
      <c r="IX317" s="23"/>
      <c r="IY317" s="23"/>
      <c r="IZ317" s="23"/>
      <c r="JA317" s="23"/>
      <c r="JB317" s="23"/>
      <c r="JC317" s="23"/>
      <c r="JD317" s="23"/>
      <c r="JE317" s="23"/>
      <c r="JF317" s="23"/>
      <c r="JG317" s="23"/>
      <c r="JH317" s="23"/>
      <c r="JI317" s="23"/>
      <c r="JJ317" s="23"/>
      <c r="JK317" s="23"/>
      <c r="JL317" s="23"/>
      <c r="JM317" s="23"/>
      <c r="JN317" s="23"/>
      <c r="JO317" s="23"/>
      <c r="JP317" s="23"/>
      <c r="JQ317" s="23"/>
      <c r="JR317" s="23"/>
      <c r="JS317" s="23"/>
      <c r="JT317" s="23"/>
      <c r="JU317" s="23"/>
      <c r="JV317" s="23"/>
      <c r="JW317" s="23"/>
      <c r="JX317" s="23"/>
      <c r="JY317" s="23"/>
      <c r="JZ317" s="23"/>
      <c r="KA317" s="23"/>
      <c r="KB317" s="23"/>
      <c r="KC317" s="23"/>
      <c r="KD317" s="23"/>
      <c r="KE317" s="23"/>
      <c r="KF317" s="23"/>
      <c r="KG317" s="23"/>
      <c r="KH317" s="23"/>
      <c r="KI317" s="23"/>
      <c r="KJ317" s="23"/>
      <c r="KK317" s="23"/>
      <c r="KL317" s="23"/>
      <c r="KM317" s="23"/>
      <c r="KN317" s="23"/>
      <c r="KO317" s="23"/>
      <c r="KP317" s="23"/>
      <c r="KQ317" s="23"/>
      <c r="KR317" s="23"/>
      <c r="KS317" s="23"/>
      <c r="KT317" s="23"/>
      <c r="KU317" s="23"/>
      <c r="KV317" s="23"/>
      <c r="KW317" s="23"/>
      <c r="KX317" s="23"/>
      <c r="KY317" s="23"/>
      <c r="KZ317" s="23"/>
      <c r="LA317" s="23"/>
      <c r="LB317" s="23"/>
      <c r="LC317" s="23"/>
      <c r="LD317" s="23"/>
      <c r="LE317" s="23"/>
      <c r="LF317" s="23"/>
      <c r="LG317" s="23"/>
      <c r="LH317" s="23"/>
      <c r="LI317" s="23"/>
      <c r="LJ317" s="23"/>
      <c r="LK317" s="23"/>
      <c r="LL317" s="23"/>
      <c r="LM317" s="23"/>
      <c r="LN317" s="23"/>
      <c r="LO317" s="23"/>
    </row>
    <row r="318" spans="1:327">
      <c r="A318" s="390"/>
      <c r="B318" s="23"/>
      <c r="C318" s="391"/>
      <c r="D318" s="391"/>
      <c r="E318" s="23"/>
      <c r="F318" s="23"/>
      <c r="G318" s="392"/>
      <c r="H318" s="392"/>
      <c r="I318" s="392"/>
      <c r="J318" s="392"/>
      <c r="K318" s="392"/>
      <c r="L318" s="392"/>
      <c r="M318" s="392"/>
      <c r="N318" s="23"/>
      <c r="O318" s="39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  <c r="IL318" s="23"/>
      <c r="IM318" s="23"/>
      <c r="IN318" s="23"/>
      <c r="IO318" s="23"/>
      <c r="IP318" s="23"/>
      <c r="IQ318" s="23"/>
      <c r="IR318" s="23"/>
      <c r="IS318" s="23"/>
      <c r="IT318" s="23"/>
      <c r="IU318" s="23"/>
      <c r="IV318" s="23"/>
      <c r="IW318" s="23"/>
      <c r="IX318" s="23"/>
      <c r="IY318" s="23"/>
      <c r="IZ318" s="23"/>
      <c r="JA318" s="23"/>
      <c r="JB318" s="23"/>
      <c r="JC318" s="23"/>
      <c r="JD318" s="23"/>
      <c r="JE318" s="23"/>
      <c r="JF318" s="23"/>
      <c r="JG318" s="23"/>
      <c r="JH318" s="23"/>
      <c r="JI318" s="23"/>
      <c r="JJ318" s="23"/>
      <c r="JK318" s="23"/>
      <c r="JL318" s="23"/>
      <c r="JM318" s="23"/>
      <c r="JN318" s="23"/>
      <c r="JO318" s="23"/>
      <c r="JP318" s="23"/>
      <c r="JQ318" s="23"/>
      <c r="JR318" s="23"/>
      <c r="JS318" s="23"/>
      <c r="JT318" s="23"/>
      <c r="JU318" s="23"/>
      <c r="JV318" s="23"/>
      <c r="JW318" s="23"/>
      <c r="JX318" s="23"/>
      <c r="JY318" s="23"/>
      <c r="JZ318" s="23"/>
      <c r="KA318" s="23"/>
      <c r="KB318" s="23"/>
      <c r="KC318" s="23"/>
      <c r="KD318" s="23"/>
      <c r="KE318" s="23"/>
      <c r="KF318" s="23"/>
      <c r="KG318" s="23"/>
      <c r="KH318" s="23"/>
      <c r="KI318" s="23"/>
      <c r="KJ318" s="23"/>
      <c r="KK318" s="23"/>
      <c r="KL318" s="23"/>
      <c r="KM318" s="23"/>
      <c r="KN318" s="23"/>
      <c r="KO318" s="23"/>
      <c r="KP318" s="23"/>
      <c r="KQ318" s="23"/>
      <c r="KR318" s="23"/>
      <c r="KS318" s="23"/>
      <c r="KT318" s="23"/>
      <c r="KU318" s="23"/>
      <c r="KV318" s="23"/>
      <c r="KW318" s="23"/>
      <c r="KX318" s="23"/>
      <c r="KY318" s="23"/>
      <c r="KZ318" s="23"/>
      <c r="LA318" s="23"/>
      <c r="LB318" s="23"/>
      <c r="LC318" s="23"/>
      <c r="LD318" s="23"/>
      <c r="LE318" s="23"/>
      <c r="LF318" s="23"/>
      <c r="LG318" s="23"/>
      <c r="LH318" s="23"/>
      <c r="LI318" s="23"/>
      <c r="LJ318" s="23"/>
      <c r="LK318" s="23"/>
      <c r="LL318" s="23"/>
      <c r="LM318" s="23"/>
      <c r="LN318" s="23"/>
      <c r="LO318" s="23"/>
    </row>
    <row r="319" spans="1:327">
      <c r="A319" s="390"/>
      <c r="B319" s="23"/>
      <c r="C319" s="391"/>
      <c r="D319" s="391"/>
      <c r="E319" s="23"/>
      <c r="F319" s="23"/>
      <c r="G319" s="392"/>
      <c r="H319" s="392"/>
      <c r="I319" s="392"/>
      <c r="J319" s="392"/>
      <c r="K319" s="392"/>
      <c r="L319" s="392"/>
      <c r="M319" s="392"/>
      <c r="N319" s="23"/>
      <c r="O319" s="39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  <c r="IL319" s="23"/>
      <c r="IM319" s="23"/>
      <c r="IN319" s="23"/>
      <c r="IO319" s="23"/>
      <c r="IP319" s="23"/>
      <c r="IQ319" s="23"/>
      <c r="IR319" s="23"/>
      <c r="IS319" s="23"/>
      <c r="IT319" s="23"/>
      <c r="IU319" s="23"/>
      <c r="IV319" s="23"/>
      <c r="IW319" s="23"/>
      <c r="IX319" s="23"/>
      <c r="IY319" s="23"/>
      <c r="IZ319" s="23"/>
      <c r="JA319" s="23"/>
      <c r="JB319" s="23"/>
      <c r="JC319" s="23"/>
      <c r="JD319" s="23"/>
      <c r="JE319" s="23"/>
      <c r="JF319" s="23"/>
      <c r="JG319" s="23"/>
      <c r="JH319" s="23"/>
      <c r="JI319" s="23"/>
      <c r="JJ319" s="23"/>
      <c r="JK319" s="23"/>
      <c r="JL319" s="23"/>
      <c r="JM319" s="23"/>
      <c r="JN319" s="23"/>
      <c r="JO319" s="23"/>
      <c r="JP319" s="23"/>
      <c r="JQ319" s="23"/>
      <c r="JR319" s="23"/>
      <c r="JS319" s="23"/>
      <c r="JT319" s="23"/>
      <c r="JU319" s="23"/>
      <c r="JV319" s="23"/>
      <c r="JW319" s="23"/>
      <c r="JX319" s="23"/>
      <c r="JY319" s="23"/>
      <c r="JZ319" s="23"/>
      <c r="KA319" s="23"/>
      <c r="KB319" s="23"/>
      <c r="KC319" s="23"/>
      <c r="KD319" s="23"/>
      <c r="KE319" s="23"/>
      <c r="KF319" s="23"/>
      <c r="KG319" s="23"/>
      <c r="KH319" s="23"/>
      <c r="KI319" s="23"/>
      <c r="KJ319" s="23"/>
      <c r="KK319" s="23"/>
      <c r="KL319" s="23"/>
      <c r="KM319" s="23"/>
      <c r="KN319" s="23"/>
      <c r="KO319" s="23"/>
      <c r="KP319" s="23"/>
      <c r="KQ319" s="23"/>
      <c r="KR319" s="23"/>
      <c r="KS319" s="23"/>
      <c r="KT319" s="23"/>
      <c r="KU319" s="23"/>
      <c r="KV319" s="23"/>
      <c r="KW319" s="23"/>
      <c r="KX319" s="23"/>
      <c r="KY319" s="23"/>
      <c r="KZ319" s="23"/>
      <c r="LA319" s="23"/>
      <c r="LB319" s="23"/>
      <c r="LC319" s="23"/>
      <c r="LD319" s="23"/>
      <c r="LE319" s="23"/>
      <c r="LF319" s="23"/>
      <c r="LG319" s="23"/>
      <c r="LH319" s="23"/>
      <c r="LI319" s="23"/>
      <c r="LJ319" s="23"/>
      <c r="LK319" s="23"/>
      <c r="LL319" s="23"/>
      <c r="LM319" s="23"/>
      <c r="LN319" s="23"/>
      <c r="LO319" s="23"/>
    </row>
    <row r="320" spans="1:327">
      <c r="A320" s="390"/>
      <c r="B320" s="23"/>
      <c r="C320" s="391"/>
      <c r="D320" s="391"/>
      <c r="E320" s="23"/>
      <c r="F320" s="23"/>
      <c r="G320" s="392"/>
      <c r="H320" s="392"/>
      <c r="I320" s="392"/>
      <c r="J320" s="392"/>
      <c r="K320" s="392"/>
      <c r="L320" s="392"/>
      <c r="M320" s="392"/>
      <c r="N320" s="23"/>
      <c r="O320" s="39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  <c r="IL320" s="23"/>
      <c r="IM320" s="23"/>
      <c r="IN320" s="23"/>
      <c r="IO320" s="23"/>
      <c r="IP320" s="23"/>
      <c r="IQ320" s="23"/>
      <c r="IR320" s="23"/>
      <c r="IS320" s="23"/>
      <c r="IT320" s="23"/>
      <c r="IU320" s="23"/>
      <c r="IV320" s="23"/>
      <c r="IW320" s="23"/>
      <c r="IX320" s="23"/>
      <c r="IY320" s="23"/>
      <c r="IZ320" s="23"/>
      <c r="JA320" s="23"/>
      <c r="JB320" s="23"/>
      <c r="JC320" s="23"/>
      <c r="JD320" s="23"/>
      <c r="JE320" s="23"/>
      <c r="JF320" s="23"/>
      <c r="JG320" s="23"/>
      <c r="JH320" s="23"/>
      <c r="JI320" s="23"/>
      <c r="JJ320" s="23"/>
      <c r="JK320" s="23"/>
      <c r="JL320" s="23"/>
      <c r="JM320" s="23"/>
      <c r="JN320" s="23"/>
      <c r="JO320" s="23"/>
      <c r="JP320" s="23"/>
      <c r="JQ320" s="23"/>
      <c r="JR320" s="23"/>
      <c r="JS320" s="23"/>
      <c r="JT320" s="23"/>
      <c r="JU320" s="23"/>
      <c r="JV320" s="23"/>
      <c r="JW320" s="23"/>
      <c r="JX320" s="23"/>
      <c r="JY320" s="23"/>
      <c r="JZ320" s="23"/>
      <c r="KA320" s="23"/>
      <c r="KB320" s="23"/>
      <c r="KC320" s="23"/>
      <c r="KD320" s="23"/>
      <c r="KE320" s="23"/>
      <c r="KF320" s="23"/>
      <c r="KG320" s="23"/>
      <c r="KH320" s="23"/>
      <c r="KI320" s="23"/>
      <c r="KJ320" s="23"/>
      <c r="KK320" s="23"/>
      <c r="KL320" s="23"/>
      <c r="KM320" s="23"/>
      <c r="KN320" s="23"/>
      <c r="KO320" s="23"/>
      <c r="KP320" s="23"/>
      <c r="KQ320" s="23"/>
      <c r="KR320" s="23"/>
      <c r="KS320" s="23"/>
      <c r="KT320" s="23"/>
      <c r="KU320" s="23"/>
      <c r="KV320" s="23"/>
      <c r="KW320" s="23"/>
      <c r="KX320" s="23"/>
      <c r="KY320" s="23"/>
      <c r="KZ320" s="23"/>
      <c r="LA320" s="23"/>
      <c r="LB320" s="23"/>
      <c r="LC320" s="23"/>
      <c r="LD320" s="23"/>
      <c r="LE320" s="23"/>
      <c r="LF320" s="23"/>
      <c r="LG320" s="23"/>
      <c r="LH320" s="23"/>
      <c r="LI320" s="23"/>
      <c r="LJ320" s="23"/>
      <c r="LK320" s="23"/>
      <c r="LL320" s="23"/>
      <c r="LM320" s="23"/>
      <c r="LN320" s="23"/>
      <c r="LO320" s="23"/>
    </row>
    <row r="321" spans="1:327">
      <c r="A321" s="390"/>
      <c r="B321" s="23"/>
      <c r="C321" s="391"/>
      <c r="D321" s="391"/>
      <c r="E321" s="23"/>
      <c r="F321" s="23"/>
      <c r="G321" s="392"/>
      <c r="H321" s="392"/>
      <c r="I321" s="392"/>
      <c r="J321" s="392"/>
      <c r="K321" s="392"/>
      <c r="L321" s="392"/>
      <c r="M321" s="392"/>
      <c r="N321" s="23"/>
      <c r="O321" s="39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  <c r="IL321" s="23"/>
      <c r="IM321" s="23"/>
      <c r="IN321" s="23"/>
      <c r="IO321" s="23"/>
      <c r="IP321" s="23"/>
      <c r="IQ321" s="23"/>
      <c r="IR321" s="23"/>
      <c r="IS321" s="23"/>
      <c r="IT321" s="23"/>
      <c r="IU321" s="23"/>
      <c r="IV321" s="23"/>
      <c r="IW321" s="23"/>
      <c r="IX321" s="23"/>
      <c r="IY321" s="23"/>
      <c r="IZ321" s="23"/>
      <c r="JA321" s="23"/>
      <c r="JB321" s="23"/>
      <c r="JC321" s="23"/>
      <c r="JD321" s="23"/>
      <c r="JE321" s="23"/>
      <c r="JF321" s="23"/>
      <c r="JG321" s="23"/>
      <c r="JH321" s="23"/>
      <c r="JI321" s="23"/>
      <c r="JJ321" s="23"/>
      <c r="JK321" s="23"/>
      <c r="JL321" s="23"/>
      <c r="JM321" s="23"/>
      <c r="JN321" s="23"/>
      <c r="JO321" s="23"/>
      <c r="JP321" s="23"/>
      <c r="JQ321" s="23"/>
      <c r="JR321" s="23"/>
      <c r="JS321" s="23"/>
      <c r="JT321" s="23"/>
      <c r="JU321" s="23"/>
      <c r="JV321" s="23"/>
      <c r="JW321" s="23"/>
      <c r="JX321" s="23"/>
      <c r="JY321" s="23"/>
      <c r="JZ321" s="23"/>
      <c r="KA321" s="23"/>
      <c r="KB321" s="23"/>
      <c r="KC321" s="23"/>
      <c r="KD321" s="23"/>
      <c r="KE321" s="23"/>
      <c r="KF321" s="23"/>
      <c r="KG321" s="23"/>
      <c r="KH321" s="23"/>
      <c r="KI321" s="23"/>
      <c r="KJ321" s="23"/>
      <c r="KK321" s="23"/>
      <c r="KL321" s="23"/>
      <c r="KM321" s="23"/>
      <c r="KN321" s="23"/>
      <c r="KO321" s="23"/>
      <c r="KP321" s="23"/>
      <c r="KQ321" s="23"/>
      <c r="KR321" s="23"/>
      <c r="KS321" s="23"/>
      <c r="KT321" s="23"/>
      <c r="KU321" s="23"/>
      <c r="KV321" s="23"/>
      <c r="KW321" s="23"/>
      <c r="KX321" s="23"/>
      <c r="KY321" s="23"/>
      <c r="KZ321" s="23"/>
      <c r="LA321" s="23"/>
      <c r="LB321" s="23"/>
      <c r="LC321" s="23"/>
      <c r="LD321" s="23"/>
      <c r="LE321" s="23"/>
      <c r="LF321" s="23"/>
      <c r="LG321" s="23"/>
      <c r="LH321" s="23"/>
      <c r="LI321" s="23"/>
      <c r="LJ321" s="23"/>
      <c r="LK321" s="23"/>
      <c r="LL321" s="23"/>
      <c r="LM321" s="23"/>
      <c r="LN321" s="23"/>
      <c r="LO321" s="23"/>
    </row>
    <row r="322" spans="1:327">
      <c r="A322" s="390"/>
      <c r="B322" s="23"/>
      <c r="C322" s="391"/>
      <c r="D322" s="391"/>
      <c r="E322" s="23"/>
      <c r="F322" s="23"/>
      <c r="G322" s="392"/>
      <c r="H322" s="392"/>
      <c r="I322" s="392"/>
      <c r="J322" s="392"/>
      <c r="K322" s="392"/>
      <c r="L322" s="392"/>
      <c r="M322" s="392"/>
      <c r="N322" s="23"/>
      <c r="O322" s="39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  <c r="IL322" s="23"/>
      <c r="IM322" s="23"/>
      <c r="IN322" s="23"/>
      <c r="IO322" s="23"/>
      <c r="IP322" s="23"/>
      <c r="IQ322" s="23"/>
      <c r="IR322" s="23"/>
      <c r="IS322" s="23"/>
      <c r="IT322" s="23"/>
      <c r="IU322" s="23"/>
      <c r="IV322" s="23"/>
      <c r="IW322" s="23"/>
      <c r="IX322" s="23"/>
      <c r="IY322" s="23"/>
      <c r="IZ322" s="23"/>
      <c r="JA322" s="23"/>
      <c r="JB322" s="23"/>
      <c r="JC322" s="23"/>
      <c r="JD322" s="23"/>
      <c r="JE322" s="23"/>
      <c r="JF322" s="23"/>
      <c r="JG322" s="23"/>
      <c r="JH322" s="23"/>
      <c r="JI322" s="23"/>
      <c r="JJ322" s="23"/>
      <c r="JK322" s="23"/>
      <c r="JL322" s="23"/>
      <c r="JM322" s="23"/>
      <c r="JN322" s="23"/>
      <c r="JO322" s="23"/>
      <c r="JP322" s="23"/>
      <c r="JQ322" s="23"/>
      <c r="JR322" s="23"/>
      <c r="JS322" s="23"/>
      <c r="JT322" s="23"/>
      <c r="JU322" s="23"/>
      <c r="JV322" s="23"/>
      <c r="JW322" s="23"/>
      <c r="JX322" s="23"/>
      <c r="JY322" s="23"/>
      <c r="JZ322" s="23"/>
      <c r="KA322" s="23"/>
      <c r="KB322" s="23"/>
      <c r="KC322" s="23"/>
      <c r="KD322" s="23"/>
      <c r="KE322" s="23"/>
      <c r="KF322" s="23"/>
      <c r="KG322" s="23"/>
      <c r="KH322" s="23"/>
      <c r="KI322" s="23"/>
      <c r="KJ322" s="23"/>
      <c r="KK322" s="23"/>
      <c r="KL322" s="23"/>
      <c r="KM322" s="23"/>
      <c r="KN322" s="23"/>
      <c r="KO322" s="23"/>
      <c r="KP322" s="23"/>
      <c r="KQ322" s="23"/>
      <c r="KR322" s="23"/>
      <c r="KS322" s="23"/>
      <c r="KT322" s="23"/>
      <c r="KU322" s="23"/>
      <c r="KV322" s="23"/>
      <c r="KW322" s="23"/>
      <c r="KX322" s="23"/>
      <c r="KY322" s="23"/>
      <c r="KZ322" s="23"/>
      <c r="LA322" s="23"/>
      <c r="LB322" s="23"/>
      <c r="LC322" s="23"/>
      <c r="LD322" s="23"/>
      <c r="LE322" s="23"/>
      <c r="LF322" s="23"/>
      <c r="LG322" s="23"/>
      <c r="LH322" s="23"/>
      <c r="LI322" s="23"/>
      <c r="LJ322" s="23"/>
      <c r="LK322" s="23"/>
      <c r="LL322" s="23"/>
      <c r="LM322" s="23"/>
      <c r="LN322" s="23"/>
      <c r="LO322" s="23"/>
    </row>
    <row r="323" spans="1:327">
      <c r="A323" s="390"/>
      <c r="B323" s="23"/>
      <c r="C323" s="391"/>
      <c r="D323" s="391"/>
      <c r="E323" s="23"/>
      <c r="F323" s="23"/>
      <c r="G323" s="392"/>
      <c r="H323" s="392"/>
      <c r="I323" s="392"/>
      <c r="J323" s="392"/>
      <c r="K323" s="392"/>
      <c r="L323" s="392"/>
      <c r="M323" s="392"/>
      <c r="N323" s="23"/>
      <c r="O323" s="39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  <c r="IL323" s="23"/>
      <c r="IM323" s="23"/>
      <c r="IN323" s="23"/>
      <c r="IO323" s="23"/>
      <c r="IP323" s="23"/>
      <c r="IQ323" s="23"/>
      <c r="IR323" s="23"/>
      <c r="IS323" s="23"/>
      <c r="IT323" s="23"/>
      <c r="IU323" s="23"/>
      <c r="IV323" s="23"/>
      <c r="IW323" s="23"/>
      <c r="IX323" s="23"/>
      <c r="IY323" s="23"/>
      <c r="IZ323" s="23"/>
      <c r="JA323" s="23"/>
      <c r="JB323" s="23"/>
      <c r="JC323" s="23"/>
      <c r="JD323" s="23"/>
      <c r="JE323" s="23"/>
      <c r="JF323" s="23"/>
      <c r="JG323" s="23"/>
      <c r="JH323" s="23"/>
      <c r="JI323" s="23"/>
      <c r="JJ323" s="23"/>
      <c r="JK323" s="23"/>
      <c r="JL323" s="23"/>
      <c r="JM323" s="23"/>
      <c r="JN323" s="23"/>
      <c r="JO323" s="23"/>
      <c r="JP323" s="23"/>
      <c r="JQ323" s="23"/>
      <c r="JR323" s="23"/>
      <c r="JS323" s="23"/>
      <c r="JT323" s="23"/>
      <c r="JU323" s="23"/>
      <c r="JV323" s="23"/>
      <c r="JW323" s="23"/>
      <c r="JX323" s="23"/>
      <c r="JY323" s="23"/>
      <c r="JZ323" s="23"/>
      <c r="KA323" s="23"/>
      <c r="KB323" s="23"/>
      <c r="KC323" s="23"/>
      <c r="KD323" s="23"/>
      <c r="KE323" s="23"/>
      <c r="KF323" s="23"/>
      <c r="KG323" s="23"/>
      <c r="KH323" s="23"/>
      <c r="KI323" s="23"/>
      <c r="KJ323" s="23"/>
      <c r="KK323" s="23"/>
      <c r="KL323" s="23"/>
      <c r="KM323" s="23"/>
      <c r="KN323" s="23"/>
      <c r="KO323" s="23"/>
      <c r="KP323" s="23"/>
      <c r="KQ323" s="23"/>
      <c r="KR323" s="23"/>
      <c r="KS323" s="23"/>
      <c r="KT323" s="23"/>
      <c r="KU323" s="23"/>
      <c r="KV323" s="23"/>
      <c r="KW323" s="23"/>
      <c r="KX323" s="23"/>
      <c r="KY323" s="23"/>
      <c r="KZ323" s="23"/>
      <c r="LA323" s="23"/>
      <c r="LB323" s="23"/>
      <c r="LC323" s="23"/>
      <c r="LD323" s="23"/>
      <c r="LE323" s="23"/>
      <c r="LF323" s="23"/>
      <c r="LG323" s="23"/>
      <c r="LH323" s="23"/>
      <c r="LI323" s="23"/>
      <c r="LJ323" s="23"/>
      <c r="LK323" s="23"/>
      <c r="LL323" s="23"/>
      <c r="LM323" s="23"/>
      <c r="LN323" s="23"/>
      <c r="LO323" s="23"/>
    </row>
    <row r="324" spans="1:327">
      <c r="A324" s="390"/>
      <c r="B324" s="23"/>
      <c r="C324" s="391"/>
      <c r="D324" s="391"/>
      <c r="E324" s="23"/>
      <c r="F324" s="23"/>
      <c r="G324" s="392"/>
      <c r="H324" s="392"/>
      <c r="I324" s="392"/>
      <c r="J324" s="392"/>
      <c r="K324" s="392"/>
      <c r="L324" s="392"/>
      <c r="M324" s="392"/>
      <c r="N324" s="23"/>
      <c r="O324" s="39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  <c r="IL324" s="23"/>
      <c r="IM324" s="23"/>
      <c r="IN324" s="23"/>
      <c r="IO324" s="23"/>
      <c r="IP324" s="23"/>
      <c r="IQ324" s="23"/>
      <c r="IR324" s="23"/>
      <c r="IS324" s="23"/>
      <c r="IT324" s="23"/>
      <c r="IU324" s="23"/>
      <c r="IV324" s="23"/>
      <c r="IW324" s="23"/>
      <c r="IX324" s="23"/>
      <c r="IY324" s="23"/>
      <c r="IZ324" s="23"/>
      <c r="JA324" s="23"/>
      <c r="JB324" s="23"/>
      <c r="JC324" s="23"/>
      <c r="JD324" s="23"/>
      <c r="JE324" s="23"/>
      <c r="JF324" s="23"/>
      <c r="JG324" s="23"/>
      <c r="JH324" s="23"/>
      <c r="JI324" s="23"/>
      <c r="JJ324" s="23"/>
      <c r="JK324" s="23"/>
      <c r="JL324" s="23"/>
      <c r="JM324" s="23"/>
      <c r="JN324" s="23"/>
      <c r="JO324" s="23"/>
      <c r="JP324" s="23"/>
      <c r="JQ324" s="23"/>
      <c r="JR324" s="23"/>
      <c r="JS324" s="23"/>
      <c r="JT324" s="23"/>
      <c r="JU324" s="23"/>
      <c r="JV324" s="23"/>
      <c r="JW324" s="23"/>
      <c r="JX324" s="23"/>
      <c r="JY324" s="23"/>
      <c r="JZ324" s="23"/>
      <c r="KA324" s="23"/>
      <c r="KB324" s="23"/>
      <c r="KC324" s="23"/>
      <c r="KD324" s="23"/>
      <c r="KE324" s="23"/>
      <c r="KF324" s="23"/>
      <c r="KG324" s="23"/>
      <c r="KH324" s="23"/>
      <c r="KI324" s="23"/>
      <c r="KJ324" s="23"/>
      <c r="KK324" s="23"/>
      <c r="KL324" s="23"/>
      <c r="KM324" s="23"/>
      <c r="KN324" s="23"/>
      <c r="KO324" s="23"/>
      <c r="KP324" s="23"/>
      <c r="KQ324" s="23"/>
      <c r="KR324" s="23"/>
      <c r="KS324" s="23"/>
      <c r="KT324" s="23"/>
      <c r="KU324" s="23"/>
      <c r="KV324" s="23"/>
      <c r="KW324" s="23"/>
      <c r="KX324" s="23"/>
      <c r="KY324" s="23"/>
      <c r="KZ324" s="23"/>
      <c r="LA324" s="23"/>
      <c r="LB324" s="23"/>
      <c r="LC324" s="23"/>
      <c r="LD324" s="23"/>
      <c r="LE324" s="23"/>
      <c r="LF324" s="23"/>
      <c r="LG324" s="23"/>
      <c r="LH324" s="23"/>
      <c r="LI324" s="23"/>
      <c r="LJ324" s="23"/>
      <c r="LK324" s="23"/>
      <c r="LL324" s="23"/>
      <c r="LM324" s="23"/>
      <c r="LN324" s="23"/>
      <c r="LO324" s="23"/>
    </row>
    <row r="325" spans="1:327">
      <c r="A325" s="390"/>
      <c r="B325" s="23"/>
      <c r="C325" s="391"/>
      <c r="D325" s="391"/>
      <c r="E325" s="23"/>
      <c r="F325" s="23"/>
      <c r="G325" s="392"/>
      <c r="H325" s="392"/>
      <c r="I325" s="392"/>
      <c r="J325" s="392"/>
      <c r="K325" s="392"/>
      <c r="L325" s="392"/>
      <c r="M325" s="392"/>
      <c r="N325" s="23"/>
      <c r="O325" s="39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  <c r="IL325" s="23"/>
      <c r="IM325" s="23"/>
      <c r="IN325" s="23"/>
      <c r="IO325" s="23"/>
      <c r="IP325" s="23"/>
      <c r="IQ325" s="23"/>
      <c r="IR325" s="23"/>
      <c r="IS325" s="23"/>
      <c r="IT325" s="23"/>
      <c r="IU325" s="23"/>
      <c r="IV325" s="23"/>
      <c r="IW325" s="23"/>
      <c r="IX325" s="23"/>
      <c r="IY325" s="23"/>
      <c r="IZ325" s="23"/>
      <c r="JA325" s="23"/>
      <c r="JB325" s="23"/>
      <c r="JC325" s="23"/>
      <c r="JD325" s="23"/>
      <c r="JE325" s="23"/>
      <c r="JF325" s="23"/>
      <c r="JG325" s="23"/>
      <c r="JH325" s="23"/>
      <c r="JI325" s="23"/>
      <c r="JJ325" s="23"/>
      <c r="JK325" s="23"/>
      <c r="JL325" s="23"/>
      <c r="JM325" s="23"/>
      <c r="JN325" s="23"/>
      <c r="JO325" s="23"/>
      <c r="JP325" s="23"/>
      <c r="JQ325" s="23"/>
      <c r="JR325" s="23"/>
      <c r="JS325" s="23"/>
      <c r="JT325" s="23"/>
      <c r="JU325" s="23"/>
      <c r="JV325" s="23"/>
      <c r="JW325" s="23"/>
      <c r="JX325" s="23"/>
      <c r="JY325" s="23"/>
      <c r="JZ325" s="23"/>
      <c r="KA325" s="23"/>
      <c r="KB325" s="23"/>
      <c r="KC325" s="23"/>
      <c r="KD325" s="23"/>
      <c r="KE325" s="23"/>
      <c r="KF325" s="23"/>
      <c r="KG325" s="23"/>
      <c r="KH325" s="23"/>
      <c r="KI325" s="23"/>
      <c r="KJ325" s="23"/>
      <c r="KK325" s="23"/>
      <c r="KL325" s="23"/>
      <c r="KM325" s="23"/>
      <c r="KN325" s="23"/>
      <c r="KO325" s="23"/>
      <c r="KP325" s="23"/>
      <c r="KQ325" s="23"/>
      <c r="KR325" s="23"/>
      <c r="KS325" s="23"/>
      <c r="KT325" s="23"/>
      <c r="KU325" s="23"/>
      <c r="KV325" s="23"/>
      <c r="KW325" s="23"/>
      <c r="KX325" s="23"/>
      <c r="KY325" s="23"/>
      <c r="KZ325" s="23"/>
      <c r="LA325" s="23"/>
      <c r="LB325" s="23"/>
      <c r="LC325" s="23"/>
      <c r="LD325" s="23"/>
      <c r="LE325" s="23"/>
      <c r="LF325" s="23"/>
      <c r="LG325" s="23"/>
      <c r="LH325" s="23"/>
      <c r="LI325" s="23"/>
      <c r="LJ325" s="23"/>
      <c r="LK325" s="23"/>
      <c r="LL325" s="23"/>
      <c r="LM325" s="23"/>
      <c r="LN325" s="23"/>
      <c r="LO325" s="23"/>
    </row>
    <row r="326" spans="1:327">
      <c r="A326" s="390"/>
      <c r="B326" s="23"/>
      <c r="C326" s="391"/>
      <c r="D326" s="391"/>
      <c r="E326" s="23"/>
      <c r="F326" s="23"/>
      <c r="G326" s="392"/>
      <c r="H326" s="392"/>
      <c r="I326" s="392"/>
      <c r="J326" s="392"/>
      <c r="K326" s="392"/>
      <c r="L326" s="392"/>
      <c r="M326" s="392"/>
      <c r="N326" s="23"/>
      <c r="O326" s="39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  <c r="IL326" s="23"/>
      <c r="IM326" s="23"/>
      <c r="IN326" s="23"/>
      <c r="IO326" s="23"/>
      <c r="IP326" s="23"/>
      <c r="IQ326" s="23"/>
      <c r="IR326" s="23"/>
      <c r="IS326" s="23"/>
      <c r="IT326" s="23"/>
      <c r="IU326" s="23"/>
      <c r="IV326" s="23"/>
      <c r="IW326" s="23"/>
      <c r="IX326" s="23"/>
      <c r="IY326" s="23"/>
      <c r="IZ326" s="23"/>
      <c r="JA326" s="23"/>
      <c r="JB326" s="23"/>
      <c r="JC326" s="23"/>
      <c r="JD326" s="23"/>
      <c r="JE326" s="23"/>
      <c r="JF326" s="23"/>
      <c r="JG326" s="23"/>
      <c r="JH326" s="23"/>
      <c r="JI326" s="23"/>
      <c r="JJ326" s="23"/>
      <c r="JK326" s="23"/>
      <c r="JL326" s="23"/>
      <c r="JM326" s="23"/>
      <c r="JN326" s="23"/>
      <c r="JO326" s="23"/>
      <c r="JP326" s="23"/>
      <c r="JQ326" s="23"/>
      <c r="JR326" s="23"/>
      <c r="JS326" s="23"/>
      <c r="JT326" s="23"/>
      <c r="JU326" s="23"/>
      <c r="JV326" s="23"/>
      <c r="JW326" s="23"/>
      <c r="JX326" s="23"/>
      <c r="JY326" s="23"/>
      <c r="JZ326" s="23"/>
      <c r="KA326" s="23"/>
      <c r="KB326" s="23"/>
      <c r="KC326" s="23"/>
      <c r="KD326" s="23"/>
      <c r="KE326" s="23"/>
      <c r="KF326" s="23"/>
      <c r="KG326" s="23"/>
      <c r="KH326" s="23"/>
      <c r="KI326" s="23"/>
      <c r="KJ326" s="23"/>
      <c r="KK326" s="23"/>
      <c r="KL326" s="23"/>
      <c r="KM326" s="23"/>
      <c r="KN326" s="23"/>
      <c r="KO326" s="23"/>
      <c r="KP326" s="23"/>
      <c r="KQ326" s="23"/>
      <c r="KR326" s="23"/>
      <c r="KS326" s="23"/>
      <c r="KT326" s="23"/>
      <c r="KU326" s="23"/>
      <c r="KV326" s="23"/>
      <c r="KW326" s="23"/>
      <c r="KX326" s="23"/>
      <c r="KY326" s="23"/>
      <c r="KZ326" s="23"/>
      <c r="LA326" s="23"/>
      <c r="LB326" s="23"/>
      <c r="LC326" s="23"/>
      <c r="LD326" s="23"/>
      <c r="LE326" s="23"/>
      <c r="LF326" s="23"/>
      <c r="LG326" s="23"/>
      <c r="LH326" s="23"/>
      <c r="LI326" s="23"/>
      <c r="LJ326" s="23"/>
      <c r="LK326" s="23"/>
      <c r="LL326" s="23"/>
      <c r="LM326" s="23"/>
      <c r="LN326" s="23"/>
      <c r="LO326" s="23"/>
    </row>
    <row r="327" spans="1:327">
      <c r="A327" s="390"/>
      <c r="B327" s="23"/>
      <c r="C327" s="391"/>
      <c r="D327" s="391"/>
      <c r="E327" s="23"/>
      <c r="F327" s="23"/>
      <c r="G327" s="392"/>
      <c r="H327" s="392"/>
      <c r="I327" s="392"/>
      <c r="J327" s="392"/>
      <c r="K327" s="392"/>
      <c r="L327" s="392"/>
      <c r="M327" s="392"/>
      <c r="N327" s="23"/>
      <c r="O327" s="39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  <c r="IL327" s="23"/>
      <c r="IM327" s="23"/>
      <c r="IN327" s="23"/>
      <c r="IO327" s="23"/>
      <c r="IP327" s="23"/>
      <c r="IQ327" s="23"/>
      <c r="IR327" s="23"/>
      <c r="IS327" s="23"/>
      <c r="IT327" s="23"/>
      <c r="IU327" s="23"/>
      <c r="IV327" s="23"/>
      <c r="IW327" s="23"/>
      <c r="IX327" s="23"/>
      <c r="IY327" s="23"/>
      <c r="IZ327" s="23"/>
      <c r="JA327" s="23"/>
      <c r="JB327" s="23"/>
      <c r="JC327" s="23"/>
      <c r="JD327" s="23"/>
      <c r="JE327" s="23"/>
      <c r="JF327" s="23"/>
      <c r="JG327" s="23"/>
      <c r="JH327" s="23"/>
      <c r="JI327" s="23"/>
      <c r="JJ327" s="23"/>
      <c r="JK327" s="23"/>
      <c r="JL327" s="23"/>
      <c r="JM327" s="23"/>
      <c r="JN327" s="23"/>
      <c r="JO327" s="23"/>
      <c r="JP327" s="23"/>
      <c r="JQ327" s="23"/>
      <c r="JR327" s="23"/>
      <c r="JS327" s="23"/>
      <c r="JT327" s="23"/>
      <c r="JU327" s="23"/>
      <c r="JV327" s="23"/>
      <c r="JW327" s="23"/>
      <c r="JX327" s="23"/>
      <c r="JY327" s="23"/>
      <c r="JZ327" s="23"/>
      <c r="KA327" s="23"/>
      <c r="KB327" s="23"/>
      <c r="KC327" s="23"/>
      <c r="KD327" s="23"/>
      <c r="KE327" s="23"/>
      <c r="KF327" s="23"/>
      <c r="KG327" s="23"/>
      <c r="KH327" s="23"/>
      <c r="KI327" s="23"/>
      <c r="KJ327" s="23"/>
      <c r="KK327" s="23"/>
      <c r="KL327" s="23"/>
      <c r="KM327" s="23"/>
      <c r="KN327" s="23"/>
      <c r="KO327" s="23"/>
      <c r="KP327" s="23"/>
      <c r="KQ327" s="23"/>
      <c r="KR327" s="23"/>
      <c r="KS327" s="23"/>
      <c r="KT327" s="23"/>
      <c r="KU327" s="23"/>
      <c r="KV327" s="23"/>
      <c r="KW327" s="23"/>
      <c r="KX327" s="23"/>
      <c r="KY327" s="23"/>
      <c r="KZ327" s="23"/>
      <c r="LA327" s="23"/>
      <c r="LB327" s="23"/>
      <c r="LC327" s="23"/>
      <c r="LD327" s="23"/>
      <c r="LE327" s="23"/>
      <c r="LF327" s="23"/>
      <c r="LG327" s="23"/>
      <c r="LH327" s="23"/>
      <c r="LI327" s="23"/>
      <c r="LJ327" s="23"/>
      <c r="LK327" s="23"/>
      <c r="LL327" s="23"/>
      <c r="LM327" s="23"/>
      <c r="LN327" s="23"/>
      <c r="LO327" s="23"/>
    </row>
    <row r="328" spans="1:327">
      <c r="A328" s="390"/>
      <c r="B328" s="23"/>
      <c r="C328" s="391"/>
      <c r="D328" s="391"/>
      <c r="E328" s="23"/>
      <c r="F328" s="23"/>
      <c r="G328" s="392"/>
      <c r="H328" s="392"/>
      <c r="I328" s="392"/>
      <c r="J328" s="392"/>
      <c r="K328" s="392"/>
      <c r="L328" s="392"/>
      <c r="M328" s="392"/>
      <c r="N328" s="23"/>
      <c r="O328" s="39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  <c r="IL328" s="23"/>
      <c r="IM328" s="23"/>
      <c r="IN328" s="23"/>
      <c r="IO328" s="23"/>
      <c r="IP328" s="23"/>
      <c r="IQ328" s="23"/>
      <c r="IR328" s="23"/>
      <c r="IS328" s="23"/>
      <c r="IT328" s="23"/>
      <c r="IU328" s="23"/>
      <c r="IV328" s="23"/>
      <c r="IW328" s="23"/>
      <c r="IX328" s="23"/>
      <c r="IY328" s="23"/>
      <c r="IZ328" s="23"/>
      <c r="JA328" s="23"/>
      <c r="JB328" s="23"/>
      <c r="JC328" s="23"/>
      <c r="JD328" s="23"/>
      <c r="JE328" s="23"/>
      <c r="JF328" s="23"/>
      <c r="JG328" s="23"/>
      <c r="JH328" s="23"/>
      <c r="JI328" s="23"/>
      <c r="JJ328" s="23"/>
      <c r="JK328" s="23"/>
      <c r="JL328" s="23"/>
      <c r="JM328" s="23"/>
      <c r="JN328" s="23"/>
      <c r="JO328" s="23"/>
      <c r="JP328" s="23"/>
      <c r="JQ328" s="23"/>
      <c r="JR328" s="23"/>
      <c r="JS328" s="23"/>
      <c r="JT328" s="23"/>
      <c r="JU328" s="23"/>
      <c r="JV328" s="23"/>
      <c r="JW328" s="23"/>
      <c r="JX328" s="23"/>
      <c r="JY328" s="23"/>
      <c r="JZ328" s="23"/>
      <c r="KA328" s="23"/>
      <c r="KB328" s="23"/>
      <c r="KC328" s="23"/>
      <c r="KD328" s="23"/>
      <c r="KE328" s="23"/>
      <c r="KF328" s="23"/>
      <c r="KG328" s="23"/>
      <c r="KH328" s="23"/>
      <c r="KI328" s="23"/>
      <c r="KJ328" s="23"/>
      <c r="KK328" s="23"/>
      <c r="KL328" s="23"/>
      <c r="KM328" s="23"/>
      <c r="KN328" s="23"/>
      <c r="KO328" s="23"/>
      <c r="KP328" s="23"/>
      <c r="KQ328" s="23"/>
      <c r="KR328" s="23"/>
      <c r="KS328" s="23"/>
      <c r="KT328" s="23"/>
      <c r="KU328" s="23"/>
      <c r="KV328" s="23"/>
      <c r="KW328" s="23"/>
      <c r="KX328" s="23"/>
      <c r="KY328" s="23"/>
      <c r="KZ328" s="23"/>
      <c r="LA328" s="23"/>
      <c r="LB328" s="23"/>
      <c r="LC328" s="23"/>
      <c r="LD328" s="23"/>
      <c r="LE328" s="23"/>
      <c r="LF328" s="23"/>
      <c r="LG328" s="23"/>
      <c r="LH328" s="23"/>
      <c r="LI328" s="23"/>
      <c r="LJ328" s="23"/>
      <c r="LK328" s="23"/>
      <c r="LL328" s="23"/>
      <c r="LM328" s="23"/>
      <c r="LN328" s="23"/>
      <c r="LO328" s="23"/>
    </row>
    <row r="329" spans="1:327">
      <c r="A329" s="390"/>
      <c r="B329" s="23"/>
      <c r="C329" s="391"/>
      <c r="D329" s="391"/>
      <c r="E329" s="23"/>
      <c r="F329" s="23"/>
      <c r="G329" s="392"/>
      <c r="H329" s="392"/>
      <c r="I329" s="392"/>
      <c r="J329" s="392"/>
      <c r="K329" s="392"/>
      <c r="L329" s="392"/>
      <c r="M329" s="392"/>
      <c r="N329" s="23"/>
      <c r="O329" s="39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  <c r="IL329" s="23"/>
      <c r="IM329" s="23"/>
      <c r="IN329" s="23"/>
      <c r="IO329" s="23"/>
      <c r="IP329" s="23"/>
      <c r="IQ329" s="23"/>
      <c r="IR329" s="23"/>
      <c r="IS329" s="23"/>
      <c r="IT329" s="23"/>
      <c r="IU329" s="23"/>
      <c r="IV329" s="23"/>
      <c r="IW329" s="23"/>
      <c r="IX329" s="23"/>
      <c r="IY329" s="23"/>
      <c r="IZ329" s="23"/>
      <c r="JA329" s="23"/>
      <c r="JB329" s="23"/>
      <c r="JC329" s="23"/>
      <c r="JD329" s="23"/>
      <c r="JE329" s="23"/>
      <c r="JF329" s="23"/>
      <c r="JG329" s="23"/>
      <c r="JH329" s="23"/>
      <c r="JI329" s="23"/>
      <c r="JJ329" s="23"/>
      <c r="JK329" s="23"/>
      <c r="JL329" s="23"/>
      <c r="JM329" s="23"/>
      <c r="JN329" s="23"/>
      <c r="JO329" s="23"/>
      <c r="JP329" s="23"/>
      <c r="JQ329" s="23"/>
      <c r="JR329" s="23"/>
      <c r="JS329" s="23"/>
      <c r="JT329" s="23"/>
      <c r="JU329" s="23"/>
      <c r="JV329" s="23"/>
      <c r="JW329" s="23"/>
      <c r="JX329" s="23"/>
      <c r="JY329" s="23"/>
      <c r="JZ329" s="23"/>
      <c r="KA329" s="23"/>
      <c r="KB329" s="23"/>
      <c r="KC329" s="23"/>
      <c r="KD329" s="23"/>
      <c r="KE329" s="23"/>
      <c r="KF329" s="23"/>
      <c r="KG329" s="23"/>
      <c r="KH329" s="23"/>
      <c r="KI329" s="23"/>
      <c r="KJ329" s="23"/>
      <c r="KK329" s="23"/>
      <c r="KL329" s="23"/>
      <c r="KM329" s="23"/>
      <c r="KN329" s="23"/>
      <c r="KO329" s="23"/>
      <c r="KP329" s="23"/>
      <c r="KQ329" s="23"/>
      <c r="KR329" s="23"/>
      <c r="KS329" s="23"/>
      <c r="KT329" s="23"/>
      <c r="KU329" s="23"/>
      <c r="KV329" s="23"/>
      <c r="KW329" s="23"/>
      <c r="KX329" s="23"/>
      <c r="KY329" s="23"/>
      <c r="KZ329" s="23"/>
      <c r="LA329" s="23"/>
      <c r="LB329" s="23"/>
      <c r="LC329" s="23"/>
      <c r="LD329" s="23"/>
      <c r="LE329" s="23"/>
      <c r="LF329" s="23"/>
      <c r="LG329" s="23"/>
      <c r="LH329" s="23"/>
      <c r="LI329" s="23"/>
      <c r="LJ329" s="23"/>
      <c r="LK329" s="23"/>
      <c r="LL329" s="23"/>
      <c r="LM329" s="23"/>
      <c r="LN329" s="23"/>
      <c r="LO329" s="23"/>
    </row>
    <row r="330" spans="1:327">
      <c r="A330" s="390"/>
      <c r="B330" s="23"/>
      <c r="C330" s="391"/>
      <c r="D330" s="391"/>
      <c r="E330" s="23"/>
      <c r="F330" s="23"/>
      <c r="G330" s="392"/>
      <c r="H330" s="392"/>
      <c r="I330" s="392"/>
      <c r="J330" s="392"/>
      <c r="K330" s="392"/>
      <c r="L330" s="392"/>
      <c r="M330" s="392"/>
      <c r="N330" s="23"/>
      <c r="O330" s="39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  <c r="IL330" s="23"/>
      <c r="IM330" s="23"/>
      <c r="IN330" s="23"/>
      <c r="IO330" s="23"/>
      <c r="IP330" s="23"/>
      <c r="IQ330" s="23"/>
      <c r="IR330" s="23"/>
      <c r="IS330" s="23"/>
      <c r="IT330" s="23"/>
      <c r="IU330" s="23"/>
      <c r="IV330" s="23"/>
      <c r="IW330" s="23"/>
      <c r="IX330" s="23"/>
      <c r="IY330" s="23"/>
      <c r="IZ330" s="23"/>
      <c r="JA330" s="23"/>
      <c r="JB330" s="23"/>
      <c r="JC330" s="23"/>
      <c r="JD330" s="23"/>
      <c r="JE330" s="23"/>
      <c r="JF330" s="23"/>
      <c r="JG330" s="23"/>
      <c r="JH330" s="23"/>
      <c r="JI330" s="23"/>
      <c r="JJ330" s="23"/>
      <c r="JK330" s="23"/>
      <c r="JL330" s="23"/>
      <c r="JM330" s="23"/>
      <c r="JN330" s="23"/>
      <c r="JO330" s="23"/>
      <c r="JP330" s="23"/>
      <c r="JQ330" s="23"/>
      <c r="JR330" s="23"/>
      <c r="JS330" s="23"/>
      <c r="JT330" s="23"/>
      <c r="JU330" s="23"/>
      <c r="JV330" s="23"/>
      <c r="JW330" s="23"/>
      <c r="JX330" s="23"/>
      <c r="JY330" s="23"/>
      <c r="JZ330" s="23"/>
      <c r="KA330" s="23"/>
      <c r="KB330" s="23"/>
      <c r="KC330" s="23"/>
      <c r="KD330" s="23"/>
      <c r="KE330" s="23"/>
      <c r="KF330" s="23"/>
      <c r="KG330" s="23"/>
      <c r="KH330" s="23"/>
      <c r="KI330" s="23"/>
      <c r="KJ330" s="23"/>
      <c r="KK330" s="23"/>
      <c r="KL330" s="23"/>
      <c r="KM330" s="23"/>
      <c r="KN330" s="23"/>
      <c r="KO330" s="23"/>
      <c r="KP330" s="23"/>
      <c r="KQ330" s="23"/>
      <c r="KR330" s="23"/>
      <c r="KS330" s="23"/>
      <c r="KT330" s="23"/>
      <c r="KU330" s="23"/>
      <c r="KV330" s="23"/>
      <c r="KW330" s="23"/>
      <c r="KX330" s="23"/>
      <c r="KY330" s="23"/>
      <c r="KZ330" s="23"/>
      <c r="LA330" s="23"/>
      <c r="LB330" s="23"/>
      <c r="LC330" s="23"/>
      <c r="LD330" s="23"/>
      <c r="LE330" s="23"/>
      <c r="LF330" s="23"/>
      <c r="LG330" s="23"/>
      <c r="LH330" s="23"/>
      <c r="LI330" s="23"/>
      <c r="LJ330" s="23"/>
      <c r="LK330" s="23"/>
      <c r="LL330" s="23"/>
      <c r="LM330" s="23"/>
      <c r="LN330" s="23"/>
      <c r="LO330" s="23"/>
    </row>
    <row r="331" spans="1:327">
      <c r="A331" s="390"/>
      <c r="B331" s="23"/>
      <c r="C331" s="391"/>
      <c r="D331" s="391"/>
      <c r="E331" s="23"/>
      <c r="F331" s="23"/>
      <c r="G331" s="392"/>
      <c r="H331" s="392"/>
      <c r="I331" s="392"/>
      <c r="J331" s="392"/>
      <c r="K331" s="392"/>
      <c r="L331" s="392"/>
      <c r="M331" s="392"/>
      <c r="N331" s="23"/>
      <c r="O331" s="39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  <c r="IL331" s="23"/>
      <c r="IM331" s="23"/>
      <c r="IN331" s="23"/>
      <c r="IO331" s="23"/>
      <c r="IP331" s="23"/>
      <c r="IQ331" s="23"/>
      <c r="IR331" s="23"/>
      <c r="IS331" s="23"/>
      <c r="IT331" s="23"/>
      <c r="IU331" s="23"/>
      <c r="IV331" s="23"/>
      <c r="IW331" s="23"/>
      <c r="IX331" s="23"/>
      <c r="IY331" s="23"/>
      <c r="IZ331" s="23"/>
      <c r="JA331" s="23"/>
      <c r="JB331" s="23"/>
      <c r="JC331" s="23"/>
      <c r="JD331" s="23"/>
      <c r="JE331" s="23"/>
      <c r="JF331" s="23"/>
      <c r="JG331" s="23"/>
      <c r="JH331" s="23"/>
      <c r="JI331" s="23"/>
      <c r="JJ331" s="23"/>
      <c r="JK331" s="23"/>
      <c r="JL331" s="23"/>
      <c r="JM331" s="23"/>
      <c r="JN331" s="23"/>
      <c r="JO331" s="23"/>
      <c r="JP331" s="23"/>
      <c r="JQ331" s="23"/>
      <c r="JR331" s="23"/>
      <c r="JS331" s="23"/>
      <c r="JT331" s="23"/>
      <c r="JU331" s="23"/>
      <c r="JV331" s="23"/>
      <c r="JW331" s="23"/>
      <c r="JX331" s="23"/>
      <c r="JY331" s="23"/>
      <c r="JZ331" s="23"/>
      <c r="KA331" s="23"/>
      <c r="KB331" s="23"/>
      <c r="KC331" s="23"/>
      <c r="KD331" s="23"/>
      <c r="KE331" s="23"/>
      <c r="KF331" s="23"/>
      <c r="KG331" s="23"/>
      <c r="KH331" s="23"/>
      <c r="KI331" s="23"/>
      <c r="KJ331" s="23"/>
      <c r="KK331" s="23"/>
      <c r="KL331" s="23"/>
      <c r="KM331" s="23"/>
      <c r="KN331" s="23"/>
      <c r="KO331" s="23"/>
      <c r="KP331" s="23"/>
      <c r="KQ331" s="23"/>
      <c r="KR331" s="23"/>
      <c r="KS331" s="23"/>
      <c r="KT331" s="23"/>
      <c r="KU331" s="23"/>
      <c r="KV331" s="23"/>
      <c r="KW331" s="23"/>
      <c r="KX331" s="23"/>
      <c r="KY331" s="23"/>
      <c r="KZ331" s="23"/>
      <c r="LA331" s="23"/>
      <c r="LB331" s="23"/>
      <c r="LC331" s="23"/>
      <c r="LD331" s="23"/>
      <c r="LE331" s="23"/>
      <c r="LF331" s="23"/>
      <c r="LG331" s="23"/>
      <c r="LH331" s="23"/>
      <c r="LI331" s="23"/>
      <c r="LJ331" s="23"/>
      <c r="LK331" s="23"/>
      <c r="LL331" s="23"/>
      <c r="LM331" s="23"/>
      <c r="LN331" s="23"/>
      <c r="LO331" s="23"/>
    </row>
    <row r="332" spans="1:327">
      <c r="A332" s="390"/>
      <c r="B332" s="23"/>
      <c r="C332" s="391"/>
      <c r="D332" s="391"/>
      <c r="E332" s="23"/>
      <c r="F332" s="23"/>
      <c r="G332" s="392"/>
      <c r="H332" s="392"/>
      <c r="I332" s="392"/>
      <c r="J332" s="392"/>
      <c r="K332" s="392"/>
      <c r="L332" s="392"/>
      <c r="M332" s="392"/>
      <c r="N332" s="23"/>
      <c r="O332" s="39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  <c r="IL332" s="23"/>
      <c r="IM332" s="23"/>
      <c r="IN332" s="23"/>
      <c r="IO332" s="23"/>
      <c r="IP332" s="23"/>
      <c r="IQ332" s="23"/>
      <c r="IR332" s="23"/>
      <c r="IS332" s="23"/>
      <c r="IT332" s="23"/>
      <c r="IU332" s="23"/>
      <c r="IV332" s="23"/>
      <c r="IW332" s="23"/>
      <c r="IX332" s="23"/>
      <c r="IY332" s="23"/>
      <c r="IZ332" s="23"/>
      <c r="JA332" s="23"/>
      <c r="JB332" s="23"/>
      <c r="JC332" s="23"/>
      <c r="JD332" s="23"/>
      <c r="JE332" s="23"/>
      <c r="JF332" s="23"/>
      <c r="JG332" s="23"/>
      <c r="JH332" s="23"/>
      <c r="JI332" s="23"/>
      <c r="JJ332" s="23"/>
      <c r="JK332" s="23"/>
      <c r="JL332" s="23"/>
      <c r="JM332" s="23"/>
      <c r="JN332" s="23"/>
      <c r="JO332" s="23"/>
      <c r="JP332" s="23"/>
      <c r="JQ332" s="23"/>
      <c r="JR332" s="23"/>
      <c r="JS332" s="23"/>
      <c r="JT332" s="23"/>
      <c r="JU332" s="23"/>
      <c r="JV332" s="23"/>
      <c r="JW332" s="23"/>
      <c r="JX332" s="23"/>
      <c r="JY332" s="23"/>
      <c r="JZ332" s="23"/>
      <c r="KA332" s="23"/>
      <c r="KB332" s="23"/>
      <c r="KC332" s="23"/>
      <c r="KD332" s="23"/>
      <c r="KE332" s="23"/>
      <c r="KF332" s="23"/>
      <c r="KG332" s="23"/>
      <c r="KH332" s="23"/>
      <c r="KI332" s="23"/>
      <c r="KJ332" s="23"/>
      <c r="KK332" s="23"/>
      <c r="KL332" s="23"/>
      <c r="KM332" s="23"/>
      <c r="KN332" s="23"/>
      <c r="KO332" s="23"/>
      <c r="KP332" s="23"/>
      <c r="KQ332" s="23"/>
      <c r="KR332" s="23"/>
      <c r="KS332" s="23"/>
      <c r="KT332" s="23"/>
      <c r="KU332" s="23"/>
      <c r="KV332" s="23"/>
      <c r="KW332" s="23"/>
      <c r="KX332" s="23"/>
      <c r="KY332" s="23"/>
      <c r="KZ332" s="23"/>
      <c r="LA332" s="23"/>
      <c r="LB332" s="23"/>
      <c r="LC332" s="23"/>
      <c r="LD332" s="23"/>
      <c r="LE332" s="23"/>
      <c r="LF332" s="23"/>
      <c r="LG332" s="23"/>
      <c r="LH332" s="23"/>
      <c r="LI332" s="23"/>
      <c r="LJ332" s="23"/>
      <c r="LK332" s="23"/>
      <c r="LL332" s="23"/>
      <c r="LM332" s="23"/>
      <c r="LN332" s="23"/>
      <c r="LO332" s="23"/>
    </row>
    <row r="333" spans="1:327">
      <c r="A333" s="390"/>
      <c r="B333" s="23"/>
      <c r="C333" s="391"/>
      <c r="D333" s="391"/>
      <c r="E333" s="23"/>
      <c r="F333" s="23"/>
      <c r="G333" s="392"/>
      <c r="H333" s="392"/>
      <c r="I333" s="392"/>
      <c r="J333" s="392"/>
      <c r="K333" s="392"/>
      <c r="L333" s="392"/>
      <c r="M333" s="392"/>
      <c r="N333" s="23"/>
      <c r="O333" s="39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  <c r="IL333" s="23"/>
      <c r="IM333" s="23"/>
      <c r="IN333" s="23"/>
      <c r="IO333" s="23"/>
      <c r="IP333" s="23"/>
      <c r="IQ333" s="23"/>
      <c r="IR333" s="23"/>
      <c r="IS333" s="23"/>
      <c r="IT333" s="23"/>
      <c r="IU333" s="23"/>
      <c r="IV333" s="23"/>
      <c r="IW333" s="23"/>
      <c r="IX333" s="23"/>
      <c r="IY333" s="23"/>
      <c r="IZ333" s="23"/>
      <c r="JA333" s="23"/>
      <c r="JB333" s="23"/>
      <c r="JC333" s="23"/>
      <c r="JD333" s="23"/>
      <c r="JE333" s="23"/>
      <c r="JF333" s="23"/>
      <c r="JG333" s="23"/>
      <c r="JH333" s="23"/>
      <c r="JI333" s="23"/>
      <c r="JJ333" s="23"/>
      <c r="JK333" s="23"/>
      <c r="JL333" s="23"/>
      <c r="JM333" s="23"/>
      <c r="JN333" s="23"/>
      <c r="JO333" s="23"/>
      <c r="JP333" s="23"/>
      <c r="JQ333" s="23"/>
      <c r="JR333" s="23"/>
      <c r="JS333" s="23"/>
      <c r="JT333" s="23"/>
      <c r="JU333" s="23"/>
      <c r="JV333" s="23"/>
      <c r="JW333" s="23"/>
      <c r="JX333" s="23"/>
      <c r="JY333" s="23"/>
      <c r="JZ333" s="23"/>
      <c r="KA333" s="23"/>
      <c r="KB333" s="23"/>
      <c r="KC333" s="23"/>
      <c r="KD333" s="23"/>
      <c r="KE333" s="23"/>
      <c r="KF333" s="23"/>
      <c r="KG333" s="23"/>
      <c r="KH333" s="23"/>
      <c r="KI333" s="23"/>
      <c r="KJ333" s="23"/>
      <c r="KK333" s="23"/>
      <c r="KL333" s="23"/>
      <c r="KM333" s="23"/>
      <c r="KN333" s="23"/>
      <c r="KO333" s="23"/>
      <c r="KP333" s="23"/>
      <c r="KQ333" s="23"/>
      <c r="KR333" s="23"/>
      <c r="KS333" s="23"/>
      <c r="KT333" s="23"/>
      <c r="KU333" s="23"/>
      <c r="KV333" s="23"/>
      <c r="KW333" s="23"/>
      <c r="KX333" s="23"/>
      <c r="KY333" s="23"/>
      <c r="KZ333" s="23"/>
      <c r="LA333" s="23"/>
      <c r="LB333" s="23"/>
      <c r="LC333" s="23"/>
      <c r="LD333" s="23"/>
      <c r="LE333" s="23"/>
      <c r="LF333" s="23"/>
      <c r="LG333" s="23"/>
      <c r="LH333" s="23"/>
      <c r="LI333" s="23"/>
      <c r="LJ333" s="23"/>
      <c r="LK333" s="23"/>
      <c r="LL333" s="23"/>
      <c r="LM333" s="23"/>
      <c r="LN333" s="23"/>
      <c r="LO333" s="23"/>
    </row>
    <row r="334" spans="1:327">
      <c r="A334" s="390"/>
      <c r="B334" s="23"/>
      <c r="C334" s="391"/>
      <c r="D334" s="391"/>
      <c r="E334" s="23"/>
      <c r="F334" s="23"/>
      <c r="G334" s="392"/>
      <c r="H334" s="392"/>
      <c r="I334" s="392"/>
      <c r="J334" s="392"/>
      <c r="K334" s="392"/>
      <c r="L334" s="392"/>
      <c r="M334" s="392"/>
      <c r="N334" s="23"/>
      <c r="O334" s="39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  <c r="IL334" s="23"/>
      <c r="IM334" s="23"/>
      <c r="IN334" s="23"/>
      <c r="IO334" s="23"/>
      <c r="IP334" s="23"/>
      <c r="IQ334" s="23"/>
      <c r="IR334" s="23"/>
      <c r="IS334" s="23"/>
      <c r="IT334" s="23"/>
      <c r="IU334" s="23"/>
      <c r="IV334" s="23"/>
      <c r="IW334" s="23"/>
      <c r="IX334" s="23"/>
      <c r="IY334" s="23"/>
      <c r="IZ334" s="23"/>
      <c r="JA334" s="23"/>
      <c r="JB334" s="23"/>
      <c r="JC334" s="23"/>
      <c r="JD334" s="23"/>
      <c r="JE334" s="23"/>
      <c r="JF334" s="23"/>
      <c r="JG334" s="23"/>
      <c r="JH334" s="23"/>
      <c r="JI334" s="23"/>
      <c r="JJ334" s="23"/>
      <c r="JK334" s="23"/>
      <c r="JL334" s="23"/>
      <c r="JM334" s="23"/>
      <c r="JN334" s="23"/>
      <c r="JO334" s="23"/>
      <c r="JP334" s="23"/>
      <c r="JQ334" s="23"/>
      <c r="JR334" s="23"/>
      <c r="JS334" s="23"/>
      <c r="JT334" s="23"/>
      <c r="JU334" s="23"/>
      <c r="JV334" s="23"/>
      <c r="JW334" s="23"/>
      <c r="JX334" s="23"/>
      <c r="JY334" s="23"/>
      <c r="JZ334" s="23"/>
      <c r="KA334" s="23"/>
      <c r="KB334" s="23"/>
      <c r="KC334" s="23"/>
      <c r="KD334" s="23"/>
      <c r="KE334" s="23"/>
      <c r="KF334" s="23"/>
      <c r="KG334" s="23"/>
      <c r="KH334" s="23"/>
      <c r="KI334" s="23"/>
      <c r="KJ334" s="23"/>
      <c r="KK334" s="23"/>
      <c r="KL334" s="23"/>
      <c r="KM334" s="23"/>
      <c r="KN334" s="23"/>
      <c r="KO334" s="23"/>
      <c r="KP334" s="23"/>
      <c r="KQ334" s="23"/>
      <c r="KR334" s="23"/>
      <c r="KS334" s="23"/>
      <c r="KT334" s="23"/>
      <c r="KU334" s="23"/>
      <c r="KV334" s="23"/>
      <c r="KW334" s="23"/>
      <c r="KX334" s="23"/>
      <c r="KY334" s="23"/>
      <c r="KZ334" s="23"/>
      <c r="LA334" s="23"/>
      <c r="LB334" s="23"/>
      <c r="LC334" s="23"/>
      <c r="LD334" s="23"/>
      <c r="LE334" s="23"/>
      <c r="LF334" s="23"/>
      <c r="LG334" s="23"/>
      <c r="LH334" s="23"/>
      <c r="LI334" s="23"/>
      <c r="LJ334" s="23"/>
      <c r="LK334" s="23"/>
      <c r="LL334" s="23"/>
      <c r="LM334" s="23"/>
      <c r="LN334" s="23"/>
      <c r="LO334" s="23"/>
    </row>
    <row r="335" spans="1:327">
      <c r="A335" s="390"/>
      <c r="B335" s="23"/>
      <c r="C335" s="391"/>
      <c r="D335" s="391"/>
      <c r="E335" s="23"/>
      <c r="F335" s="23"/>
      <c r="G335" s="392"/>
      <c r="H335" s="392"/>
      <c r="I335" s="392"/>
      <c r="J335" s="392"/>
      <c r="K335" s="392"/>
      <c r="L335" s="392"/>
      <c r="M335" s="392"/>
      <c r="N335" s="23"/>
      <c r="O335" s="39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  <c r="IL335" s="23"/>
      <c r="IM335" s="23"/>
      <c r="IN335" s="23"/>
      <c r="IO335" s="23"/>
      <c r="IP335" s="23"/>
      <c r="IQ335" s="23"/>
      <c r="IR335" s="23"/>
      <c r="IS335" s="23"/>
      <c r="IT335" s="23"/>
      <c r="IU335" s="23"/>
      <c r="IV335" s="23"/>
      <c r="IW335" s="23"/>
      <c r="IX335" s="23"/>
      <c r="IY335" s="23"/>
      <c r="IZ335" s="23"/>
      <c r="JA335" s="23"/>
      <c r="JB335" s="23"/>
      <c r="JC335" s="23"/>
      <c r="JD335" s="23"/>
      <c r="JE335" s="23"/>
      <c r="JF335" s="23"/>
      <c r="JG335" s="23"/>
      <c r="JH335" s="23"/>
      <c r="JI335" s="23"/>
      <c r="JJ335" s="23"/>
      <c r="JK335" s="23"/>
      <c r="JL335" s="23"/>
      <c r="JM335" s="23"/>
      <c r="JN335" s="23"/>
      <c r="JO335" s="23"/>
      <c r="JP335" s="23"/>
      <c r="JQ335" s="23"/>
      <c r="JR335" s="23"/>
      <c r="JS335" s="23"/>
      <c r="JT335" s="23"/>
      <c r="JU335" s="23"/>
      <c r="JV335" s="23"/>
      <c r="JW335" s="23"/>
      <c r="JX335" s="23"/>
      <c r="JY335" s="23"/>
      <c r="JZ335" s="23"/>
      <c r="KA335" s="23"/>
      <c r="KB335" s="23"/>
      <c r="KC335" s="23"/>
      <c r="KD335" s="23"/>
      <c r="KE335" s="23"/>
      <c r="KF335" s="23"/>
      <c r="KG335" s="23"/>
      <c r="KH335" s="23"/>
      <c r="KI335" s="23"/>
      <c r="KJ335" s="23"/>
      <c r="KK335" s="23"/>
      <c r="KL335" s="23"/>
      <c r="KM335" s="23"/>
      <c r="KN335" s="23"/>
      <c r="KO335" s="23"/>
      <c r="KP335" s="23"/>
      <c r="KQ335" s="23"/>
      <c r="KR335" s="23"/>
      <c r="KS335" s="23"/>
      <c r="KT335" s="23"/>
      <c r="KU335" s="23"/>
      <c r="KV335" s="23"/>
      <c r="KW335" s="23"/>
      <c r="KX335" s="23"/>
      <c r="KY335" s="23"/>
      <c r="KZ335" s="23"/>
      <c r="LA335" s="23"/>
      <c r="LB335" s="23"/>
      <c r="LC335" s="23"/>
      <c r="LD335" s="23"/>
      <c r="LE335" s="23"/>
      <c r="LF335" s="23"/>
      <c r="LG335" s="23"/>
      <c r="LH335" s="23"/>
      <c r="LI335" s="23"/>
      <c r="LJ335" s="23"/>
      <c r="LK335" s="23"/>
      <c r="LL335" s="23"/>
      <c r="LM335" s="23"/>
      <c r="LN335" s="23"/>
      <c r="LO335" s="23"/>
    </row>
    <row r="336" spans="1:327">
      <c r="A336" s="390"/>
      <c r="B336" s="23"/>
      <c r="C336" s="391"/>
      <c r="D336" s="391"/>
      <c r="E336" s="23"/>
      <c r="F336" s="23"/>
      <c r="G336" s="392"/>
      <c r="H336" s="392"/>
      <c r="I336" s="392"/>
      <c r="J336" s="392"/>
      <c r="K336" s="392"/>
      <c r="L336" s="392"/>
      <c r="M336" s="392"/>
      <c r="N336" s="23"/>
      <c r="O336" s="39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  <c r="IL336" s="23"/>
      <c r="IM336" s="23"/>
      <c r="IN336" s="23"/>
      <c r="IO336" s="23"/>
      <c r="IP336" s="23"/>
      <c r="IQ336" s="23"/>
      <c r="IR336" s="23"/>
      <c r="IS336" s="23"/>
      <c r="IT336" s="23"/>
      <c r="IU336" s="23"/>
      <c r="IV336" s="23"/>
      <c r="IW336" s="23"/>
      <c r="IX336" s="23"/>
      <c r="IY336" s="23"/>
      <c r="IZ336" s="23"/>
      <c r="JA336" s="23"/>
      <c r="JB336" s="23"/>
      <c r="JC336" s="23"/>
      <c r="JD336" s="23"/>
      <c r="JE336" s="23"/>
      <c r="JF336" s="23"/>
      <c r="JG336" s="23"/>
      <c r="JH336" s="23"/>
      <c r="JI336" s="23"/>
      <c r="JJ336" s="23"/>
      <c r="JK336" s="23"/>
      <c r="JL336" s="23"/>
      <c r="JM336" s="23"/>
      <c r="JN336" s="23"/>
      <c r="JO336" s="23"/>
      <c r="JP336" s="23"/>
      <c r="JQ336" s="23"/>
      <c r="JR336" s="23"/>
      <c r="JS336" s="23"/>
      <c r="JT336" s="23"/>
      <c r="JU336" s="23"/>
      <c r="JV336" s="23"/>
      <c r="JW336" s="23"/>
      <c r="JX336" s="23"/>
      <c r="JY336" s="23"/>
      <c r="JZ336" s="23"/>
      <c r="KA336" s="23"/>
      <c r="KB336" s="23"/>
      <c r="KC336" s="23"/>
      <c r="KD336" s="23"/>
      <c r="KE336" s="23"/>
      <c r="KF336" s="23"/>
      <c r="KG336" s="23"/>
      <c r="KH336" s="23"/>
      <c r="KI336" s="23"/>
      <c r="KJ336" s="23"/>
      <c r="KK336" s="23"/>
      <c r="KL336" s="23"/>
      <c r="KM336" s="23"/>
      <c r="KN336" s="23"/>
      <c r="KO336" s="23"/>
      <c r="KP336" s="23"/>
      <c r="KQ336" s="23"/>
      <c r="KR336" s="23"/>
      <c r="KS336" s="23"/>
      <c r="KT336" s="23"/>
      <c r="KU336" s="23"/>
      <c r="KV336" s="23"/>
      <c r="KW336" s="23"/>
      <c r="KX336" s="23"/>
      <c r="KY336" s="23"/>
      <c r="KZ336" s="23"/>
      <c r="LA336" s="23"/>
      <c r="LB336" s="23"/>
      <c r="LC336" s="23"/>
      <c r="LD336" s="23"/>
      <c r="LE336" s="23"/>
      <c r="LF336" s="23"/>
      <c r="LG336" s="23"/>
      <c r="LH336" s="23"/>
      <c r="LI336" s="23"/>
      <c r="LJ336" s="23"/>
      <c r="LK336" s="23"/>
      <c r="LL336" s="23"/>
      <c r="LM336" s="23"/>
      <c r="LN336" s="23"/>
      <c r="LO336" s="23"/>
    </row>
    <row r="337" spans="1:327">
      <c r="A337" s="390"/>
      <c r="B337" s="23"/>
      <c r="C337" s="391"/>
      <c r="D337" s="391"/>
      <c r="E337" s="23"/>
      <c r="F337" s="23"/>
      <c r="G337" s="392"/>
      <c r="H337" s="392"/>
      <c r="I337" s="392"/>
      <c r="J337" s="392"/>
      <c r="K337" s="392"/>
      <c r="L337" s="392"/>
      <c r="M337" s="392"/>
      <c r="N337" s="23"/>
      <c r="O337" s="39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  <c r="IL337" s="23"/>
      <c r="IM337" s="23"/>
      <c r="IN337" s="23"/>
      <c r="IO337" s="23"/>
      <c r="IP337" s="23"/>
      <c r="IQ337" s="23"/>
      <c r="IR337" s="23"/>
      <c r="IS337" s="23"/>
      <c r="IT337" s="23"/>
      <c r="IU337" s="23"/>
      <c r="IV337" s="23"/>
      <c r="IW337" s="23"/>
      <c r="IX337" s="23"/>
      <c r="IY337" s="23"/>
      <c r="IZ337" s="23"/>
      <c r="JA337" s="23"/>
      <c r="JB337" s="23"/>
      <c r="JC337" s="23"/>
      <c r="JD337" s="23"/>
      <c r="JE337" s="23"/>
      <c r="JF337" s="23"/>
      <c r="JG337" s="23"/>
      <c r="JH337" s="23"/>
      <c r="JI337" s="23"/>
      <c r="JJ337" s="23"/>
      <c r="JK337" s="23"/>
      <c r="JL337" s="23"/>
      <c r="JM337" s="23"/>
      <c r="JN337" s="23"/>
      <c r="JO337" s="23"/>
      <c r="JP337" s="23"/>
      <c r="JQ337" s="23"/>
      <c r="JR337" s="23"/>
      <c r="JS337" s="23"/>
      <c r="JT337" s="23"/>
      <c r="JU337" s="23"/>
      <c r="JV337" s="23"/>
      <c r="JW337" s="23"/>
      <c r="JX337" s="23"/>
      <c r="JY337" s="23"/>
      <c r="JZ337" s="23"/>
      <c r="KA337" s="23"/>
      <c r="KB337" s="23"/>
      <c r="KC337" s="23"/>
      <c r="KD337" s="23"/>
      <c r="KE337" s="23"/>
      <c r="KF337" s="23"/>
      <c r="KG337" s="23"/>
      <c r="KH337" s="23"/>
      <c r="KI337" s="23"/>
      <c r="KJ337" s="23"/>
      <c r="KK337" s="23"/>
      <c r="KL337" s="23"/>
      <c r="KM337" s="23"/>
      <c r="KN337" s="23"/>
      <c r="KO337" s="23"/>
      <c r="KP337" s="23"/>
      <c r="KQ337" s="23"/>
      <c r="KR337" s="23"/>
      <c r="KS337" s="23"/>
      <c r="KT337" s="23"/>
      <c r="KU337" s="23"/>
      <c r="KV337" s="23"/>
      <c r="KW337" s="23"/>
      <c r="KX337" s="23"/>
      <c r="KY337" s="23"/>
      <c r="KZ337" s="23"/>
      <c r="LA337" s="23"/>
      <c r="LB337" s="23"/>
      <c r="LC337" s="23"/>
      <c r="LD337" s="23"/>
      <c r="LE337" s="23"/>
      <c r="LF337" s="23"/>
      <c r="LG337" s="23"/>
      <c r="LH337" s="23"/>
      <c r="LI337" s="23"/>
      <c r="LJ337" s="23"/>
      <c r="LK337" s="23"/>
      <c r="LL337" s="23"/>
      <c r="LM337" s="23"/>
      <c r="LN337" s="23"/>
      <c r="LO337" s="23"/>
    </row>
    <row r="338" spans="1:327">
      <c r="A338" s="390"/>
      <c r="B338" s="23"/>
      <c r="C338" s="391"/>
      <c r="D338" s="391"/>
      <c r="E338" s="23"/>
      <c r="F338" s="23"/>
      <c r="G338" s="392"/>
      <c r="H338" s="392"/>
      <c r="I338" s="392"/>
      <c r="J338" s="392"/>
      <c r="K338" s="392"/>
      <c r="L338" s="392"/>
      <c r="M338" s="392"/>
      <c r="N338" s="23"/>
      <c r="O338" s="39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  <c r="IL338" s="23"/>
      <c r="IM338" s="23"/>
      <c r="IN338" s="23"/>
      <c r="IO338" s="23"/>
      <c r="IP338" s="23"/>
      <c r="IQ338" s="23"/>
      <c r="IR338" s="23"/>
      <c r="IS338" s="23"/>
      <c r="IT338" s="23"/>
      <c r="IU338" s="23"/>
      <c r="IV338" s="23"/>
      <c r="IW338" s="23"/>
      <c r="IX338" s="23"/>
      <c r="IY338" s="23"/>
      <c r="IZ338" s="23"/>
      <c r="JA338" s="23"/>
      <c r="JB338" s="23"/>
      <c r="JC338" s="23"/>
      <c r="JD338" s="23"/>
      <c r="JE338" s="23"/>
      <c r="JF338" s="23"/>
      <c r="JG338" s="23"/>
      <c r="JH338" s="23"/>
      <c r="JI338" s="23"/>
      <c r="JJ338" s="23"/>
      <c r="JK338" s="23"/>
      <c r="JL338" s="23"/>
      <c r="JM338" s="23"/>
      <c r="JN338" s="23"/>
      <c r="JO338" s="23"/>
      <c r="JP338" s="23"/>
      <c r="JQ338" s="23"/>
      <c r="JR338" s="23"/>
      <c r="JS338" s="23"/>
      <c r="JT338" s="23"/>
      <c r="JU338" s="23"/>
      <c r="JV338" s="23"/>
      <c r="JW338" s="23"/>
      <c r="JX338" s="23"/>
      <c r="JY338" s="23"/>
      <c r="JZ338" s="23"/>
      <c r="KA338" s="23"/>
      <c r="KB338" s="23"/>
      <c r="KC338" s="23"/>
      <c r="KD338" s="23"/>
      <c r="KE338" s="23"/>
      <c r="KF338" s="23"/>
      <c r="KG338" s="23"/>
      <c r="KH338" s="23"/>
      <c r="KI338" s="23"/>
      <c r="KJ338" s="23"/>
      <c r="KK338" s="23"/>
      <c r="KL338" s="23"/>
      <c r="KM338" s="23"/>
      <c r="KN338" s="23"/>
      <c r="KO338" s="23"/>
      <c r="KP338" s="23"/>
      <c r="KQ338" s="23"/>
      <c r="KR338" s="23"/>
      <c r="KS338" s="23"/>
      <c r="KT338" s="23"/>
      <c r="KU338" s="23"/>
      <c r="KV338" s="23"/>
      <c r="KW338" s="23"/>
      <c r="KX338" s="23"/>
      <c r="KY338" s="23"/>
      <c r="KZ338" s="23"/>
      <c r="LA338" s="23"/>
      <c r="LB338" s="23"/>
      <c r="LC338" s="23"/>
      <c r="LD338" s="23"/>
      <c r="LE338" s="23"/>
      <c r="LF338" s="23"/>
      <c r="LG338" s="23"/>
      <c r="LH338" s="23"/>
      <c r="LI338" s="23"/>
      <c r="LJ338" s="23"/>
      <c r="LK338" s="23"/>
      <c r="LL338" s="23"/>
      <c r="LM338" s="23"/>
      <c r="LN338" s="23"/>
      <c r="LO338" s="23"/>
    </row>
    <row r="339" spans="1:327">
      <c r="A339" s="390"/>
      <c r="B339" s="23"/>
      <c r="C339" s="391"/>
      <c r="D339" s="391"/>
      <c r="E339" s="23"/>
      <c r="F339" s="23"/>
      <c r="G339" s="392"/>
      <c r="H339" s="392"/>
      <c r="I339" s="392"/>
      <c r="J339" s="392"/>
      <c r="K339" s="392"/>
      <c r="L339" s="392"/>
      <c r="M339" s="392"/>
      <c r="N339" s="23"/>
      <c r="O339" s="39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  <c r="IL339" s="23"/>
      <c r="IM339" s="23"/>
      <c r="IN339" s="23"/>
      <c r="IO339" s="23"/>
      <c r="IP339" s="23"/>
      <c r="IQ339" s="23"/>
      <c r="IR339" s="23"/>
      <c r="IS339" s="23"/>
      <c r="IT339" s="23"/>
      <c r="IU339" s="23"/>
      <c r="IV339" s="23"/>
      <c r="IW339" s="23"/>
      <c r="IX339" s="23"/>
      <c r="IY339" s="23"/>
      <c r="IZ339" s="23"/>
      <c r="JA339" s="23"/>
      <c r="JB339" s="23"/>
      <c r="JC339" s="23"/>
      <c r="JD339" s="23"/>
      <c r="JE339" s="23"/>
      <c r="JF339" s="23"/>
      <c r="JG339" s="23"/>
      <c r="JH339" s="23"/>
      <c r="JI339" s="23"/>
      <c r="JJ339" s="23"/>
      <c r="JK339" s="23"/>
      <c r="JL339" s="23"/>
      <c r="JM339" s="23"/>
      <c r="JN339" s="23"/>
      <c r="JO339" s="23"/>
      <c r="JP339" s="23"/>
      <c r="JQ339" s="23"/>
      <c r="JR339" s="23"/>
      <c r="JS339" s="23"/>
      <c r="JT339" s="23"/>
      <c r="JU339" s="23"/>
      <c r="JV339" s="23"/>
      <c r="JW339" s="23"/>
      <c r="JX339" s="23"/>
      <c r="JY339" s="23"/>
      <c r="JZ339" s="23"/>
      <c r="KA339" s="23"/>
      <c r="KB339" s="23"/>
      <c r="KC339" s="23"/>
      <c r="KD339" s="23"/>
      <c r="KE339" s="23"/>
      <c r="KF339" s="23"/>
      <c r="KG339" s="23"/>
      <c r="KH339" s="23"/>
      <c r="KI339" s="23"/>
      <c r="KJ339" s="23"/>
      <c r="KK339" s="23"/>
      <c r="KL339" s="23"/>
      <c r="KM339" s="23"/>
      <c r="KN339" s="23"/>
      <c r="KO339" s="23"/>
      <c r="KP339" s="23"/>
      <c r="KQ339" s="23"/>
      <c r="KR339" s="23"/>
      <c r="KS339" s="23"/>
      <c r="KT339" s="23"/>
      <c r="KU339" s="23"/>
      <c r="KV339" s="23"/>
      <c r="KW339" s="23"/>
      <c r="KX339" s="23"/>
      <c r="KY339" s="23"/>
      <c r="KZ339" s="23"/>
      <c r="LA339" s="23"/>
      <c r="LB339" s="23"/>
      <c r="LC339" s="23"/>
      <c r="LD339" s="23"/>
      <c r="LE339" s="23"/>
      <c r="LF339" s="23"/>
      <c r="LG339" s="23"/>
      <c r="LH339" s="23"/>
      <c r="LI339" s="23"/>
      <c r="LJ339" s="23"/>
      <c r="LK339" s="23"/>
      <c r="LL339" s="23"/>
      <c r="LM339" s="23"/>
      <c r="LN339" s="23"/>
      <c r="LO339" s="23"/>
    </row>
    <row r="340" spans="1:327">
      <c r="A340" s="390"/>
      <c r="B340" s="23"/>
      <c r="C340" s="391"/>
      <c r="D340" s="391"/>
      <c r="E340" s="23"/>
      <c r="F340" s="23"/>
      <c r="G340" s="392"/>
      <c r="H340" s="392"/>
      <c r="I340" s="392"/>
      <c r="J340" s="392"/>
      <c r="K340" s="392"/>
      <c r="L340" s="392"/>
      <c r="M340" s="392"/>
      <c r="N340" s="23"/>
      <c r="O340" s="39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  <c r="IL340" s="23"/>
      <c r="IM340" s="23"/>
      <c r="IN340" s="23"/>
      <c r="IO340" s="23"/>
      <c r="IP340" s="23"/>
      <c r="IQ340" s="23"/>
      <c r="IR340" s="23"/>
      <c r="IS340" s="23"/>
      <c r="IT340" s="23"/>
      <c r="IU340" s="23"/>
      <c r="IV340" s="23"/>
      <c r="IW340" s="23"/>
      <c r="IX340" s="23"/>
      <c r="IY340" s="23"/>
      <c r="IZ340" s="23"/>
      <c r="JA340" s="23"/>
      <c r="JB340" s="23"/>
      <c r="JC340" s="23"/>
      <c r="JD340" s="23"/>
      <c r="JE340" s="23"/>
      <c r="JF340" s="23"/>
      <c r="JG340" s="23"/>
      <c r="JH340" s="23"/>
      <c r="JI340" s="23"/>
      <c r="JJ340" s="23"/>
      <c r="JK340" s="23"/>
      <c r="JL340" s="23"/>
      <c r="JM340" s="23"/>
      <c r="JN340" s="23"/>
      <c r="JO340" s="23"/>
      <c r="JP340" s="23"/>
      <c r="JQ340" s="23"/>
      <c r="JR340" s="23"/>
      <c r="JS340" s="23"/>
      <c r="JT340" s="23"/>
      <c r="JU340" s="23"/>
      <c r="JV340" s="23"/>
      <c r="JW340" s="23"/>
      <c r="JX340" s="23"/>
      <c r="JY340" s="23"/>
      <c r="JZ340" s="23"/>
      <c r="KA340" s="23"/>
      <c r="KB340" s="23"/>
      <c r="KC340" s="23"/>
      <c r="KD340" s="23"/>
      <c r="KE340" s="23"/>
      <c r="KF340" s="23"/>
      <c r="KG340" s="23"/>
      <c r="KH340" s="23"/>
      <c r="KI340" s="23"/>
      <c r="KJ340" s="23"/>
      <c r="KK340" s="23"/>
      <c r="KL340" s="23"/>
      <c r="KM340" s="23"/>
      <c r="KN340" s="23"/>
      <c r="KO340" s="23"/>
      <c r="KP340" s="23"/>
      <c r="KQ340" s="23"/>
      <c r="KR340" s="23"/>
      <c r="KS340" s="23"/>
      <c r="KT340" s="23"/>
      <c r="KU340" s="23"/>
      <c r="KV340" s="23"/>
      <c r="KW340" s="23"/>
      <c r="KX340" s="23"/>
      <c r="KY340" s="23"/>
      <c r="KZ340" s="23"/>
      <c r="LA340" s="23"/>
      <c r="LB340" s="23"/>
      <c r="LC340" s="23"/>
      <c r="LD340" s="23"/>
      <c r="LE340" s="23"/>
      <c r="LF340" s="23"/>
      <c r="LG340" s="23"/>
      <c r="LH340" s="23"/>
      <c r="LI340" s="23"/>
      <c r="LJ340" s="23"/>
      <c r="LK340" s="23"/>
      <c r="LL340" s="23"/>
      <c r="LM340" s="23"/>
      <c r="LN340" s="23"/>
      <c r="LO340" s="23"/>
    </row>
    <row r="341" spans="1:327">
      <c r="A341" s="390"/>
      <c r="B341" s="23"/>
      <c r="C341" s="391"/>
      <c r="D341" s="391"/>
      <c r="E341" s="23"/>
      <c r="F341" s="23"/>
      <c r="G341" s="392"/>
      <c r="H341" s="392"/>
      <c r="I341" s="392"/>
      <c r="J341" s="392"/>
      <c r="K341" s="392"/>
      <c r="L341" s="392"/>
      <c r="M341" s="392"/>
      <c r="N341" s="23"/>
      <c r="O341" s="39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  <c r="IL341" s="23"/>
      <c r="IM341" s="23"/>
      <c r="IN341" s="23"/>
      <c r="IO341" s="23"/>
      <c r="IP341" s="23"/>
      <c r="IQ341" s="23"/>
      <c r="IR341" s="23"/>
      <c r="IS341" s="23"/>
      <c r="IT341" s="23"/>
      <c r="IU341" s="23"/>
      <c r="IV341" s="23"/>
      <c r="IW341" s="23"/>
      <c r="IX341" s="23"/>
      <c r="IY341" s="23"/>
      <c r="IZ341" s="23"/>
      <c r="JA341" s="23"/>
      <c r="JB341" s="23"/>
      <c r="JC341" s="23"/>
      <c r="JD341" s="23"/>
      <c r="JE341" s="23"/>
      <c r="JF341" s="23"/>
      <c r="JG341" s="23"/>
      <c r="JH341" s="23"/>
      <c r="JI341" s="23"/>
      <c r="JJ341" s="23"/>
      <c r="JK341" s="23"/>
      <c r="JL341" s="23"/>
      <c r="JM341" s="23"/>
      <c r="JN341" s="23"/>
      <c r="JO341" s="23"/>
      <c r="JP341" s="23"/>
      <c r="JQ341" s="23"/>
      <c r="JR341" s="23"/>
      <c r="JS341" s="23"/>
      <c r="JT341" s="23"/>
      <c r="JU341" s="23"/>
      <c r="JV341" s="23"/>
      <c r="JW341" s="23"/>
      <c r="JX341" s="23"/>
      <c r="JY341" s="23"/>
      <c r="JZ341" s="23"/>
      <c r="KA341" s="23"/>
      <c r="KB341" s="23"/>
      <c r="KC341" s="23"/>
      <c r="KD341" s="23"/>
      <c r="KE341" s="23"/>
      <c r="KF341" s="23"/>
      <c r="KG341" s="23"/>
      <c r="KH341" s="23"/>
      <c r="KI341" s="23"/>
      <c r="KJ341" s="23"/>
      <c r="KK341" s="23"/>
      <c r="KL341" s="23"/>
      <c r="KM341" s="23"/>
      <c r="KN341" s="23"/>
      <c r="KO341" s="23"/>
      <c r="KP341" s="23"/>
      <c r="KQ341" s="23"/>
      <c r="KR341" s="23"/>
      <c r="KS341" s="23"/>
      <c r="KT341" s="23"/>
      <c r="KU341" s="23"/>
      <c r="KV341" s="23"/>
      <c r="KW341" s="23"/>
      <c r="KX341" s="23"/>
      <c r="KY341" s="23"/>
      <c r="KZ341" s="23"/>
      <c r="LA341" s="23"/>
      <c r="LB341" s="23"/>
      <c r="LC341" s="23"/>
      <c r="LD341" s="23"/>
      <c r="LE341" s="23"/>
      <c r="LF341" s="23"/>
      <c r="LG341" s="23"/>
      <c r="LH341" s="23"/>
      <c r="LI341" s="23"/>
      <c r="LJ341" s="23"/>
      <c r="LK341" s="23"/>
      <c r="LL341" s="23"/>
      <c r="LM341" s="23"/>
      <c r="LN341" s="23"/>
      <c r="LO341" s="23"/>
    </row>
    <row r="342" spans="1:327">
      <c r="A342" s="390"/>
      <c r="B342" s="23"/>
      <c r="C342" s="391"/>
      <c r="D342" s="391"/>
      <c r="E342" s="23"/>
      <c r="F342" s="23"/>
      <c r="G342" s="392"/>
      <c r="H342" s="392"/>
      <c r="I342" s="392"/>
      <c r="J342" s="392"/>
      <c r="K342" s="392"/>
      <c r="L342" s="392"/>
      <c r="M342" s="392"/>
      <c r="N342" s="23"/>
      <c r="O342" s="39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  <c r="IL342" s="23"/>
      <c r="IM342" s="23"/>
      <c r="IN342" s="23"/>
      <c r="IO342" s="23"/>
      <c r="IP342" s="23"/>
      <c r="IQ342" s="23"/>
      <c r="IR342" s="23"/>
      <c r="IS342" s="23"/>
      <c r="IT342" s="23"/>
      <c r="IU342" s="23"/>
      <c r="IV342" s="23"/>
      <c r="IW342" s="23"/>
      <c r="IX342" s="23"/>
      <c r="IY342" s="23"/>
      <c r="IZ342" s="23"/>
      <c r="JA342" s="23"/>
      <c r="JB342" s="23"/>
      <c r="JC342" s="23"/>
      <c r="JD342" s="23"/>
      <c r="JE342" s="23"/>
      <c r="JF342" s="23"/>
      <c r="JG342" s="23"/>
      <c r="JH342" s="23"/>
      <c r="JI342" s="23"/>
      <c r="JJ342" s="23"/>
      <c r="JK342" s="23"/>
      <c r="JL342" s="23"/>
      <c r="JM342" s="23"/>
      <c r="JN342" s="23"/>
      <c r="JO342" s="23"/>
      <c r="JP342" s="23"/>
      <c r="JQ342" s="23"/>
      <c r="JR342" s="23"/>
      <c r="JS342" s="23"/>
      <c r="JT342" s="23"/>
      <c r="JU342" s="23"/>
      <c r="JV342" s="23"/>
      <c r="JW342" s="23"/>
      <c r="JX342" s="23"/>
      <c r="JY342" s="23"/>
      <c r="JZ342" s="23"/>
      <c r="KA342" s="23"/>
      <c r="KB342" s="23"/>
      <c r="KC342" s="23"/>
      <c r="KD342" s="23"/>
      <c r="KE342" s="23"/>
      <c r="KF342" s="23"/>
      <c r="KG342" s="23"/>
      <c r="KH342" s="23"/>
      <c r="KI342" s="23"/>
      <c r="KJ342" s="23"/>
      <c r="KK342" s="23"/>
      <c r="KL342" s="23"/>
      <c r="KM342" s="23"/>
      <c r="KN342" s="23"/>
      <c r="KO342" s="23"/>
      <c r="KP342" s="23"/>
      <c r="KQ342" s="23"/>
      <c r="KR342" s="23"/>
      <c r="KS342" s="23"/>
      <c r="KT342" s="23"/>
      <c r="KU342" s="23"/>
      <c r="KV342" s="23"/>
      <c r="KW342" s="23"/>
      <c r="KX342" s="23"/>
      <c r="KY342" s="23"/>
      <c r="KZ342" s="23"/>
      <c r="LA342" s="23"/>
      <c r="LB342" s="23"/>
      <c r="LC342" s="23"/>
      <c r="LD342" s="23"/>
      <c r="LE342" s="23"/>
      <c r="LF342" s="23"/>
      <c r="LG342" s="23"/>
      <c r="LH342" s="23"/>
      <c r="LI342" s="23"/>
      <c r="LJ342" s="23"/>
      <c r="LK342" s="23"/>
      <c r="LL342" s="23"/>
      <c r="LM342" s="23"/>
      <c r="LN342" s="23"/>
      <c r="LO342" s="23"/>
    </row>
    <row r="343" spans="1:327">
      <c r="A343" s="390"/>
      <c r="B343" s="23"/>
      <c r="C343" s="391"/>
      <c r="D343" s="391"/>
      <c r="E343" s="23"/>
      <c r="F343" s="23"/>
      <c r="G343" s="392"/>
      <c r="H343" s="392"/>
      <c r="I343" s="392"/>
      <c r="J343" s="392"/>
      <c r="K343" s="392"/>
      <c r="L343" s="392"/>
      <c r="M343" s="392"/>
      <c r="N343" s="23"/>
      <c r="O343" s="39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  <c r="IL343" s="23"/>
      <c r="IM343" s="23"/>
      <c r="IN343" s="23"/>
      <c r="IO343" s="23"/>
      <c r="IP343" s="23"/>
      <c r="IQ343" s="23"/>
      <c r="IR343" s="23"/>
      <c r="IS343" s="23"/>
      <c r="IT343" s="23"/>
      <c r="IU343" s="23"/>
      <c r="IV343" s="23"/>
      <c r="IW343" s="23"/>
      <c r="IX343" s="23"/>
      <c r="IY343" s="23"/>
      <c r="IZ343" s="23"/>
      <c r="JA343" s="23"/>
      <c r="JB343" s="23"/>
      <c r="JC343" s="23"/>
      <c r="JD343" s="23"/>
      <c r="JE343" s="23"/>
      <c r="JF343" s="23"/>
      <c r="JG343" s="23"/>
      <c r="JH343" s="23"/>
      <c r="JI343" s="23"/>
      <c r="JJ343" s="23"/>
      <c r="JK343" s="23"/>
      <c r="JL343" s="23"/>
      <c r="JM343" s="23"/>
      <c r="JN343" s="23"/>
      <c r="JO343" s="23"/>
      <c r="JP343" s="23"/>
      <c r="JQ343" s="23"/>
      <c r="JR343" s="23"/>
      <c r="JS343" s="23"/>
      <c r="JT343" s="23"/>
      <c r="JU343" s="23"/>
      <c r="JV343" s="23"/>
      <c r="JW343" s="23"/>
      <c r="JX343" s="23"/>
      <c r="JY343" s="23"/>
      <c r="JZ343" s="23"/>
      <c r="KA343" s="23"/>
      <c r="KB343" s="23"/>
      <c r="KC343" s="23"/>
      <c r="KD343" s="23"/>
      <c r="KE343" s="23"/>
      <c r="KF343" s="23"/>
      <c r="KG343" s="23"/>
      <c r="KH343" s="23"/>
      <c r="KI343" s="23"/>
      <c r="KJ343" s="23"/>
      <c r="KK343" s="23"/>
      <c r="KL343" s="23"/>
      <c r="KM343" s="23"/>
      <c r="KN343" s="23"/>
      <c r="KO343" s="23"/>
      <c r="KP343" s="23"/>
      <c r="KQ343" s="23"/>
      <c r="KR343" s="23"/>
      <c r="KS343" s="23"/>
      <c r="KT343" s="23"/>
      <c r="KU343" s="23"/>
      <c r="KV343" s="23"/>
      <c r="KW343" s="23"/>
      <c r="KX343" s="23"/>
      <c r="KY343" s="23"/>
      <c r="KZ343" s="23"/>
      <c r="LA343" s="23"/>
      <c r="LB343" s="23"/>
      <c r="LC343" s="23"/>
      <c r="LD343" s="23"/>
      <c r="LE343" s="23"/>
      <c r="LF343" s="23"/>
      <c r="LG343" s="23"/>
      <c r="LH343" s="23"/>
      <c r="LI343" s="23"/>
      <c r="LJ343" s="23"/>
      <c r="LK343" s="23"/>
      <c r="LL343" s="23"/>
      <c r="LM343" s="23"/>
      <c r="LN343" s="23"/>
      <c r="LO343" s="23"/>
    </row>
    <row r="344" spans="1:327">
      <c r="A344" s="390"/>
      <c r="B344" s="23"/>
      <c r="C344" s="391"/>
      <c r="D344" s="391"/>
      <c r="E344" s="23"/>
      <c r="F344" s="23"/>
      <c r="G344" s="392"/>
      <c r="H344" s="392"/>
      <c r="I344" s="392"/>
      <c r="J344" s="392"/>
      <c r="K344" s="392"/>
      <c r="L344" s="392"/>
      <c r="M344" s="392"/>
      <c r="N344" s="23"/>
      <c r="O344" s="39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  <c r="IL344" s="23"/>
      <c r="IM344" s="23"/>
      <c r="IN344" s="23"/>
      <c r="IO344" s="23"/>
      <c r="IP344" s="23"/>
      <c r="IQ344" s="23"/>
      <c r="IR344" s="23"/>
      <c r="IS344" s="23"/>
      <c r="IT344" s="23"/>
      <c r="IU344" s="23"/>
      <c r="IV344" s="23"/>
      <c r="IW344" s="23"/>
      <c r="IX344" s="23"/>
      <c r="IY344" s="23"/>
      <c r="IZ344" s="23"/>
      <c r="JA344" s="23"/>
      <c r="JB344" s="23"/>
      <c r="JC344" s="23"/>
      <c r="JD344" s="23"/>
      <c r="JE344" s="23"/>
      <c r="JF344" s="23"/>
      <c r="JG344" s="23"/>
      <c r="JH344" s="23"/>
      <c r="JI344" s="23"/>
      <c r="JJ344" s="23"/>
      <c r="JK344" s="23"/>
      <c r="JL344" s="23"/>
      <c r="JM344" s="23"/>
      <c r="JN344" s="23"/>
      <c r="JO344" s="23"/>
      <c r="JP344" s="23"/>
      <c r="JQ344" s="23"/>
      <c r="JR344" s="23"/>
      <c r="JS344" s="23"/>
      <c r="JT344" s="23"/>
      <c r="JU344" s="23"/>
      <c r="JV344" s="23"/>
      <c r="JW344" s="23"/>
      <c r="JX344" s="23"/>
      <c r="JY344" s="23"/>
      <c r="JZ344" s="23"/>
      <c r="KA344" s="23"/>
      <c r="KB344" s="23"/>
      <c r="KC344" s="23"/>
      <c r="KD344" s="23"/>
      <c r="KE344" s="23"/>
      <c r="KF344" s="23"/>
      <c r="KG344" s="23"/>
      <c r="KH344" s="23"/>
      <c r="KI344" s="23"/>
      <c r="KJ344" s="23"/>
      <c r="KK344" s="23"/>
      <c r="KL344" s="23"/>
      <c r="KM344" s="23"/>
      <c r="KN344" s="23"/>
      <c r="KO344" s="23"/>
      <c r="KP344" s="23"/>
      <c r="KQ344" s="23"/>
      <c r="KR344" s="23"/>
      <c r="KS344" s="23"/>
      <c r="KT344" s="23"/>
      <c r="KU344" s="23"/>
      <c r="KV344" s="23"/>
      <c r="KW344" s="23"/>
      <c r="KX344" s="23"/>
      <c r="KY344" s="23"/>
      <c r="KZ344" s="23"/>
      <c r="LA344" s="23"/>
      <c r="LB344" s="23"/>
      <c r="LC344" s="23"/>
      <c r="LD344" s="23"/>
      <c r="LE344" s="23"/>
      <c r="LF344" s="23"/>
      <c r="LG344" s="23"/>
      <c r="LH344" s="23"/>
      <c r="LI344" s="23"/>
      <c r="LJ344" s="23"/>
      <c r="LK344" s="23"/>
      <c r="LL344" s="23"/>
      <c r="LM344" s="23"/>
      <c r="LN344" s="23"/>
      <c r="LO344" s="23"/>
    </row>
    <row r="345" spans="1:327">
      <c r="A345" s="390"/>
      <c r="B345" s="23"/>
      <c r="C345" s="391"/>
      <c r="D345" s="391"/>
      <c r="E345" s="23"/>
      <c r="F345" s="23"/>
      <c r="G345" s="392"/>
      <c r="H345" s="392"/>
      <c r="I345" s="392"/>
      <c r="J345" s="392"/>
      <c r="K345" s="392"/>
      <c r="L345" s="392"/>
      <c r="M345" s="392"/>
      <c r="N345" s="23"/>
      <c r="O345" s="39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  <c r="IL345" s="23"/>
      <c r="IM345" s="23"/>
      <c r="IN345" s="23"/>
      <c r="IO345" s="23"/>
      <c r="IP345" s="23"/>
      <c r="IQ345" s="23"/>
      <c r="IR345" s="23"/>
      <c r="IS345" s="23"/>
      <c r="IT345" s="23"/>
      <c r="IU345" s="23"/>
      <c r="IV345" s="23"/>
      <c r="IW345" s="23"/>
      <c r="IX345" s="23"/>
      <c r="IY345" s="23"/>
      <c r="IZ345" s="23"/>
      <c r="JA345" s="23"/>
      <c r="JB345" s="23"/>
      <c r="JC345" s="23"/>
      <c r="JD345" s="23"/>
      <c r="JE345" s="23"/>
      <c r="JF345" s="23"/>
      <c r="JG345" s="23"/>
      <c r="JH345" s="23"/>
      <c r="JI345" s="23"/>
      <c r="JJ345" s="23"/>
      <c r="JK345" s="23"/>
      <c r="JL345" s="23"/>
      <c r="JM345" s="23"/>
      <c r="JN345" s="23"/>
      <c r="JO345" s="23"/>
      <c r="JP345" s="23"/>
      <c r="JQ345" s="23"/>
      <c r="JR345" s="23"/>
      <c r="JS345" s="23"/>
      <c r="JT345" s="23"/>
      <c r="JU345" s="23"/>
      <c r="JV345" s="23"/>
      <c r="JW345" s="23"/>
      <c r="JX345" s="23"/>
      <c r="JY345" s="23"/>
      <c r="JZ345" s="23"/>
      <c r="KA345" s="23"/>
      <c r="KB345" s="23"/>
      <c r="KC345" s="23"/>
      <c r="KD345" s="23"/>
      <c r="KE345" s="23"/>
      <c r="KF345" s="23"/>
      <c r="KG345" s="23"/>
      <c r="KH345" s="23"/>
      <c r="KI345" s="23"/>
      <c r="KJ345" s="23"/>
      <c r="KK345" s="23"/>
      <c r="KL345" s="23"/>
      <c r="KM345" s="23"/>
      <c r="KN345" s="23"/>
      <c r="KO345" s="23"/>
      <c r="KP345" s="23"/>
      <c r="KQ345" s="23"/>
      <c r="KR345" s="23"/>
      <c r="KS345" s="23"/>
      <c r="KT345" s="23"/>
      <c r="KU345" s="23"/>
      <c r="KV345" s="23"/>
      <c r="KW345" s="23"/>
      <c r="KX345" s="23"/>
      <c r="KY345" s="23"/>
      <c r="KZ345" s="23"/>
      <c r="LA345" s="23"/>
      <c r="LB345" s="23"/>
      <c r="LC345" s="23"/>
      <c r="LD345" s="23"/>
      <c r="LE345" s="23"/>
      <c r="LF345" s="23"/>
      <c r="LG345" s="23"/>
      <c r="LH345" s="23"/>
      <c r="LI345" s="23"/>
      <c r="LJ345" s="23"/>
      <c r="LK345" s="23"/>
      <c r="LL345" s="23"/>
      <c r="LM345" s="23"/>
      <c r="LN345" s="23"/>
      <c r="LO345" s="23"/>
    </row>
    <row r="346" spans="1:327">
      <c r="A346" s="390"/>
      <c r="B346" s="23"/>
      <c r="C346" s="391"/>
      <c r="D346" s="391"/>
      <c r="E346" s="23"/>
      <c r="F346" s="23"/>
      <c r="G346" s="392"/>
      <c r="H346" s="392"/>
      <c r="I346" s="392"/>
      <c r="J346" s="392"/>
      <c r="K346" s="392"/>
      <c r="L346" s="392"/>
      <c r="M346" s="392"/>
      <c r="N346" s="23"/>
      <c r="O346" s="39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  <c r="IL346" s="23"/>
      <c r="IM346" s="23"/>
      <c r="IN346" s="23"/>
      <c r="IO346" s="23"/>
      <c r="IP346" s="23"/>
      <c r="IQ346" s="23"/>
      <c r="IR346" s="23"/>
      <c r="IS346" s="23"/>
      <c r="IT346" s="23"/>
      <c r="IU346" s="23"/>
      <c r="IV346" s="23"/>
      <c r="IW346" s="23"/>
      <c r="IX346" s="23"/>
      <c r="IY346" s="23"/>
      <c r="IZ346" s="23"/>
      <c r="JA346" s="23"/>
      <c r="JB346" s="23"/>
      <c r="JC346" s="23"/>
      <c r="JD346" s="23"/>
      <c r="JE346" s="23"/>
      <c r="JF346" s="23"/>
      <c r="JG346" s="23"/>
      <c r="JH346" s="23"/>
      <c r="JI346" s="23"/>
      <c r="JJ346" s="23"/>
      <c r="JK346" s="23"/>
      <c r="JL346" s="23"/>
      <c r="JM346" s="23"/>
      <c r="JN346" s="23"/>
      <c r="JO346" s="23"/>
      <c r="JP346" s="23"/>
      <c r="JQ346" s="23"/>
      <c r="JR346" s="23"/>
      <c r="JS346" s="23"/>
      <c r="JT346" s="23"/>
      <c r="JU346" s="23"/>
      <c r="JV346" s="23"/>
      <c r="JW346" s="23"/>
      <c r="JX346" s="23"/>
      <c r="JY346" s="23"/>
      <c r="JZ346" s="23"/>
      <c r="KA346" s="23"/>
      <c r="KB346" s="23"/>
      <c r="KC346" s="23"/>
      <c r="KD346" s="23"/>
      <c r="KE346" s="23"/>
      <c r="KF346" s="23"/>
      <c r="KG346" s="23"/>
      <c r="KH346" s="23"/>
      <c r="KI346" s="23"/>
      <c r="KJ346" s="23"/>
      <c r="KK346" s="23"/>
      <c r="KL346" s="23"/>
      <c r="KM346" s="23"/>
      <c r="KN346" s="23"/>
      <c r="KO346" s="23"/>
      <c r="KP346" s="23"/>
      <c r="KQ346" s="23"/>
      <c r="KR346" s="23"/>
      <c r="KS346" s="23"/>
      <c r="KT346" s="23"/>
      <c r="KU346" s="23"/>
      <c r="KV346" s="23"/>
      <c r="KW346" s="23"/>
      <c r="KX346" s="23"/>
      <c r="KY346" s="23"/>
      <c r="KZ346" s="23"/>
      <c r="LA346" s="23"/>
      <c r="LB346" s="23"/>
      <c r="LC346" s="23"/>
      <c r="LD346" s="23"/>
      <c r="LE346" s="23"/>
      <c r="LF346" s="23"/>
      <c r="LG346" s="23"/>
      <c r="LH346" s="23"/>
      <c r="LI346" s="23"/>
      <c r="LJ346" s="23"/>
      <c r="LK346" s="23"/>
      <c r="LL346" s="23"/>
      <c r="LM346" s="23"/>
      <c r="LN346" s="23"/>
      <c r="LO346" s="23"/>
    </row>
    <row r="347" spans="1:327">
      <c r="A347" s="390"/>
      <c r="B347" s="23"/>
      <c r="C347" s="391"/>
      <c r="D347" s="391"/>
      <c r="E347" s="23"/>
      <c r="F347" s="23"/>
      <c r="G347" s="392"/>
      <c r="H347" s="392"/>
      <c r="I347" s="392"/>
      <c r="J347" s="392"/>
      <c r="K347" s="392"/>
      <c r="L347" s="392"/>
      <c r="M347" s="392"/>
      <c r="N347" s="23"/>
      <c r="O347" s="39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  <c r="IL347" s="23"/>
      <c r="IM347" s="23"/>
      <c r="IN347" s="23"/>
      <c r="IO347" s="23"/>
      <c r="IP347" s="23"/>
      <c r="IQ347" s="23"/>
      <c r="IR347" s="23"/>
      <c r="IS347" s="23"/>
      <c r="IT347" s="23"/>
      <c r="IU347" s="23"/>
      <c r="IV347" s="23"/>
      <c r="IW347" s="23"/>
      <c r="IX347" s="23"/>
      <c r="IY347" s="23"/>
      <c r="IZ347" s="23"/>
      <c r="JA347" s="23"/>
      <c r="JB347" s="23"/>
      <c r="JC347" s="23"/>
      <c r="JD347" s="23"/>
      <c r="JE347" s="23"/>
      <c r="JF347" s="23"/>
      <c r="JG347" s="23"/>
      <c r="JH347" s="23"/>
      <c r="JI347" s="23"/>
      <c r="JJ347" s="23"/>
      <c r="JK347" s="23"/>
      <c r="JL347" s="23"/>
      <c r="JM347" s="23"/>
      <c r="JN347" s="23"/>
      <c r="JO347" s="23"/>
      <c r="JP347" s="23"/>
      <c r="JQ347" s="23"/>
      <c r="JR347" s="23"/>
      <c r="JS347" s="23"/>
      <c r="JT347" s="23"/>
      <c r="JU347" s="23"/>
      <c r="JV347" s="23"/>
      <c r="JW347" s="23"/>
      <c r="JX347" s="23"/>
      <c r="JY347" s="23"/>
      <c r="JZ347" s="23"/>
      <c r="KA347" s="23"/>
      <c r="KB347" s="23"/>
      <c r="KC347" s="23"/>
      <c r="KD347" s="23"/>
      <c r="KE347" s="23"/>
      <c r="KF347" s="23"/>
      <c r="KG347" s="23"/>
      <c r="KH347" s="23"/>
      <c r="KI347" s="23"/>
      <c r="KJ347" s="23"/>
      <c r="KK347" s="23"/>
      <c r="KL347" s="23"/>
      <c r="KM347" s="23"/>
      <c r="KN347" s="23"/>
      <c r="KO347" s="23"/>
      <c r="KP347" s="23"/>
      <c r="KQ347" s="23"/>
      <c r="KR347" s="23"/>
      <c r="KS347" s="23"/>
      <c r="KT347" s="23"/>
      <c r="KU347" s="23"/>
      <c r="KV347" s="23"/>
      <c r="KW347" s="23"/>
      <c r="KX347" s="23"/>
      <c r="KY347" s="23"/>
      <c r="KZ347" s="23"/>
      <c r="LA347" s="23"/>
      <c r="LB347" s="23"/>
      <c r="LC347" s="23"/>
      <c r="LD347" s="23"/>
      <c r="LE347" s="23"/>
      <c r="LF347" s="23"/>
      <c r="LG347" s="23"/>
      <c r="LH347" s="23"/>
      <c r="LI347" s="23"/>
      <c r="LJ347" s="23"/>
      <c r="LK347" s="23"/>
      <c r="LL347" s="23"/>
      <c r="LM347" s="23"/>
      <c r="LN347" s="23"/>
      <c r="LO347" s="23"/>
    </row>
    <row r="348" spans="1:327">
      <c r="A348" s="390"/>
      <c r="B348" s="23"/>
      <c r="C348" s="391"/>
      <c r="D348" s="391"/>
      <c r="E348" s="23"/>
      <c r="F348" s="23"/>
      <c r="G348" s="392"/>
      <c r="H348" s="392"/>
      <c r="I348" s="392"/>
      <c r="J348" s="392"/>
      <c r="K348" s="392"/>
      <c r="L348" s="392"/>
      <c r="M348" s="392"/>
      <c r="N348" s="23"/>
      <c r="O348" s="39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  <c r="IL348" s="23"/>
      <c r="IM348" s="23"/>
      <c r="IN348" s="23"/>
      <c r="IO348" s="23"/>
      <c r="IP348" s="23"/>
      <c r="IQ348" s="23"/>
      <c r="IR348" s="23"/>
      <c r="IS348" s="23"/>
      <c r="IT348" s="23"/>
      <c r="IU348" s="23"/>
      <c r="IV348" s="23"/>
      <c r="IW348" s="23"/>
      <c r="IX348" s="23"/>
      <c r="IY348" s="23"/>
      <c r="IZ348" s="23"/>
      <c r="JA348" s="23"/>
      <c r="JB348" s="23"/>
      <c r="JC348" s="23"/>
      <c r="JD348" s="23"/>
      <c r="JE348" s="23"/>
      <c r="JF348" s="23"/>
      <c r="JG348" s="23"/>
      <c r="JH348" s="23"/>
      <c r="JI348" s="23"/>
      <c r="JJ348" s="23"/>
      <c r="JK348" s="23"/>
      <c r="JL348" s="23"/>
      <c r="JM348" s="23"/>
      <c r="JN348" s="23"/>
      <c r="JO348" s="23"/>
      <c r="JP348" s="23"/>
      <c r="JQ348" s="23"/>
      <c r="JR348" s="23"/>
      <c r="JS348" s="23"/>
      <c r="JT348" s="23"/>
      <c r="JU348" s="23"/>
      <c r="JV348" s="23"/>
      <c r="JW348" s="23"/>
      <c r="JX348" s="23"/>
      <c r="JY348" s="23"/>
      <c r="JZ348" s="23"/>
      <c r="KA348" s="23"/>
      <c r="KB348" s="23"/>
      <c r="KC348" s="23"/>
      <c r="KD348" s="23"/>
      <c r="KE348" s="23"/>
      <c r="KF348" s="23"/>
      <c r="KG348" s="23"/>
      <c r="KH348" s="23"/>
      <c r="KI348" s="23"/>
      <c r="KJ348" s="23"/>
      <c r="KK348" s="23"/>
      <c r="KL348" s="23"/>
      <c r="KM348" s="23"/>
      <c r="KN348" s="23"/>
      <c r="KO348" s="23"/>
      <c r="KP348" s="23"/>
      <c r="KQ348" s="23"/>
      <c r="KR348" s="23"/>
      <c r="KS348" s="23"/>
      <c r="KT348" s="23"/>
      <c r="KU348" s="23"/>
      <c r="KV348" s="23"/>
      <c r="KW348" s="23"/>
      <c r="KX348" s="23"/>
      <c r="KY348" s="23"/>
      <c r="KZ348" s="23"/>
      <c r="LA348" s="23"/>
      <c r="LB348" s="23"/>
      <c r="LC348" s="23"/>
      <c r="LD348" s="23"/>
      <c r="LE348" s="23"/>
      <c r="LF348" s="23"/>
      <c r="LG348" s="23"/>
      <c r="LH348" s="23"/>
      <c r="LI348" s="23"/>
      <c r="LJ348" s="23"/>
      <c r="LK348" s="23"/>
      <c r="LL348" s="23"/>
      <c r="LM348" s="23"/>
      <c r="LN348" s="23"/>
      <c r="LO348" s="23"/>
    </row>
    <row r="349" spans="1:327">
      <c r="A349" s="390"/>
      <c r="B349" s="23"/>
      <c r="C349" s="391"/>
      <c r="D349" s="391"/>
      <c r="E349" s="23"/>
      <c r="F349" s="23"/>
      <c r="G349" s="392"/>
      <c r="H349" s="392"/>
      <c r="I349" s="392"/>
      <c r="J349" s="392"/>
      <c r="K349" s="392"/>
      <c r="L349" s="392"/>
      <c r="M349" s="392"/>
      <c r="N349" s="23"/>
      <c r="O349" s="39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  <c r="IL349" s="23"/>
      <c r="IM349" s="23"/>
      <c r="IN349" s="23"/>
      <c r="IO349" s="23"/>
      <c r="IP349" s="23"/>
      <c r="IQ349" s="23"/>
      <c r="IR349" s="23"/>
      <c r="IS349" s="23"/>
      <c r="IT349" s="23"/>
      <c r="IU349" s="23"/>
      <c r="IV349" s="23"/>
      <c r="IW349" s="23"/>
      <c r="IX349" s="23"/>
      <c r="IY349" s="23"/>
      <c r="IZ349" s="23"/>
      <c r="JA349" s="23"/>
      <c r="JB349" s="23"/>
      <c r="JC349" s="23"/>
      <c r="JD349" s="23"/>
      <c r="JE349" s="23"/>
      <c r="JF349" s="23"/>
      <c r="JG349" s="23"/>
      <c r="JH349" s="23"/>
      <c r="JI349" s="23"/>
      <c r="JJ349" s="23"/>
      <c r="JK349" s="23"/>
      <c r="JL349" s="23"/>
      <c r="JM349" s="23"/>
      <c r="JN349" s="23"/>
      <c r="JO349" s="23"/>
      <c r="JP349" s="23"/>
      <c r="JQ349" s="23"/>
      <c r="JR349" s="23"/>
      <c r="JS349" s="23"/>
      <c r="JT349" s="23"/>
      <c r="JU349" s="23"/>
      <c r="JV349" s="23"/>
      <c r="JW349" s="23"/>
      <c r="JX349" s="23"/>
      <c r="JY349" s="23"/>
      <c r="JZ349" s="23"/>
      <c r="KA349" s="23"/>
      <c r="KB349" s="23"/>
      <c r="KC349" s="23"/>
      <c r="KD349" s="23"/>
      <c r="KE349" s="23"/>
      <c r="KF349" s="23"/>
      <c r="KG349" s="23"/>
      <c r="KH349" s="23"/>
      <c r="KI349" s="23"/>
      <c r="KJ349" s="23"/>
      <c r="KK349" s="23"/>
      <c r="KL349" s="23"/>
      <c r="KM349" s="23"/>
      <c r="KN349" s="23"/>
      <c r="KO349" s="23"/>
      <c r="KP349" s="23"/>
      <c r="KQ349" s="23"/>
      <c r="KR349" s="23"/>
      <c r="KS349" s="23"/>
      <c r="KT349" s="23"/>
      <c r="KU349" s="23"/>
      <c r="KV349" s="23"/>
      <c r="KW349" s="23"/>
      <c r="KX349" s="23"/>
      <c r="KY349" s="23"/>
      <c r="KZ349" s="23"/>
      <c r="LA349" s="23"/>
      <c r="LB349" s="23"/>
      <c r="LC349" s="23"/>
      <c r="LD349" s="23"/>
      <c r="LE349" s="23"/>
      <c r="LF349" s="23"/>
      <c r="LG349" s="23"/>
      <c r="LH349" s="23"/>
      <c r="LI349" s="23"/>
      <c r="LJ349" s="23"/>
      <c r="LK349" s="23"/>
      <c r="LL349" s="23"/>
      <c r="LM349" s="23"/>
      <c r="LN349" s="23"/>
      <c r="LO349" s="23"/>
    </row>
    <row r="350" spans="1:327">
      <c r="A350" s="390"/>
      <c r="B350" s="23"/>
      <c r="C350" s="391"/>
      <c r="D350" s="391"/>
      <c r="E350" s="23"/>
      <c r="F350" s="23"/>
      <c r="G350" s="392"/>
      <c r="H350" s="392"/>
      <c r="I350" s="392"/>
      <c r="J350" s="392"/>
      <c r="K350" s="392"/>
      <c r="L350" s="392"/>
      <c r="M350" s="392"/>
      <c r="N350" s="23"/>
      <c r="O350" s="39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  <c r="IL350" s="23"/>
      <c r="IM350" s="23"/>
      <c r="IN350" s="23"/>
      <c r="IO350" s="23"/>
      <c r="IP350" s="23"/>
      <c r="IQ350" s="23"/>
      <c r="IR350" s="23"/>
      <c r="IS350" s="23"/>
      <c r="IT350" s="23"/>
      <c r="IU350" s="23"/>
      <c r="IV350" s="23"/>
      <c r="IW350" s="23"/>
      <c r="IX350" s="23"/>
      <c r="IY350" s="23"/>
      <c r="IZ350" s="23"/>
      <c r="JA350" s="23"/>
      <c r="JB350" s="23"/>
      <c r="JC350" s="23"/>
      <c r="JD350" s="23"/>
      <c r="JE350" s="23"/>
      <c r="JF350" s="23"/>
      <c r="JG350" s="23"/>
      <c r="JH350" s="23"/>
      <c r="JI350" s="23"/>
      <c r="JJ350" s="23"/>
      <c r="JK350" s="23"/>
      <c r="JL350" s="23"/>
      <c r="JM350" s="23"/>
      <c r="JN350" s="23"/>
      <c r="JO350" s="23"/>
      <c r="JP350" s="23"/>
      <c r="JQ350" s="23"/>
      <c r="JR350" s="23"/>
      <c r="JS350" s="23"/>
      <c r="JT350" s="23"/>
      <c r="JU350" s="23"/>
      <c r="JV350" s="23"/>
      <c r="JW350" s="23"/>
      <c r="JX350" s="23"/>
      <c r="JY350" s="23"/>
      <c r="JZ350" s="23"/>
      <c r="KA350" s="23"/>
      <c r="KB350" s="23"/>
      <c r="KC350" s="23"/>
      <c r="KD350" s="23"/>
      <c r="KE350" s="23"/>
      <c r="KF350" s="23"/>
      <c r="KG350" s="23"/>
      <c r="KH350" s="23"/>
      <c r="KI350" s="23"/>
      <c r="KJ350" s="23"/>
      <c r="KK350" s="23"/>
      <c r="KL350" s="23"/>
      <c r="KM350" s="23"/>
      <c r="KN350" s="23"/>
      <c r="KO350" s="23"/>
      <c r="KP350" s="23"/>
      <c r="KQ350" s="23"/>
      <c r="KR350" s="23"/>
      <c r="KS350" s="23"/>
      <c r="KT350" s="23"/>
      <c r="KU350" s="23"/>
      <c r="KV350" s="23"/>
      <c r="KW350" s="23"/>
      <c r="KX350" s="23"/>
      <c r="KY350" s="23"/>
      <c r="KZ350" s="23"/>
      <c r="LA350" s="23"/>
      <c r="LB350" s="23"/>
      <c r="LC350" s="23"/>
      <c r="LD350" s="23"/>
      <c r="LE350" s="23"/>
      <c r="LF350" s="23"/>
      <c r="LG350" s="23"/>
      <c r="LH350" s="23"/>
      <c r="LI350" s="23"/>
      <c r="LJ350" s="23"/>
      <c r="LK350" s="23"/>
      <c r="LL350" s="23"/>
      <c r="LM350" s="23"/>
      <c r="LN350" s="23"/>
      <c r="LO350" s="23"/>
    </row>
    <row r="351" spans="1:327">
      <c r="A351" s="390"/>
      <c r="B351" s="23"/>
      <c r="C351" s="391"/>
      <c r="D351" s="391"/>
      <c r="E351" s="23"/>
      <c r="F351" s="23"/>
      <c r="G351" s="392"/>
      <c r="H351" s="392"/>
      <c r="I351" s="392"/>
      <c r="J351" s="392"/>
      <c r="K351" s="392"/>
      <c r="L351" s="392"/>
      <c r="M351" s="392"/>
      <c r="N351" s="23"/>
      <c r="O351" s="39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  <c r="IL351" s="23"/>
      <c r="IM351" s="23"/>
      <c r="IN351" s="23"/>
      <c r="IO351" s="23"/>
      <c r="IP351" s="23"/>
      <c r="IQ351" s="23"/>
      <c r="IR351" s="23"/>
      <c r="IS351" s="23"/>
      <c r="IT351" s="23"/>
      <c r="IU351" s="23"/>
      <c r="IV351" s="23"/>
      <c r="IW351" s="23"/>
      <c r="IX351" s="23"/>
      <c r="IY351" s="23"/>
      <c r="IZ351" s="23"/>
      <c r="JA351" s="23"/>
      <c r="JB351" s="23"/>
      <c r="JC351" s="23"/>
      <c r="JD351" s="23"/>
      <c r="JE351" s="23"/>
      <c r="JF351" s="23"/>
      <c r="JG351" s="23"/>
      <c r="JH351" s="23"/>
      <c r="JI351" s="23"/>
      <c r="JJ351" s="23"/>
      <c r="JK351" s="23"/>
      <c r="JL351" s="23"/>
      <c r="JM351" s="23"/>
      <c r="JN351" s="23"/>
      <c r="JO351" s="23"/>
      <c r="JP351" s="23"/>
      <c r="JQ351" s="23"/>
      <c r="JR351" s="23"/>
      <c r="JS351" s="23"/>
      <c r="JT351" s="23"/>
      <c r="JU351" s="23"/>
      <c r="JV351" s="23"/>
      <c r="JW351" s="23"/>
      <c r="JX351" s="23"/>
      <c r="JY351" s="23"/>
      <c r="JZ351" s="23"/>
      <c r="KA351" s="23"/>
      <c r="KB351" s="23"/>
      <c r="KC351" s="23"/>
      <c r="KD351" s="23"/>
      <c r="KE351" s="23"/>
      <c r="KF351" s="23"/>
      <c r="KG351" s="23"/>
      <c r="KH351" s="23"/>
      <c r="KI351" s="23"/>
      <c r="KJ351" s="23"/>
      <c r="KK351" s="23"/>
      <c r="KL351" s="23"/>
      <c r="KM351" s="23"/>
      <c r="KN351" s="23"/>
      <c r="KO351" s="23"/>
      <c r="KP351" s="23"/>
      <c r="KQ351" s="23"/>
      <c r="KR351" s="23"/>
      <c r="KS351" s="23"/>
      <c r="KT351" s="23"/>
      <c r="KU351" s="23"/>
      <c r="KV351" s="23"/>
      <c r="KW351" s="23"/>
      <c r="KX351" s="23"/>
      <c r="KY351" s="23"/>
      <c r="KZ351" s="23"/>
      <c r="LA351" s="23"/>
      <c r="LB351" s="23"/>
      <c r="LC351" s="23"/>
      <c r="LD351" s="23"/>
      <c r="LE351" s="23"/>
      <c r="LF351" s="23"/>
      <c r="LG351" s="23"/>
      <c r="LH351" s="23"/>
      <c r="LI351" s="23"/>
      <c r="LJ351" s="23"/>
      <c r="LK351" s="23"/>
      <c r="LL351" s="23"/>
      <c r="LM351" s="23"/>
      <c r="LN351" s="23"/>
      <c r="LO351" s="23"/>
    </row>
    <row r="352" spans="1:327">
      <c r="A352" s="390"/>
      <c r="B352" s="23"/>
      <c r="C352" s="391"/>
      <c r="D352" s="391"/>
      <c r="E352" s="23"/>
      <c r="F352" s="23"/>
      <c r="G352" s="392"/>
      <c r="H352" s="392"/>
      <c r="I352" s="392"/>
      <c r="J352" s="392"/>
      <c r="K352" s="392"/>
      <c r="L352" s="392"/>
      <c r="M352" s="392"/>
      <c r="N352" s="23"/>
      <c r="O352" s="39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  <c r="IL352" s="23"/>
      <c r="IM352" s="23"/>
      <c r="IN352" s="23"/>
      <c r="IO352" s="23"/>
      <c r="IP352" s="23"/>
      <c r="IQ352" s="23"/>
      <c r="IR352" s="23"/>
      <c r="IS352" s="23"/>
      <c r="IT352" s="23"/>
      <c r="IU352" s="23"/>
      <c r="IV352" s="23"/>
      <c r="IW352" s="23"/>
      <c r="IX352" s="23"/>
      <c r="IY352" s="23"/>
      <c r="IZ352" s="23"/>
      <c r="JA352" s="23"/>
      <c r="JB352" s="23"/>
      <c r="JC352" s="23"/>
      <c r="JD352" s="23"/>
      <c r="JE352" s="23"/>
      <c r="JF352" s="23"/>
      <c r="JG352" s="23"/>
      <c r="JH352" s="23"/>
      <c r="JI352" s="23"/>
      <c r="JJ352" s="23"/>
      <c r="JK352" s="23"/>
      <c r="JL352" s="23"/>
      <c r="JM352" s="23"/>
      <c r="JN352" s="23"/>
      <c r="JO352" s="23"/>
      <c r="JP352" s="23"/>
      <c r="JQ352" s="23"/>
      <c r="JR352" s="23"/>
      <c r="JS352" s="23"/>
      <c r="JT352" s="23"/>
      <c r="JU352" s="23"/>
      <c r="JV352" s="23"/>
      <c r="JW352" s="23"/>
      <c r="JX352" s="23"/>
      <c r="JY352" s="23"/>
      <c r="JZ352" s="23"/>
      <c r="KA352" s="23"/>
      <c r="KB352" s="23"/>
      <c r="KC352" s="23"/>
      <c r="KD352" s="23"/>
      <c r="KE352" s="23"/>
      <c r="KF352" s="23"/>
      <c r="KG352" s="23"/>
      <c r="KH352" s="23"/>
      <c r="KI352" s="23"/>
      <c r="KJ352" s="23"/>
      <c r="KK352" s="23"/>
      <c r="KL352" s="23"/>
      <c r="KM352" s="23"/>
      <c r="KN352" s="23"/>
      <c r="KO352" s="23"/>
      <c r="KP352" s="23"/>
      <c r="KQ352" s="23"/>
      <c r="KR352" s="23"/>
      <c r="KS352" s="23"/>
      <c r="KT352" s="23"/>
      <c r="KU352" s="23"/>
      <c r="KV352" s="23"/>
      <c r="KW352" s="23"/>
      <c r="KX352" s="23"/>
      <c r="KY352" s="23"/>
      <c r="KZ352" s="23"/>
      <c r="LA352" s="23"/>
      <c r="LB352" s="23"/>
      <c r="LC352" s="23"/>
      <c r="LD352" s="23"/>
      <c r="LE352" s="23"/>
      <c r="LF352" s="23"/>
      <c r="LG352" s="23"/>
      <c r="LH352" s="23"/>
      <c r="LI352" s="23"/>
      <c r="LJ352" s="23"/>
      <c r="LK352" s="23"/>
      <c r="LL352" s="23"/>
      <c r="LM352" s="23"/>
      <c r="LN352" s="23"/>
      <c r="LO352" s="23"/>
    </row>
    <row r="353" spans="1:327">
      <c r="A353" s="390"/>
      <c r="B353" s="23"/>
      <c r="C353" s="391"/>
      <c r="D353" s="391"/>
      <c r="E353" s="23"/>
      <c r="F353" s="23"/>
      <c r="G353" s="392"/>
      <c r="H353" s="392"/>
      <c r="I353" s="392"/>
      <c r="J353" s="392"/>
      <c r="K353" s="392"/>
      <c r="L353" s="392"/>
      <c r="M353" s="392"/>
      <c r="N353" s="23"/>
      <c r="O353" s="39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  <c r="IL353" s="23"/>
      <c r="IM353" s="23"/>
      <c r="IN353" s="23"/>
      <c r="IO353" s="23"/>
      <c r="IP353" s="23"/>
      <c r="IQ353" s="23"/>
      <c r="IR353" s="23"/>
      <c r="IS353" s="23"/>
      <c r="IT353" s="23"/>
      <c r="IU353" s="23"/>
      <c r="IV353" s="23"/>
      <c r="IW353" s="23"/>
      <c r="IX353" s="23"/>
      <c r="IY353" s="23"/>
      <c r="IZ353" s="23"/>
      <c r="JA353" s="23"/>
      <c r="JB353" s="23"/>
      <c r="JC353" s="23"/>
      <c r="JD353" s="23"/>
      <c r="JE353" s="23"/>
      <c r="JF353" s="23"/>
      <c r="JG353" s="23"/>
      <c r="JH353" s="23"/>
      <c r="JI353" s="23"/>
      <c r="JJ353" s="23"/>
      <c r="JK353" s="23"/>
      <c r="JL353" s="23"/>
      <c r="JM353" s="23"/>
      <c r="JN353" s="23"/>
      <c r="JO353" s="23"/>
      <c r="JP353" s="23"/>
      <c r="JQ353" s="23"/>
      <c r="JR353" s="23"/>
      <c r="JS353" s="23"/>
      <c r="JT353" s="23"/>
      <c r="JU353" s="23"/>
      <c r="JV353" s="23"/>
      <c r="JW353" s="23"/>
      <c r="JX353" s="23"/>
      <c r="JY353" s="23"/>
      <c r="JZ353" s="23"/>
      <c r="KA353" s="23"/>
      <c r="KB353" s="23"/>
      <c r="KC353" s="23"/>
      <c r="KD353" s="23"/>
      <c r="KE353" s="23"/>
      <c r="KF353" s="23"/>
      <c r="KG353" s="23"/>
      <c r="KH353" s="23"/>
      <c r="KI353" s="23"/>
      <c r="KJ353" s="23"/>
      <c r="KK353" s="23"/>
      <c r="KL353" s="23"/>
      <c r="KM353" s="23"/>
      <c r="KN353" s="23"/>
      <c r="KO353" s="23"/>
      <c r="KP353" s="23"/>
      <c r="KQ353" s="23"/>
      <c r="KR353" s="23"/>
      <c r="KS353" s="23"/>
      <c r="KT353" s="23"/>
      <c r="KU353" s="23"/>
      <c r="KV353" s="23"/>
      <c r="KW353" s="23"/>
      <c r="KX353" s="23"/>
      <c r="KY353" s="23"/>
      <c r="KZ353" s="23"/>
      <c r="LA353" s="23"/>
      <c r="LB353" s="23"/>
      <c r="LC353" s="23"/>
      <c r="LD353" s="23"/>
      <c r="LE353" s="23"/>
      <c r="LF353" s="23"/>
      <c r="LG353" s="23"/>
      <c r="LH353" s="23"/>
      <c r="LI353" s="23"/>
      <c r="LJ353" s="23"/>
      <c r="LK353" s="23"/>
      <c r="LL353" s="23"/>
      <c r="LM353" s="23"/>
      <c r="LN353" s="23"/>
      <c r="LO353" s="23"/>
    </row>
    <row r="354" spans="1:327">
      <c r="A354" s="390"/>
      <c r="B354" s="23"/>
      <c r="C354" s="391"/>
      <c r="D354" s="391"/>
      <c r="E354" s="23"/>
      <c r="F354" s="23"/>
      <c r="G354" s="392"/>
      <c r="H354" s="392"/>
      <c r="I354" s="392"/>
      <c r="J354" s="392"/>
      <c r="K354" s="392"/>
      <c r="L354" s="392"/>
      <c r="M354" s="392"/>
      <c r="N354" s="23"/>
      <c r="O354" s="39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  <c r="IL354" s="23"/>
      <c r="IM354" s="23"/>
      <c r="IN354" s="23"/>
      <c r="IO354" s="23"/>
      <c r="IP354" s="23"/>
      <c r="IQ354" s="23"/>
      <c r="IR354" s="23"/>
      <c r="IS354" s="23"/>
      <c r="IT354" s="23"/>
      <c r="IU354" s="23"/>
      <c r="IV354" s="23"/>
      <c r="IW354" s="23"/>
      <c r="IX354" s="23"/>
      <c r="IY354" s="23"/>
      <c r="IZ354" s="23"/>
      <c r="JA354" s="23"/>
      <c r="JB354" s="23"/>
      <c r="JC354" s="23"/>
      <c r="JD354" s="23"/>
      <c r="JE354" s="23"/>
      <c r="JF354" s="23"/>
      <c r="JG354" s="23"/>
      <c r="JH354" s="23"/>
      <c r="JI354" s="23"/>
      <c r="JJ354" s="23"/>
      <c r="JK354" s="23"/>
      <c r="JL354" s="23"/>
      <c r="JM354" s="23"/>
      <c r="JN354" s="23"/>
      <c r="JO354" s="23"/>
      <c r="JP354" s="23"/>
      <c r="JQ354" s="23"/>
      <c r="JR354" s="23"/>
      <c r="JS354" s="23"/>
      <c r="JT354" s="23"/>
      <c r="JU354" s="23"/>
      <c r="JV354" s="23"/>
      <c r="JW354" s="23"/>
      <c r="JX354" s="23"/>
      <c r="JY354" s="23"/>
      <c r="JZ354" s="23"/>
      <c r="KA354" s="23"/>
      <c r="KB354" s="23"/>
      <c r="KC354" s="23"/>
      <c r="KD354" s="23"/>
      <c r="KE354" s="23"/>
      <c r="KF354" s="23"/>
      <c r="KG354" s="23"/>
      <c r="KH354" s="23"/>
      <c r="KI354" s="23"/>
      <c r="KJ354" s="23"/>
      <c r="KK354" s="23"/>
      <c r="KL354" s="23"/>
      <c r="KM354" s="23"/>
      <c r="KN354" s="23"/>
      <c r="KO354" s="23"/>
      <c r="KP354" s="23"/>
      <c r="KQ354" s="23"/>
      <c r="KR354" s="23"/>
      <c r="KS354" s="23"/>
      <c r="KT354" s="23"/>
      <c r="KU354" s="23"/>
      <c r="KV354" s="23"/>
      <c r="KW354" s="23"/>
      <c r="KX354" s="23"/>
      <c r="KY354" s="23"/>
      <c r="KZ354" s="23"/>
      <c r="LA354" s="23"/>
      <c r="LB354" s="23"/>
      <c r="LC354" s="23"/>
      <c r="LD354" s="23"/>
      <c r="LE354" s="23"/>
      <c r="LF354" s="23"/>
      <c r="LG354" s="23"/>
      <c r="LH354" s="23"/>
      <c r="LI354" s="23"/>
      <c r="LJ354" s="23"/>
      <c r="LK354" s="23"/>
      <c r="LL354" s="23"/>
      <c r="LM354" s="23"/>
      <c r="LN354" s="23"/>
      <c r="LO354" s="23"/>
    </row>
    <row r="355" spans="1:327">
      <c r="A355" s="390"/>
      <c r="B355" s="23"/>
      <c r="C355" s="391"/>
      <c r="D355" s="391"/>
      <c r="E355" s="23"/>
      <c r="F355" s="23"/>
      <c r="G355" s="392"/>
      <c r="H355" s="392"/>
      <c r="I355" s="392"/>
      <c r="J355" s="392"/>
      <c r="K355" s="392"/>
      <c r="L355" s="392"/>
      <c r="M355" s="392"/>
      <c r="N355" s="23"/>
      <c r="O355" s="39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  <c r="IL355" s="23"/>
      <c r="IM355" s="23"/>
      <c r="IN355" s="23"/>
      <c r="IO355" s="23"/>
      <c r="IP355" s="23"/>
      <c r="IQ355" s="23"/>
      <c r="IR355" s="23"/>
      <c r="IS355" s="23"/>
      <c r="IT355" s="23"/>
      <c r="IU355" s="23"/>
      <c r="IV355" s="23"/>
      <c r="IW355" s="23"/>
      <c r="IX355" s="23"/>
      <c r="IY355" s="23"/>
      <c r="IZ355" s="23"/>
      <c r="JA355" s="23"/>
      <c r="JB355" s="23"/>
      <c r="JC355" s="23"/>
      <c r="JD355" s="23"/>
      <c r="JE355" s="23"/>
      <c r="JF355" s="23"/>
      <c r="JG355" s="23"/>
      <c r="JH355" s="23"/>
      <c r="JI355" s="23"/>
      <c r="JJ355" s="23"/>
      <c r="JK355" s="23"/>
      <c r="JL355" s="23"/>
      <c r="JM355" s="23"/>
      <c r="JN355" s="23"/>
      <c r="JO355" s="23"/>
      <c r="JP355" s="23"/>
      <c r="JQ355" s="23"/>
      <c r="JR355" s="23"/>
      <c r="JS355" s="23"/>
      <c r="JT355" s="23"/>
      <c r="JU355" s="23"/>
      <c r="JV355" s="23"/>
      <c r="JW355" s="23"/>
      <c r="JX355" s="23"/>
      <c r="JY355" s="23"/>
      <c r="JZ355" s="23"/>
      <c r="KA355" s="23"/>
      <c r="KB355" s="23"/>
      <c r="KC355" s="23"/>
      <c r="KD355" s="23"/>
      <c r="KE355" s="23"/>
      <c r="KF355" s="23"/>
      <c r="KG355" s="23"/>
      <c r="KH355" s="23"/>
      <c r="KI355" s="23"/>
      <c r="KJ355" s="23"/>
      <c r="KK355" s="23"/>
      <c r="KL355" s="23"/>
      <c r="KM355" s="23"/>
      <c r="KN355" s="23"/>
      <c r="KO355" s="23"/>
      <c r="KP355" s="23"/>
      <c r="KQ355" s="23"/>
      <c r="KR355" s="23"/>
      <c r="KS355" s="23"/>
      <c r="KT355" s="23"/>
      <c r="KU355" s="23"/>
      <c r="KV355" s="23"/>
      <c r="KW355" s="23"/>
      <c r="KX355" s="23"/>
      <c r="KY355" s="23"/>
      <c r="KZ355" s="23"/>
      <c r="LA355" s="23"/>
      <c r="LB355" s="23"/>
      <c r="LC355" s="23"/>
      <c r="LD355" s="23"/>
      <c r="LE355" s="23"/>
      <c r="LF355" s="23"/>
      <c r="LG355" s="23"/>
      <c r="LH355" s="23"/>
      <c r="LI355" s="23"/>
      <c r="LJ355" s="23"/>
      <c r="LK355" s="23"/>
      <c r="LL355" s="23"/>
      <c r="LM355" s="23"/>
      <c r="LN355" s="23"/>
      <c r="LO355" s="23"/>
    </row>
    <row r="356" spans="1:327">
      <c r="A356" s="390"/>
      <c r="B356" s="23"/>
      <c r="C356" s="391"/>
      <c r="D356" s="391"/>
      <c r="E356" s="23"/>
      <c r="F356" s="23"/>
      <c r="G356" s="392"/>
      <c r="H356" s="392"/>
      <c r="I356" s="392"/>
      <c r="J356" s="392"/>
      <c r="K356" s="392"/>
      <c r="L356" s="392"/>
      <c r="M356" s="392"/>
      <c r="N356" s="23"/>
      <c r="O356" s="39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  <c r="IL356" s="23"/>
      <c r="IM356" s="23"/>
      <c r="IN356" s="23"/>
      <c r="IO356" s="23"/>
      <c r="IP356" s="23"/>
      <c r="IQ356" s="23"/>
      <c r="IR356" s="23"/>
      <c r="IS356" s="23"/>
      <c r="IT356" s="23"/>
      <c r="IU356" s="23"/>
      <c r="IV356" s="23"/>
      <c r="IW356" s="23"/>
      <c r="IX356" s="23"/>
      <c r="IY356" s="23"/>
      <c r="IZ356" s="23"/>
      <c r="JA356" s="23"/>
      <c r="JB356" s="23"/>
      <c r="JC356" s="23"/>
      <c r="JD356" s="23"/>
      <c r="JE356" s="23"/>
      <c r="JF356" s="23"/>
      <c r="JG356" s="23"/>
      <c r="JH356" s="23"/>
      <c r="JI356" s="23"/>
      <c r="JJ356" s="23"/>
      <c r="JK356" s="23"/>
      <c r="JL356" s="23"/>
      <c r="JM356" s="23"/>
      <c r="JN356" s="23"/>
      <c r="JO356" s="23"/>
      <c r="JP356" s="23"/>
      <c r="JQ356" s="23"/>
      <c r="JR356" s="23"/>
      <c r="JS356" s="23"/>
      <c r="JT356" s="23"/>
      <c r="JU356" s="23"/>
      <c r="JV356" s="23"/>
      <c r="JW356" s="23"/>
      <c r="JX356" s="23"/>
      <c r="JY356" s="23"/>
      <c r="JZ356" s="23"/>
      <c r="KA356" s="23"/>
      <c r="KB356" s="23"/>
      <c r="KC356" s="23"/>
      <c r="KD356" s="23"/>
      <c r="KE356" s="23"/>
      <c r="KF356" s="23"/>
      <c r="KG356" s="23"/>
      <c r="KH356" s="23"/>
      <c r="KI356" s="23"/>
      <c r="KJ356" s="23"/>
      <c r="KK356" s="23"/>
      <c r="KL356" s="23"/>
      <c r="KM356" s="23"/>
      <c r="KN356" s="23"/>
      <c r="KO356" s="23"/>
      <c r="KP356" s="23"/>
      <c r="KQ356" s="23"/>
      <c r="KR356" s="23"/>
      <c r="KS356" s="23"/>
      <c r="KT356" s="23"/>
      <c r="KU356" s="23"/>
      <c r="KV356" s="23"/>
      <c r="KW356" s="23"/>
      <c r="KX356" s="23"/>
      <c r="KY356" s="23"/>
      <c r="KZ356" s="23"/>
      <c r="LA356" s="23"/>
      <c r="LB356" s="23"/>
      <c r="LC356" s="23"/>
      <c r="LD356" s="23"/>
      <c r="LE356" s="23"/>
      <c r="LF356" s="23"/>
      <c r="LG356" s="23"/>
      <c r="LH356" s="23"/>
      <c r="LI356" s="23"/>
      <c r="LJ356" s="23"/>
      <c r="LK356" s="23"/>
      <c r="LL356" s="23"/>
      <c r="LM356" s="23"/>
      <c r="LN356" s="23"/>
      <c r="LO356" s="23"/>
    </row>
    <row r="357" spans="1:327">
      <c r="A357" s="390"/>
      <c r="B357" s="23"/>
      <c r="C357" s="391"/>
      <c r="D357" s="391"/>
      <c r="E357" s="23"/>
      <c r="F357" s="23"/>
      <c r="G357" s="392"/>
      <c r="H357" s="392"/>
      <c r="I357" s="392"/>
      <c r="J357" s="392"/>
      <c r="K357" s="392"/>
      <c r="L357" s="392"/>
      <c r="M357" s="392"/>
      <c r="N357" s="23"/>
      <c r="O357" s="39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  <c r="IL357" s="23"/>
      <c r="IM357" s="23"/>
      <c r="IN357" s="23"/>
      <c r="IO357" s="23"/>
      <c r="IP357" s="23"/>
      <c r="IQ357" s="23"/>
      <c r="IR357" s="23"/>
      <c r="IS357" s="23"/>
      <c r="IT357" s="23"/>
      <c r="IU357" s="23"/>
      <c r="IV357" s="23"/>
      <c r="IW357" s="23"/>
      <c r="IX357" s="23"/>
      <c r="IY357" s="23"/>
      <c r="IZ357" s="23"/>
      <c r="JA357" s="23"/>
      <c r="JB357" s="23"/>
      <c r="JC357" s="23"/>
      <c r="JD357" s="23"/>
      <c r="JE357" s="23"/>
      <c r="JF357" s="23"/>
      <c r="JG357" s="23"/>
      <c r="JH357" s="23"/>
      <c r="JI357" s="23"/>
      <c r="JJ357" s="23"/>
      <c r="JK357" s="23"/>
      <c r="JL357" s="23"/>
      <c r="JM357" s="23"/>
      <c r="JN357" s="23"/>
      <c r="JO357" s="23"/>
      <c r="JP357" s="23"/>
      <c r="JQ357" s="23"/>
      <c r="JR357" s="23"/>
      <c r="JS357" s="23"/>
      <c r="JT357" s="23"/>
      <c r="JU357" s="23"/>
      <c r="JV357" s="23"/>
      <c r="JW357" s="23"/>
      <c r="JX357" s="23"/>
      <c r="JY357" s="23"/>
      <c r="JZ357" s="23"/>
      <c r="KA357" s="23"/>
      <c r="KB357" s="23"/>
      <c r="KC357" s="23"/>
      <c r="KD357" s="23"/>
      <c r="KE357" s="23"/>
      <c r="KF357" s="23"/>
      <c r="KG357" s="23"/>
      <c r="KH357" s="23"/>
      <c r="KI357" s="23"/>
      <c r="KJ357" s="23"/>
      <c r="KK357" s="23"/>
      <c r="KL357" s="23"/>
      <c r="KM357" s="23"/>
      <c r="KN357" s="23"/>
      <c r="KO357" s="23"/>
      <c r="KP357" s="23"/>
      <c r="KQ357" s="23"/>
      <c r="KR357" s="23"/>
      <c r="KS357" s="23"/>
      <c r="KT357" s="23"/>
      <c r="KU357" s="23"/>
      <c r="KV357" s="23"/>
      <c r="KW357" s="23"/>
      <c r="KX357" s="23"/>
      <c r="KY357" s="23"/>
      <c r="KZ357" s="23"/>
      <c r="LA357" s="23"/>
      <c r="LB357" s="23"/>
      <c r="LC357" s="23"/>
      <c r="LD357" s="23"/>
      <c r="LE357" s="23"/>
      <c r="LF357" s="23"/>
      <c r="LG357" s="23"/>
      <c r="LH357" s="23"/>
      <c r="LI357" s="23"/>
      <c r="LJ357" s="23"/>
      <c r="LK357" s="23"/>
      <c r="LL357" s="23"/>
      <c r="LM357" s="23"/>
      <c r="LN357" s="23"/>
      <c r="LO357" s="23"/>
    </row>
    <row r="358" spans="1:327">
      <c r="A358" s="390"/>
      <c r="B358" s="23"/>
      <c r="C358" s="391"/>
      <c r="D358" s="391"/>
      <c r="E358" s="23"/>
      <c r="F358" s="23"/>
      <c r="G358" s="392"/>
      <c r="H358" s="392"/>
      <c r="I358" s="392"/>
      <c r="J358" s="392"/>
      <c r="K358" s="392"/>
      <c r="L358" s="392"/>
      <c r="M358" s="392"/>
      <c r="N358" s="23"/>
      <c r="O358" s="39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  <c r="IL358" s="23"/>
      <c r="IM358" s="23"/>
      <c r="IN358" s="23"/>
      <c r="IO358" s="23"/>
      <c r="IP358" s="23"/>
      <c r="IQ358" s="23"/>
      <c r="IR358" s="23"/>
      <c r="IS358" s="23"/>
      <c r="IT358" s="23"/>
      <c r="IU358" s="23"/>
      <c r="IV358" s="23"/>
      <c r="IW358" s="23"/>
      <c r="IX358" s="23"/>
      <c r="IY358" s="23"/>
      <c r="IZ358" s="23"/>
      <c r="JA358" s="23"/>
      <c r="JB358" s="23"/>
      <c r="JC358" s="23"/>
      <c r="JD358" s="23"/>
      <c r="JE358" s="23"/>
      <c r="JF358" s="23"/>
      <c r="JG358" s="23"/>
      <c r="JH358" s="23"/>
      <c r="JI358" s="23"/>
      <c r="JJ358" s="23"/>
      <c r="JK358" s="23"/>
      <c r="JL358" s="23"/>
      <c r="JM358" s="23"/>
      <c r="JN358" s="23"/>
      <c r="JO358" s="23"/>
      <c r="JP358" s="23"/>
      <c r="JQ358" s="23"/>
      <c r="JR358" s="23"/>
      <c r="JS358" s="23"/>
      <c r="JT358" s="23"/>
      <c r="JU358" s="23"/>
      <c r="JV358" s="23"/>
      <c r="JW358" s="23"/>
      <c r="JX358" s="23"/>
      <c r="JY358" s="23"/>
      <c r="JZ358" s="23"/>
      <c r="KA358" s="23"/>
      <c r="KB358" s="23"/>
      <c r="KC358" s="23"/>
      <c r="KD358" s="23"/>
      <c r="KE358" s="23"/>
      <c r="KF358" s="23"/>
      <c r="KG358" s="23"/>
      <c r="KH358" s="23"/>
      <c r="KI358" s="23"/>
      <c r="KJ358" s="23"/>
      <c r="KK358" s="23"/>
      <c r="KL358" s="23"/>
      <c r="KM358" s="23"/>
      <c r="KN358" s="23"/>
      <c r="KO358" s="23"/>
      <c r="KP358" s="23"/>
      <c r="KQ358" s="23"/>
      <c r="KR358" s="23"/>
      <c r="KS358" s="23"/>
      <c r="KT358" s="23"/>
      <c r="KU358" s="23"/>
      <c r="KV358" s="23"/>
      <c r="KW358" s="23"/>
      <c r="KX358" s="23"/>
      <c r="KY358" s="23"/>
      <c r="KZ358" s="23"/>
      <c r="LA358" s="23"/>
      <c r="LB358" s="23"/>
      <c r="LC358" s="23"/>
      <c r="LD358" s="23"/>
      <c r="LE358" s="23"/>
      <c r="LF358" s="23"/>
      <c r="LG358" s="23"/>
      <c r="LH358" s="23"/>
      <c r="LI358" s="23"/>
      <c r="LJ358" s="23"/>
      <c r="LK358" s="23"/>
      <c r="LL358" s="23"/>
      <c r="LM358" s="23"/>
      <c r="LN358" s="23"/>
      <c r="LO358" s="23"/>
    </row>
    <row r="359" spans="1:327">
      <c r="A359" s="390"/>
      <c r="B359" s="23"/>
      <c r="C359" s="391"/>
      <c r="D359" s="391"/>
      <c r="E359" s="23"/>
      <c r="F359" s="23"/>
      <c r="G359" s="392"/>
      <c r="H359" s="392"/>
      <c r="I359" s="392"/>
      <c r="J359" s="392"/>
      <c r="K359" s="392"/>
      <c r="L359" s="392"/>
      <c r="M359" s="392"/>
      <c r="N359" s="23"/>
      <c r="O359" s="39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  <c r="IL359" s="23"/>
      <c r="IM359" s="23"/>
      <c r="IN359" s="23"/>
      <c r="IO359" s="23"/>
      <c r="IP359" s="23"/>
      <c r="IQ359" s="23"/>
      <c r="IR359" s="23"/>
      <c r="IS359" s="23"/>
      <c r="IT359" s="23"/>
      <c r="IU359" s="23"/>
      <c r="IV359" s="23"/>
      <c r="IW359" s="23"/>
      <c r="IX359" s="23"/>
      <c r="IY359" s="23"/>
      <c r="IZ359" s="23"/>
      <c r="JA359" s="23"/>
      <c r="JB359" s="23"/>
      <c r="JC359" s="23"/>
      <c r="JD359" s="23"/>
      <c r="JE359" s="23"/>
      <c r="JF359" s="23"/>
      <c r="JG359" s="23"/>
      <c r="JH359" s="23"/>
      <c r="JI359" s="23"/>
      <c r="JJ359" s="23"/>
      <c r="JK359" s="23"/>
      <c r="JL359" s="23"/>
      <c r="JM359" s="23"/>
      <c r="JN359" s="23"/>
      <c r="JO359" s="23"/>
      <c r="JP359" s="23"/>
      <c r="JQ359" s="23"/>
      <c r="JR359" s="23"/>
      <c r="JS359" s="23"/>
      <c r="JT359" s="23"/>
      <c r="JU359" s="23"/>
      <c r="JV359" s="23"/>
      <c r="JW359" s="23"/>
      <c r="JX359" s="23"/>
      <c r="JY359" s="23"/>
      <c r="JZ359" s="23"/>
      <c r="KA359" s="23"/>
      <c r="KB359" s="23"/>
      <c r="KC359" s="23"/>
      <c r="KD359" s="23"/>
      <c r="KE359" s="23"/>
      <c r="KF359" s="23"/>
      <c r="KG359" s="23"/>
      <c r="KH359" s="23"/>
      <c r="KI359" s="23"/>
      <c r="KJ359" s="23"/>
      <c r="KK359" s="23"/>
      <c r="KL359" s="23"/>
      <c r="KM359" s="23"/>
      <c r="KN359" s="23"/>
      <c r="KO359" s="23"/>
      <c r="KP359" s="23"/>
      <c r="KQ359" s="23"/>
      <c r="KR359" s="23"/>
      <c r="KS359" s="23"/>
      <c r="KT359" s="23"/>
      <c r="KU359" s="23"/>
      <c r="KV359" s="23"/>
      <c r="KW359" s="23"/>
      <c r="KX359" s="23"/>
      <c r="KY359" s="23"/>
      <c r="KZ359" s="23"/>
      <c r="LA359" s="23"/>
      <c r="LB359" s="23"/>
      <c r="LC359" s="23"/>
      <c r="LD359" s="23"/>
      <c r="LE359" s="23"/>
      <c r="LF359" s="23"/>
      <c r="LG359" s="23"/>
      <c r="LH359" s="23"/>
      <c r="LI359" s="23"/>
      <c r="LJ359" s="23"/>
      <c r="LK359" s="23"/>
      <c r="LL359" s="23"/>
      <c r="LM359" s="23"/>
      <c r="LN359" s="23"/>
      <c r="LO359" s="23"/>
    </row>
    <row r="360" spans="1:327">
      <c r="A360" s="390"/>
      <c r="B360" s="23"/>
      <c r="C360" s="391"/>
      <c r="D360" s="391"/>
      <c r="E360" s="23"/>
      <c r="F360" s="23"/>
      <c r="G360" s="392"/>
      <c r="H360" s="392"/>
      <c r="I360" s="392"/>
      <c r="J360" s="392"/>
      <c r="K360" s="392"/>
      <c r="L360" s="392"/>
      <c r="M360" s="392"/>
      <c r="N360" s="23"/>
      <c r="O360" s="39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  <c r="IL360" s="23"/>
      <c r="IM360" s="23"/>
      <c r="IN360" s="23"/>
      <c r="IO360" s="23"/>
      <c r="IP360" s="23"/>
      <c r="IQ360" s="23"/>
      <c r="IR360" s="23"/>
      <c r="IS360" s="23"/>
      <c r="IT360" s="23"/>
      <c r="IU360" s="23"/>
      <c r="IV360" s="23"/>
      <c r="IW360" s="23"/>
      <c r="IX360" s="23"/>
      <c r="IY360" s="23"/>
      <c r="IZ360" s="23"/>
      <c r="JA360" s="23"/>
      <c r="JB360" s="23"/>
      <c r="JC360" s="23"/>
      <c r="JD360" s="23"/>
      <c r="JE360" s="23"/>
      <c r="JF360" s="23"/>
      <c r="JG360" s="23"/>
      <c r="JH360" s="23"/>
      <c r="JI360" s="23"/>
      <c r="JJ360" s="23"/>
      <c r="JK360" s="23"/>
      <c r="JL360" s="23"/>
      <c r="JM360" s="23"/>
      <c r="JN360" s="23"/>
      <c r="JO360" s="23"/>
      <c r="JP360" s="23"/>
      <c r="JQ360" s="23"/>
      <c r="JR360" s="23"/>
      <c r="JS360" s="23"/>
      <c r="JT360" s="23"/>
      <c r="JU360" s="23"/>
      <c r="JV360" s="23"/>
      <c r="JW360" s="23"/>
      <c r="JX360" s="23"/>
      <c r="JY360" s="23"/>
      <c r="JZ360" s="23"/>
      <c r="KA360" s="23"/>
      <c r="KB360" s="23"/>
      <c r="KC360" s="23"/>
      <c r="KD360" s="23"/>
      <c r="KE360" s="23"/>
      <c r="KF360" s="23"/>
      <c r="KG360" s="23"/>
      <c r="KH360" s="23"/>
      <c r="KI360" s="23"/>
      <c r="KJ360" s="23"/>
      <c r="KK360" s="23"/>
      <c r="KL360" s="23"/>
      <c r="KM360" s="23"/>
      <c r="KN360" s="23"/>
      <c r="KO360" s="23"/>
      <c r="KP360" s="23"/>
      <c r="KQ360" s="23"/>
      <c r="KR360" s="23"/>
      <c r="KS360" s="23"/>
      <c r="KT360" s="23"/>
      <c r="KU360" s="23"/>
      <c r="KV360" s="23"/>
      <c r="KW360" s="23"/>
      <c r="KX360" s="23"/>
      <c r="KY360" s="23"/>
      <c r="KZ360" s="23"/>
      <c r="LA360" s="23"/>
      <c r="LB360" s="23"/>
      <c r="LC360" s="23"/>
      <c r="LD360" s="23"/>
      <c r="LE360" s="23"/>
      <c r="LF360" s="23"/>
      <c r="LG360" s="23"/>
      <c r="LH360" s="23"/>
      <c r="LI360" s="23"/>
      <c r="LJ360" s="23"/>
      <c r="LK360" s="23"/>
      <c r="LL360" s="23"/>
      <c r="LM360" s="23"/>
      <c r="LN360" s="23"/>
      <c r="LO360" s="23"/>
    </row>
    <row r="361" spans="1:327">
      <c r="A361" s="390"/>
      <c r="B361" s="23"/>
      <c r="C361" s="391"/>
      <c r="D361" s="391"/>
      <c r="E361" s="23"/>
      <c r="F361" s="23"/>
      <c r="G361" s="392"/>
      <c r="H361" s="392"/>
      <c r="I361" s="392"/>
      <c r="J361" s="392"/>
      <c r="K361" s="392"/>
      <c r="L361" s="392"/>
      <c r="M361" s="392"/>
      <c r="N361" s="23"/>
      <c r="O361" s="39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  <c r="IL361" s="23"/>
      <c r="IM361" s="23"/>
      <c r="IN361" s="23"/>
      <c r="IO361" s="23"/>
      <c r="IP361" s="23"/>
      <c r="IQ361" s="23"/>
      <c r="IR361" s="23"/>
      <c r="IS361" s="23"/>
      <c r="IT361" s="23"/>
      <c r="IU361" s="23"/>
      <c r="IV361" s="23"/>
      <c r="IW361" s="23"/>
      <c r="IX361" s="23"/>
      <c r="IY361" s="23"/>
      <c r="IZ361" s="23"/>
      <c r="JA361" s="23"/>
      <c r="JB361" s="23"/>
      <c r="JC361" s="23"/>
      <c r="JD361" s="23"/>
      <c r="JE361" s="23"/>
      <c r="JF361" s="23"/>
      <c r="JG361" s="23"/>
      <c r="JH361" s="23"/>
      <c r="JI361" s="23"/>
      <c r="JJ361" s="23"/>
      <c r="JK361" s="23"/>
      <c r="JL361" s="23"/>
      <c r="JM361" s="23"/>
      <c r="JN361" s="23"/>
      <c r="JO361" s="23"/>
      <c r="JP361" s="23"/>
      <c r="JQ361" s="23"/>
      <c r="JR361" s="23"/>
      <c r="JS361" s="23"/>
      <c r="JT361" s="23"/>
      <c r="JU361" s="23"/>
      <c r="JV361" s="23"/>
      <c r="JW361" s="23"/>
      <c r="JX361" s="23"/>
      <c r="JY361" s="23"/>
      <c r="JZ361" s="23"/>
      <c r="KA361" s="23"/>
      <c r="KB361" s="23"/>
      <c r="KC361" s="23"/>
      <c r="KD361" s="23"/>
      <c r="KE361" s="23"/>
      <c r="KF361" s="23"/>
      <c r="KG361" s="23"/>
      <c r="KH361" s="23"/>
      <c r="KI361" s="23"/>
      <c r="KJ361" s="23"/>
      <c r="KK361" s="23"/>
      <c r="KL361" s="23"/>
      <c r="KM361" s="23"/>
      <c r="KN361" s="23"/>
      <c r="KO361" s="23"/>
      <c r="KP361" s="23"/>
      <c r="KQ361" s="23"/>
      <c r="KR361" s="23"/>
      <c r="KS361" s="23"/>
      <c r="KT361" s="23"/>
      <c r="KU361" s="23"/>
      <c r="KV361" s="23"/>
      <c r="KW361" s="23"/>
      <c r="KX361" s="23"/>
      <c r="KY361" s="23"/>
      <c r="KZ361" s="23"/>
      <c r="LA361" s="23"/>
      <c r="LB361" s="23"/>
      <c r="LC361" s="23"/>
      <c r="LD361" s="23"/>
      <c r="LE361" s="23"/>
      <c r="LF361" s="23"/>
      <c r="LG361" s="23"/>
      <c r="LH361" s="23"/>
      <c r="LI361" s="23"/>
      <c r="LJ361" s="23"/>
      <c r="LK361" s="23"/>
      <c r="LL361" s="23"/>
      <c r="LM361" s="23"/>
      <c r="LN361" s="23"/>
      <c r="LO361" s="23"/>
    </row>
    <row r="362" spans="1:327">
      <c r="A362" s="390"/>
      <c r="B362" s="23"/>
      <c r="C362" s="391"/>
      <c r="D362" s="391"/>
      <c r="E362" s="23"/>
      <c r="F362" s="23"/>
      <c r="G362" s="392"/>
      <c r="H362" s="392"/>
      <c r="I362" s="392"/>
      <c r="J362" s="392"/>
      <c r="K362" s="392"/>
      <c r="L362" s="392"/>
      <c r="M362" s="392"/>
      <c r="N362" s="23"/>
      <c r="O362" s="39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  <c r="IL362" s="23"/>
      <c r="IM362" s="23"/>
      <c r="IN362" s="23"/>
      <c r="IO362" s="23"/>
      <c r="IP362" s="23"/>
      <c r="IQ362" s="23"/>
      <c r="IR362" s="23"/>
      <c r="IS362" s="23"/>
      <c r="IT362" s="23"/>
      <c r="IU362" s="23"/>
      <c r="IV362" s="23"/>
      <c r="IW362" s="23"/>
      <c r="IX362" s="23"/>
      <c r="IY362" s="23"/>
      <c r="IZ362" s="23"/>
      <c r="JA362" s="23"/>
      <c r="JB362" s="23"/>
      <c r="JC362" s="23"/>
      <c r="JD362" s="23"/>
      <c r="JE362" s="23"/>
      <c r="JF362" s="23"/>
      <c r="JG362" s="23"/>
      <c r="JH362" s="23"/>
      <c r="JI362" s="23"/>
      <c r="JJ362" s="23"/>
      <c r="JK362" s="23"/>
      <c r="JL362" s="23"/>
      <c r="JM362" s="23"/>
      <c r="JN362" s="23"/>
      <c r="JO362" s="23"/>
      <c r="JP362" s="23"/>
      <c r="JQ362" s="23"/>
      <c r="JR362" s="23"/>
      <c r="JS362" s="23"/>
      <c r="JT362" s="23"/>
      <c r="JU362" s="23"/>
      <c r="JV362" s="23"/>
      <c r="JW362" s="23"/>
      <c r="JX362" s="23"/>
      <c r="JY362" s="23"/>
      <c r="JZ362" s="23"/>
      <c r="KA362" s="23"/>
      <c r="KB362" s="23"/>
      <c r="KC362" s="23"/>
      <c r="KD362" s="23"/>
      <c r="KE362" s="23"/>
      <c r="KF362" s="23"/>
      <c r="KG362" s="23"/>
      <c r="KH362" s="23"/>
      <c r="KI362" s="23"/>
      <c r="KJ362" s="23"/>
      <c r="KK362" s="23"/>
      <c r="KL362" s="23"/>
      <c r="KM362" s="23"/>
      <c r="KN362" s="23"/>
      <c r="KO362" s="23"/>
      <c r="KP362" s="23"/>
      <c r="KQ362" s="23"/>
      <c r="KR362" s="23"/>
      <c r="KS362" s="23"/>
      <c r="KT362" s="23"/>
      <c r="KU362" s="23"/>
      <c r="KV362" s="23"/>
      <c r="KW362" s="23"/>
      <c r="KX362" s="23"/>
      <c r="KY362" s="23"/>
      <c r="KZ362" s="23"/>
      <c r="LA362" s="23"/>
      <c r="LB362" s="23"/>
      <c r="LC362" s="23"/>
      <c r="LD362" s="23"/>
      <c r="LE362" s="23"/>
      <c r="LF362" s="23"/>
      <c r="LG362" s="23"/>
      <c r="LH362" s="23"/>
      <c r="LI362" s="23"/>
      <c r="LJ362" s="23"/>
      <c r="LK362" s="23"/>
      <c r="LL362" s="23"/>
      <c r="LM362" s="23"/>
      <c r="LN362" s="23"/>
      <c r="LO362" s="23"/>
    </row>
    <row r="363" spans="1:327">
      <c r="A363" s="390"/>
      <c r="B363" s="23"/>
      <c r="C363" s="391"/>
      <c r="D363" s="391"/>
      <c r="E363" s="23"/>
      <c r="F363" s="23"/>
      <c r="G363" s="392"/>
      <c r="H363" s="392"/>
      <c r="I363" s="392"/>
      <c r="J363" s="392"/>
      <c r="K363" s="392"/>
      <c r="L363" s="392"/>
      <c r="M363" s="392"/>
      <c r="N363" s="23"/>
      <c r="O363" s="39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  <c r="IL363" s="23"/>
      <c r="IM363" s="23"/>
      <c r="IN363" s="23"/>
      <c r="IO363" s="23"/>
      <c r="IP363" s="23"/>
      <c r="IQ363" s="23"/>
      <c r="IR363" s="23"/>
      <c r="IS363" s="23"/>
      <c r="IT363" s="23"/>
      <c r="IU363" s="23"/>
      <c r="IV363" s="23"/>
      <c r="IW363" s="23"/>
      <c r="IX363" s="23"/>
      <c r="IY363" s="23"/>
      <c r="IZ363" s="23"/>
      <c r="JA363" s="23"/>
      <c r="JB363" s="23"/>
      <c r="JC363" s="23"/>
      <c r="JD363" s="23"/>
      <c r="JE363" s="23"/>
      <c r="JF363" s="23"/>
      <c r="JG363" s="23"/>
      <c r="JH363" s="23"/>
      <c r="JI363" s="23"/>
      <c r="JJ363" s="23"/>
      <c r="JK363" s="23"/>
      <c r="JL363" s="23"/>
      <c r="JM363" s="23"/>
      <c r="JN363" s="23"/>
      <c r="JO363" s="23"/>
      <c r="JP363" s="23"/>
      <c r="JQ363" s="23"/>
      <c r="JR363" s="23"/>
      <c r="JS363" s="23"/>
      <c r="JT363" s="23"/>
      <c r="JU363" s="23"/>
      <c r="JV363" s="23"/>
      <c r="JW363" s="23"/>
      <c r="JX363" s="23"/>
      <c r="JY363" s="23"/>
      <c r="JZ363" s="23"/>
      <c r="KA363" s="23"/>
      <c r="KB363" s="23"/>
      <c r="KC363" s="23"/>
      <c r="KD363" s="23"/>
      <c r="KE363" s="23"/>
      <c r="KF363" s="23"/>
      <c r="KG363" s="23"/>
      <c r="KH363" s="23"/>
      <c r="KI363" s="23"/>
      <c r="KJ363" s="23"/>
      <c r="KK363" s="23"/>
      <c r="KL363" s="23"/>
      <c r="KM363" s="23"/>
      <c r="KN363" s="23"/>
      <c r="KO363" s="23"/>
      <c r="KP363" s="23"/>
      <c r="KQ363" s="23"/>
      <c r="KR363" s="23"/>
      <c r="KS363" s="23"/>
      <c r="KT363" s="23"/>
      <c r="KU363" s="23"/>
      <c r="KV363" s="23"/>
      <c r="KW363" s="23"/>
      <c r="KX363" s="23"/>
      <c r="KY363" s="23"/>
      <c r="KZ363" s="23"/>
      <c r="LA363" s="23"/>
      <c r="LB363" s="23"/>
      <c r="LC363" s="23"/>
      <c r="LD363" s="23"/>
      <c r="LE363" s="23"/>
      <c r="LF363" s="23"/>
      <c r="LG363" s="23"/>
      <c r="LH363" s="23"/>
      <c r="LI363" s="23"/>
      <c r="LJ363" s="23"/>
      <c r="LK363" s="23"/>
      <c r="LL363" s="23"/>
      <c r="LM363" s="23"/>
      <c r="LN363" s="23"/>
      <c r="LO363" s="23"/>
    </row>
    <row r="364" spans="1:327">
      <c r="A364" s="390"/>
      <c r="B364" s="23"/>
      <c r="C364" s="391"/>
      <c r="D364" s="391"/>
      <c r="E364" s="23"/>
      <c r="F364" s="23"/>
      <c r="G364" s="392"/>
      <c r="H364" s="392"/>
      <c r="I364" s="392"/>
      <c r="J364" s="392"/>
      <c r="K364" s="392"/>
      <c r="L364" s="392"/>
      <c r="M364" s="392"/>
      <c r="N364" s="23"/>
      <c r="O364" s="39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  <c r="IL364" s="23"/>
      <c r="IM364" s="23"/>
      <c r="IN364" s="23"/>
      <c r="IO364" s="23"/>
      <c r="IP364" s="23"/>
      <c r="IQ364" s="23"/>
      <c r="IR364" s="23"/>
      <c r="IS364" s="23"/>
      <c r="IT364" s="23"/>
      <c r="IU364" s="23"/>
      <c r="IV364" s="23"/>
      <c r="IW364" s="23"/>
      <c r="IX364" s="23"/>
      <c r="IY364" s="23"/>
      <c r="IZ364" s="23"/>
      <c r="JA364" s="23"/>
      <c r="JB364" s="23"/>
      <c r="JC364" s="23"/>
      <c r="JD364" s="23"/>
      <c r="JE364" s="23"/>
      <c r="JF364" s="23"/>
      <c r="JG364" s="23"/>
      <c r="JH364" s="23"/>
      <c r="JI364" s="23"/>
      <c r="JJ364" s="23"/>
      <c r="JK364" s="23"/>
      <c r="JL364" s="23"/>
      <c r="JM364" s="23"/>
      <c r="JN364" s="23"/>
      <c r="JO364" s="23"/>
      <c r="JP364" s="23"/>
      <c r="JQ364" s="23"/>
      <c r="JR364" s="23"/>
      <c r="JS364" s="23"/>
      <c r="JT364" s="23"/>
      <c r="JU364" s="23"/>
      <c r="JV364" s="23"/>
      <c r="JW364" s="23"/>
      <c r="JX364" s="23"/>
      <c r="JY364" s="23"/>
      <c r="JZ364" s="23"/>
      <c r="KA364" s="23"/>
      <c r="KB364" s="23"/>
      <c r="KC364" s="23"/>
      <c r="KD364" s="23"/>
      <c r="KE364" s="23"/>
      <c r="KF364" s="23"/>
      <c r="KG364" s="23"/>
      <c r="KH364" s="23"/>
      <c r="KI364" s="23"/>
      <c r="KJ364" s="23"/>
      <c r="KK364" s="23"/>
      <c r="KL364" s="23"/>
      <c r="KM364" s="23"/>
      <c r="KN364" s="23"/>
      <c r="KO364" s="23"/>
      <c r="KP364" s="23"/>
      <c r="KQ364" s="23"/>
      <c r="KR364" s="23"/>
      <c r="KS364" s="23"/>
      <c r="KT364" s="23"/>
      <c r="KU364" s="23"/>
      <c r="KV364" s="23"/>
      <c r="KW364" s="23"/>
      <c r="KX364" s="23"/>
      <c r="KY364" s="23"/>
      <c r="KZ364" s="23"/>
      <c r="LA364" s="23"/>
      <c r="LB364" s="23"/>
      <c r="LC364" s="23"/>
      <c r="LD364" s="23"/>
      <c r="LE364" s="23"/>
      <c r="LF364" s="23"/>
      <c r="LG364" s="23"/>
      <c r="LH364" s="23"/>
      <c r="LI364" s="23"/>
      <c r="LJ364" s="23"/>
      <c r="LK364" s="23"/>
      <c r="LL364" s="23"/>
      <c r="LM364" s="23"/>
      <c r="LN364" s="23"/>
      <c r="LO364" s="23"/>
    </row>
    <row r="365" spans="1:327">
      <c r="A365" s="390"/>
      <c r="B365" s="23"/>
      <c r="C365" s="391"/>
      <c r="D365" s="391"/>
      <c r="E365" s="23"/>
      <c r="F365" s="23"/>
      <c r="G365" s="392"/>
      <c r="H365" s="392"/>
      <c r="I365" s="392"/>
      <c r="J365" s="392"/>
      <c r="K365" s="392"/>
      <c r="L365" s="392"/>
      <c r="M365" s="392"/>
      <c r="N365" s="23"/>
      <c r="O365" s="39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  <c r="IL365" s="23"/>
      <c r="IM365" s="23"/>
      <c r="IN365" s="23"/>
      <c r="IO365" s="23"/>
      <c r="IP365" s="23"/>
      <c r="IQ365" s="23"/>
      <c r="IR365" s="23"/>
      <c r="IS365" s="23"/>
      <c r="IT365" s="23"/>
      <c r="IU365" s="23"/>
      <c r="IV365" s="23"/>
      <c r="IW365" s="23"/>
      <c r="IX365" s="23"/>
      <c r="IY365" s="23"/>
      <c r="IZ365" s="23"/>
      <c r="JA365" s="23"/>
      <c r="JB365" s="23"/>
      <c r="JC365" s="23"/>
      <c r="JD365" s="23"/>
      <c r="JE365" s="23"/>
      <c r="JF365" s="23"/>
      <c r="JG365" s="23"/>
      <c r="JH365" s="23"/>
      <c r="JI365" s="23"/>
      <c r="JJ365" s="23"/>
      <c r="JK365" s="23"/>
      <c r="JL365" s="23"/>
      <c r="JM365" s="23"/>
      <c r="JN365" s="23"/>
      <c r="JO365" s="23"/>
      <c r="JP365" s="23"/>
      <c r="JQ365" s="23"/>
      <c r="JR365" s="23"/>
      <c r="JS365" s="23"/>
      <c r="JT365" s="23"/>
      <c r="JU365" s="23"/>
      <c r="JV365" s="23"/>
      <c r="JW365" s="23"/>
      <c r="JX365" s="23"/>
      <c r="JY365" s="23"/>
      <c r="JZ365" s="23"/>
      <c r="KA365" s="23"/>
      <c r="KB365" s="23"/>
      <c r="KC365" s="23"/>
      <c r="KD365" s="23"/>
      <c r="KE365" s="23"/>
      <c r="KF365" s="23"/>
      <c r="KG365" s="23"/>
      <c r="KH365" s="23"/>
      <c r="KI365" s="23"/>
      <c r="KJ365" s="23"/>
      <c r="KK365" s="23"/>
      <c r="KL365" s="23"/>
      <c r="KM365" s="23"/>
      <c r="KN365" s="23"/>
      <c r="KO365" s="23"/>
      <c r="KP365" s="23"/>
      <c r="KQ365" s="23"/>
      <c r="KR365" s="23"/>
      <c r="KS365" s="23"/>
      <c r="KT365" s="23"/>
      <c r="KU365" s="23"/>
      <c r="KV365" s="23"/>
      <c r="KW365" s="23"/>
      <c r="KX365" s="23"/>
      <c r="KY365" s="23"/>
      <c r="KZ365" s="23"/>
      <c r="LA365" s="23"/>
      <c r="LB365" s="23"/>
      <c r="LC365" s="23"/>
      <c r="LD365" s="23"/>
      <c r="LE365" s="23"/>
      <c r="LF365" s="23"/>
      <c r="LG365" s="23"/>
      <c r="LH365" s="23"/>
      <c r="LI365" s="23"/>
      <c r="LJ365" s="23"/>
      <c r="LK365" s="23"/>
      <c r="LL365" s="23"/>
      <c r="LM365" s="23"/>
      <c r="LN365" s="23"/>
      <c r="LO365" s="23"/>
    </row>
    <row r="366" spans="1:327">
      <c r="A366" s="390"/>
      <c r="B366" s="23"/>
      <c r="C366" s="391"/>
      <c r="D366" s="391"/>
      <c r="E366" s="23"/>
      <c r="F366" s="23"/>
      <c r="G366" s="392"/>
      <c r="H366" s="392"/>
      <c r="I366" s="392"/>
      <c r="J366" s="392"/>
      <c r="K366" s="392"/>
      <c r="L366" s="392"/>
      <c r="M366" s="392"/>
      <c r="N366" s="23"/>
      <c r="O366" s="39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  <c r="IL366" s="23"/>
      <c r="IM366" s="23"/>
      <c r="IN366" s="23"/>
      <c r="IO366" s="23"/>
      <c r="IP366" s="23"/>
      <c r="IQ366" s="23"/>
      <c r="IR366" s="23"/>
      <c r="IS366" s="23"/>
      <c r="IT366" s="23"/>
      <c r="IU366" s="23"/>
      <c r="IV366" s="23"/>
      <c r="IW366" s="23"/>
      <c r="IX366" s="23"/>
      <c r="IY366" s="23"/>
      <c r="IZ366" s="23"/>
      <c r="JA366" s="23"/>
      <c r="JB366" s="23"/>
      <c r="JC366" s="23"/>
      <c r="JD366" s="23"/>
      <c r="JE366" s="23"/>
      <c r="JF366" s="23"/>
      <c r="JG366" s="23"/>
      <c r="JH366" s="23"/>
      <c r="JI366" s="23"/>
      <c r="JJ366" s="23"/>
      <c r="JK366" s="23"/>
      <c r="JL366" s="23"/>
      <c r="JM366" s="23"/>
      <c r="JN366" s="23"/>
      <c r="JO366" s="23"/>
      <c r="JP366" s="23"/>
      <c r="JQ366" s="23"/>
      <c r="JR366" s="23"/>
      <c r="JS366" s="23"/>
      <c r="JT366" s="23"/>
      <c r="JU366" s="23"/>
      <c r="JV366" s="23"/>
      <c r="JW366" s="23"/>
      <c r="JX366" s="23"/>
      <c r="JY366" s="23"/>
      <c r="JZ366" s="23"/>
      <c r="KA366" s="23"/>
      <c r="KB366" s="23"/>
      <c r="KC366" s="23"/>
      <c r="KD366" s="23"/>
      <c r="KE366" s="23"/>
      <c r="KF366" s="23"/>
      <c r="KG366" s="23"/>
      <c r="KH366" s="23"/>
      <c r="KI366" s="23"/>
      <c r="KJ366" s="23"/>
      <c r="KK366" s="23"/>
      <c r="KL366" s="23"/>
      <c r="KM366" s="23"/>
      <c r="KN366" s="23"/>
      <c r="KO366" s="23"/>
      <c r="KP366" s="23"/>
      <c r="KQ366" s="23"/>
      <c r="KR366" s="23"/>
      <c r="KS366" s="23"/>
      <c r="KT366" s="23"/>
      <c r="KU366" s="23"/>
      <c r="KV366" s="23"/>
      <c r="KW366" s="23"/>
      <c r="KX366" s="23"/>
      <c r="KY366" s="23"/>
      <c r="KZ366" s="23"/>
      <c r="LA366" s="23"/>
      <c r="LB366" s="23"/>
      <c r="LC366" s="23"/>
      <c r="LD366" s="23"/>
      <c r="LE366" s="23"/>
      <c r="LF366" s="23"/>
      <c r="LG366" s="23"/>
      <c r="LH366" s="23"/>
      <c r="LI366" s="23"/>
      <c r="LJ366" s="23"/>
      <c r="LK366" s="23"/>
      <c r="LL366" s="23"/>
      <c r="LM366" s="23"/>
      <c r="LN366" s="23"/>
      <c r="LO366" s="23"/>
    </row>
    <row r="367" spans="1:327">
      <c r="A367" s="390"/>
      <c r="B367" s="23"/>
      <c r="C367" s="391"/>
      <c r="D367" s="391"/>
      <c r="E367" s="23"/>
      <c r="F367" s="23"/>
      <c r="G367" s="392"/>
      <c r="H367" s="392"/>
      <c r="I367" s="392"/>
      <c r="J367" s="392"/>
      <c r="K367" s="392"/>
      <c r="L367" s="392"/>
      <c r="M367" s="392"/>
      <c r="N367" s="23"/>
      <c r="O367" s="39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  <c r="IL367" s="23"/>
      <c r="IM367" s="23"/>
      <c r="IN367" s="23"/>
      <c r="IO367" s="23"/>
      <c r="IP367" s="23"/>
      <c r="IQ367" s="23"/>
      <c r="IR367" s="23"/>
      <c r="IS367" s="23"/>
      <c r="IT367" s="23"/>
      <c r="IU367" s="23"/>
      <c r="IV367" s="23"/>
      <c r="IW367" s="23"/>
      <c r="IX367" s="23"/>
      <c r="IY367" s="23"/>
      <c r="IZ367" s="23"/>
      <c r="JA367" s="23"/>
      <c r="JB367" s="23"/>
      <c r="JC367" s="23"/>
      <c r="JD367" s="23"/>
      <c r="JE367" s="23"/>
      <c r="JF367" s="23"/>
      <c r="JG367" s="23"/>
      <c r="JH367" s="23"/>
      <c r="JI367" s="23"/>
      <c r="JJ367" s="23"/>
      <c r="JK367" s="23"/>
      <c r="JL367" s="23"/>
      <c r="JM367" s="23"/>
      <c r="JN367" s="23"/>
      <c r="JO367" s="23"/>
      <c r="JP367" s="23"/>
      <c r="JQ367" s="23"/>
      <c r="JR367" s="23"/>
      <c r="JS367" s="23"/>
      <c r="JT367" s="23"/>
      <c r="JU367" s="23"/>
      <c r="JV367" s="23"/>
      <c r="JW367" s="23"/>
      <c r="JX367" s="23"/>
      <c r="JY367" s="23"/>
      <c r="JZ367" s="23"/>
      <c r="KA367" s="23"/>
      <c r="KB367" s="23"/>
      <c r="KC367" s="23"/>
      <c r="KD367" s="23"/>
      <c r="KE367" s="23"/>
      <c r="KF367" s="23"/>
      <c r="KG367" s="23"/>
      <c r="KH367" s="23"/>
      <c r="KI367" s="23"/>
      <c r="KJ367" s="23"/>
      <c r="KK367" s="23"/>
      <c r="KL367" s="23"/>
      <c r="KM367" s="23"/>
      <c r="KN367" s="23"/>
      <c r="KO367" s="23"/>
      <c r="KP367" s="23"/>
      <c r="KQ367" s="23"/>
      <c r="KR367" s="23"/>
      <c r="KS367" s="23"/>
      <c r="KT367" s="23"/>
      <c r="KU367" s="23"/>
      <c r="KV367" s="23"/>
      <c r="KW367" s="23"/>
      <c r="KX367" s="23"/>
      <c r="KY367" s="23"/>
      <c r="KZ367" s="23"/>
      <c r="LA367" s="23"/>
      <c r="LB367" s="23"/>
      <c r="LC367" s="23"/>
      <c r="LD367" s="23"/>
      <c r="LE367" s="23"/>
      <c r="LF367" s="23"/>
      <c r="LG367" s="23"/>
      <c r="LH367" s="23"/>
      <c r="LI367" s="23"/>
      <c r="LJ367" s="23"/>
      <c r="LK367" s="23"/>
      <c r="LL367" s="23"/>
      <c r="LM367" s="23"/>
      <c r="LN367" s="23"/>
      <c r="LO367" s="23"/>
    </row>
    <row r="368" spans="1:327">
      <c r="A368" s="390"/>
      <c r="B368" s="23"/>
      <c r="C368" s="391"/>
      <c r="D368" s="391"/>
      <c r="E368" s="23"/>
      <c r="F368" s="23"/>
      <c r="G368" s="392"/>
      <c r="H368" s="392"/>
      <c r="I368" s="392"/>
      <c r="J368" s="392"/>
      <c r="K368" s="392"/>
      <c r="L368" s="392"/>
      <c r="M368" s="392"/>
      <c r="N368" s="23"/>
      <c r="O368" s="39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  <c r="IL368" s="23"/>
      <c r="IM368" s="23"/>
      <c r="IN368" s="23"/>
      <c r="IO368" s="23"/>
      <c r="IP368" s="23"/>
      <c r="IQ368" s="23"/>
      <c r="IR368" s="23"/>
      <c r="IS368" s="23"/>
      <c r="IT368" s="23"/>
      <c r="IU368" s="23"/>
      <c r="IV368" s="23"/>
      <c r="IW368" s="23"/>
      <c r="IX368" s="23"/>
      <c r="IY368" s="23"/>
      <c r="IZ368" s="23"/>
      <c r="JA368" s="23"/>
      <c r="JB368" s="23"/>
      <c r="JC368" s="23"/>
      <c r="JD368" s="23"/>
      <c r="JE368" s="23"/>
      <c r="JF368" s="23"/>
      <c r="JG368" s="23"/>
      <c r="JH368" s="23"/>
      <c r="JI368" s="23"/>
      <c r="JJ368" s="23"/>
      <c r="JK368" s="23"/>
      <c r="JL368" s="23"/>
      <c r="JM368" s="23"/>
      <c r="JN368" s="23"/>
      <c r="JO368" s="23"/>
      <c r="JP368" s="23"/>
      <c r="JQ368" s="23"/>
      <c r="JR368" s="23"/>
      <c r="JS368" s="23"/>
      <c r="JT368" s="23"/>
      <c r="JU368" s="23"/>
      <c r="JV368" s="23"/>
      <c r="JW368" s="23"/>
      <c r="JX368" s="23"/>
      <c r="JY368" s="23"/>
      <c r="JZ368" s="23"/>
      <c r="KA368" s="23"/>
      <c r="KB368" s="23"/>
      <c r="KC368" s="23"/>
      <c r="KD368" s="23"/>
      <c r="KE368" s="23"/>
      <c r="KF368" s="23"/>
      <c r="KG368" s="23"/>
      <c r="KH368" s="23"/>
      <c r="KI368" s="23"/>
      <c r="KJ368" s="23"/>
      <c r="KK368" s="23"/>
      <c r="KL368" s="23"/>
      <c r="KM368" s="23"/>
      <c r="KN368" s="23"/>
      <c r="KO368" s="23"/>
      <c r="KP368" s="23"/>
      <c r="KQ368" s="23"/>
      <c r="KR368" s="23"/>
      <c r="KS368" s="23"/>
      <c r="KT368" s="23"/>
      <c r="KU368" s="23"/>
      <c r="KV368" s="23"/>
      <c r="KW368" s="23"/>
      <c r="KX368" s="23"/>
      <c r="KY368" s="23"/>
      <c r="KZ368" s="23"/>
      <c r="LA368" s="23"/>
      <c r="LB368" s="23"/>
      <c r="LC368" s="23"/>
      <c r="LD368" s="23"/>
      <c r="LE368" s="23"/>
      <c r="LF368" s="23"/>
      <c r="LG368" s="23"/>
      <c r="LH368" s="23"/>
      <c r="LI368" s="23"/>
      <c r="LJ368" s="23"/>
      <c r="LK368" s="23"/>
      <c r="LL368" s="23"/>
      <c r="LM368" s="23"/>
      <c r="LN368" s="23"/>
      <c r="LO368" s="23"/>
    </row>
    <row r="369" spans="1:327">
      <c r="A369" s="390"/>
      <c r="B369" s="23"/>
      <c r="C369" s="391"/>
      <c r="D369" s="391"/>
      <c r="E369" s="23"/>
      <c r="F369" s="23"/>
      <c r="G369" s="392"/>
      <c r="H369" s="392"/>
      <c r="I369" s="392"/>
      <c r="J369" s="392"/>
      <c r="K369" s="392"/>
      <c r="L369" s="392"/>
      <c r="M369" s="392"/>
      <c r="N369" s="23"/>
      <c r="O369" s="39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  <c r="IL369" s="23"/>
      <c r="IM369" s="23"/>
      <c r="IN369" s="23"/>
      <c r="IO369" s="23"/>
      <c r="IP369" s="23"/>
      <c r="IQ369" s="23"/>
      <c r="IR369" s="23"/>
      <c r="IS369" s="23"/>
      <c r="IT369" s="23"/>
      <c r="IU369" s="23"/>
      <c r="IV369" s="23"/>
      <c r="IW369" s="23"/>
      <c r="IX369" s="23"/>
      <c r="IY369" s="23"/>
      <c r="IZ369" s="23"/>
      <c r="JA369" s="23"/>
      <c r="JB369" s="23"/>
      <c r="JC369" s="23"/>
      <c r="JD369" s="23"/>
      <c r="JE369" s="23"/>
      <c r="JF369" s="23"/>
      <c r="JG369" s="23"/>
      <c r="JH369" s="23"/>
      <c r="JI369" s="23"/>
      <c r="JJ369" s="23"/>
      <c r="JK369" s="23"/>
      <c r="JL369" s="23"/>
      <c r="JM369" s="23"/>
      <c r="JN369" s="23"/>
      <c r="JO369" s="23"/>
      <c r="JP369" s="23"/>
      <c r="JQ369" s="23"/>
      <c r="JR369" s="23"/>
      <c r="JS369" s="23"/>
      <c r="JT369" s="23"/>
      <c r="JU369" s="23"/>
      <c r="JV369" s="23"/>
      <c r="JW369" s="23"/>
      <c r="JX369" s="23"/>
      <c r="JY369" s="23"/>
      <c r="JZ369" s="23"/>
      <c r="KA369" s="23"/>
      <c r="KB369" s="23"/>
      <c r="KC369" s="23"/>
      <c r="KD369" s="23"/>
      <c r="KE369" s="23"/>
      <c r="KF369" s="23"/>
      <c r="KG369" s="23"/>
      <c r="KH369" s="23"/>
      <c r="KI369" s="23"/>
      <c r="KJ369" s="23"/>
      <c r="KK369" s="23"/>
      <c r="KL369" s="23"/>
      <c r="KM369" s="23"/>
      <c r="KN369" s="23"/>
      <c r="KO369" s="23"/>
      <c r="KP369" s="23"/>
      <c r="KQ369" s="23"/>
      <c r="KR369" s="23"/>
      <c r="KS369" s="23"/>
      <c r="KT369" s="23"/>
      <c r="KU369" s="23"/>
      <c r="KV369" s="23"/>
      <c r="KW369" s="23"/>
      <c r="KX369" s="23"/>
      <c r="KY369" s="23"/>
      <c r="KZ369" s="23"/>
      <c r="LA369" s="23"/>
      <c r="LB369" s="23"/>
      <c r="LC369" s="23"/>
      <c r="LD369" s="23"/>
      <c r="LE369" s="23"/>
      <c r="LF369" s="23"/>
      <c r="LG369" s="23"/>
      <c r="LH369" s="23"/>
      <c r="LI369" s="23"/>
      <c r="LJ369" s="23"/>
      <c r="LK369" s="23"/>
      <c r="LL369" s="23"/>
      <c r="LM369" s="23"/>
      <c r="LN369" s="23"/>
      <c r="LO369" s="23"/>
    </row>
    <row r="370" spans="1:327">
      <c r="A370" s="390"/>
      <c r="B370" s="23"/>
      <c r="C370" s="391"/>
      <c r="D370" s="391"/>
      <c r="E370" s="23"/>
      <c r="F370" s="23"/>
      <c r="G370" s="392"/>
      <c r="H370" s="392"/>
      <c r="I370" s="392"/>
      <c r="J370" s="392"/>
      <c r="K370" s="392"/>
      <c r="L370" s="392"/>
      <c r="M370" s="392"/>
      <c r="N370" s="23"/>
      <c r="O370" s="39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  <c r="IL370" s="23"/>
      <c r="IM370" s="23"/>
      <c r="IN370" s="23"/>
      <c r="IO370" s="23"/>
      <c r="IP370" s="23"/>
      <c r="IQ370" s="23"/>
      <c r="IR370" s="23"/>
      <c r="IS370" s="23"/>
      <c r="IT370" s="23"/>
      <c r="IU370" s="23"/>
      <c r="IV370" s="23"/>
      <c r="IW370" s="23"/>
      <c r="IX370" s="23"/>
      <c r="IY370" s="23"/>
      <c r="IZ370" s="23"/>
      <c r="JA370" s="23"/>
      <c r="JB370" s="23"/>
      <c r="JC370" s="23"/>
      <c r="JD370" s="23"/>
      <c r="JE370" s="23"/>
      <c r="JF370" s="23"/>
      <c r="JG370" s="23"/>
      <c r="JH370" s="23"/>
      <c r="JI370" s="23"/>
      <c r="JJ370" s="23"/>
      <c r="JK370" s="23"/>
      <c r="JL370" s="23"/>
      <c r="JM370" s="23"/>
      <c r="JN370" s="23"/>
      <c r="JO370" s="23"/>
      <c r="JP370" s="23"/>
      <c r="JQ370" s="23"/>
      <c r="JR370" s="23"/>
      <c r="JS370" s="23"/>
      <c r="JT370" s="23"/>
      <c r="JU370" s="23"/>
      <c r="JV370" s="23"/>
      <c r="JW370" s="23"/>
      <c r="JX370" s="23"/>
      <c r="JY370" s="23"/>
      <c r="JZ370" s="23"/>
      <c r="KA370" s="23"/>
      <c r="KB370" s="23"/>
      <c r="KC370" s="23"/>
      <c r="KD370" s="23"/>
      <c r="KE370" s="23"/>
      <c r="KF370" s="23"/>
      <c r="KG370" s="23"/>
      <c r="KH370" s="23"/>
      <c r="KI370" s="23"/>
      <c r="KJ370" s="23"/>
      <c r="KK370" s="23"/>
      <c r="KL370" s="23"/>
      <c r="KM370" s="23"/>
      <c r="KN370" s="23"/>
      <c r="KO370" s="23"/>
      <c r="KP370" s="23"/>
      <c r="KQ370" s="23"/>
      <c r="KR370" s="23"/>
      <c r="KS370" s="23"/>
      <c r="KT370" s="23"/>
      <c r="KU370" s="23"/>
      <c r="KV370" s="23"/>
      <c r="KW370" s="23"/>
      <c r="KX370" s="23"/>
      <c r="KY370" s="23"/>
      <c r="KZ370" s="23"/>
      <c r="LA370" s="23"/>
      <c r="LB370" s="23"/>
      <c r="LC370" s="23"/>
      <c r="LD370" s="23"/>
      <c r="LE370" s="23"/>
      <c r="LF370" s="23"/>
      <c r="LG370" s="23"/>
      <c r="LH370" s="23"/>
      <c r="LI370" s="23"/>
      <c r="LJ370" s="23"/>
      <c r="LK370" s="23"/>
      <c r="LL370" s="23"/>
      <c r="LM370" s="23"/>
      <c r="LN370" s="23"/>
      <c r="LO370" s="23"/>
    </row>
    <row r="371" spans="1:327">
      <c r="A371" s="390"/>
      <c r="B371" s="23"/>
      <c r="C371" s="391"/>
      <c r="D371" s="391"/>
      <c r="E371" s="23"/>
      <c r="F371" s="23"/>
      <c r="G371" s="392"/>
      <c r="H371" s="392"/>
      <c r="I371" s="392"/>
      <c r="J371" s="392"/>
      <c r="K371" s="392"/>
      <c r="L371" s="392"/>
      <c r="M371" s="392"/>
      <c r="N371" s="23"/>
      <c r="O371" s="39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  <c r="IL371" s="23"/>
      <c r="IM371" s="23"/>
      <c r="IN371" s="23"/>
      <c r="IO371" s="23"/>
      <c r="IP371" s="23"/>
      <c r="IQ371" s="23"/>
      <c r="IR371" s="23"/>
      <c r="IS371" s="23"/>
      <c r="IT371" s="23"/>
      <c r="IU371" s="23"/>
      <c r="IV371" s="23"/>
      <c r="IW371" s="23"/>
      <c r="IX371" s="23"/>
      <c r="IY371" s="23"/>
      <c r="IZ371" s="23"/>
      <c r="JA371" s="23"/>
      <c r="JB371" s="23"/>
      <c r="JC371" s="23"/>
      <c r="JD371" s="23"/>
      <c r="JE371" s="23"/>
      <c r="JF371" s="23"/>
      <c r="JG371" s="23"/>
      <c r="JH371" s="23"/>
      <c r="JI371" s="23"/>
      <c r="JJ371" s="23"/>
      <c r="JK371" s="23"/>
      <c r="JL371" s="23"/>
      <c r="JM371" s="23"/>
      <c r="JN371" s="23"/>
      <c r="JO371" s="23"/>
      <c r="JP371" s="23"/>
      <c r="JQ371" s="23"/>
      <c r="JR371" s="23"/>
      <c r="JS371" s="23"/>
      <c r="JT371" s="23"/>
      <c r="JU371" s="23"/>
      <c r="JV371" s="23"/>
      <c r="JW371" s="23"/>
      <c r="JX371" s="23"/>
      <c r="JY371" s="23"/>
      <c r="JZ371" s="23"/>
      <c r="KA371" s="23"/>
      <c r="KB371" s="23"/>
      <c r="KC371" s="23"/>
      <c r="KD371" s="23"/>
      <c r="KE371" s="23"/>
      <c r="KF371" s="23"/>
      <c r="KG371" s="23"/>
      <c r="KH371" s="23"/>
      <c r="KI371" s="23"/>
      <c r="KJ371" s="23"/>
      <c r="KK371" s="23"/>
      <c r="KL371" s="23"/>
      <c r="KM371" s="23"/>
      <c r="KN371" s="23"/>
      <c r="KO371" s="23"/>
      <c r="KP371" s="23"/>
      <c r="KQ371" s="23"/>
      <c r="KR371" s="23"/>
      <c r="KS371" s="23"/>
      <c r="KT371" s="23"/>
      <c r="KU371" s="23"/>
      <c r="KV371" s="23"/>
      <c r="KW371" s="23"/>
      <c r="KX371" s="23"/>
      <c r="KY371" s="23"/>
      <c r="KZ371" s="23"/>
      <c r="LA371" s="23"/>
      <c r="LB371" s="23"/>
      <c r="LC371" s="23"/>
      <c r="LD371" s="23"/>
      <c r="LE371" s="23"/>
      <c r="LF371" s="23"/>
      <c r="LG371" s="23"/>
      <c r="LH371" s="23"/>
      <c r="LI371" s="23"/>
      <c r="LJ371" s="23"/>
      <c r="LK371" s="23"/>
      <c r="LL371" s="23"/>
      <c r="LM371" s="23"/>
      <c r="LN371" s="23"/>
      <c r="LO371" s="23"/>
    </row>
    <row r="372" spans="1:327">
      <c r="A372" s="390"/>
      <c r="B372" s="23"/>
      <c r="C372" s="391"/>
      <c r="D372" s="391"/>
      <c r="E372" s="23"/>
      <c r="F372" s="23"/>
      <c r="G372" s="392"/>
      <c r="H372" s="392"/>
      <c r="I372" s="392"/>
      <c r="J372" s="392"/>
      <c r="K372" s="392"/>
      <c r="L372" s="392"/>
      <c r="M372" s="392"/>
      <c r="N372" s="23"/>
      <c r="O372" s="39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  <c r="IL372" s="23"/>
      <c r="IM372" s="23"/>
      <c r="IN372" s="23"/>
      <c r="IO372" s="23"/>
      <c r="IP372" s="23"/>
      <c r="IQ372" s="23"/>
      <c r="IR372" s="23"/>
      <c r="IS372" s="23"/>
      <c r="IT372" s="23"/>
      <c r="IU372" s="23"/>
      <c r="IV372" s="23"/>
      <c r="IW372" s="23"/>
      <c r="IX372" s="23"/>
      <c r="IY372" s="23"/>
      <c r="IZ372" s="23"/>
      <c r="JA372" s="23"/>
      <c r="JB372" s="23"/>
      <c r="JC372" s="23"/>
      <c r="JD372" s="23"/>
      <c r="JE372" s="23"/>
      <c r="JF372" s="23"/>
      <c r="JG372" s="23"/>
      <c r="JH372" s="23"/>
      <c r="JI372" s="23"/>
      <c r="JJ372" s="23"/>
      <c r="JK372" s="23"/>
      <c r="JL372" s="23"/>
      <c r="JM372" s="23"/>
      <c r="JN372" s="23"/>
      <c r="JO372" s="23"/>
      <c r="JP372" s="23"/>
      <c r="JQ372" s="23"/>
      <c r="JR372" s="23"/>
      <c r="JS372" s="23"/>
      <c r="JT372" s="23"/>
      <c r="JU372" s="23"/>
      <c r="JV372" s="23"/>
      <c r="JW372" s="23"/>
      <c r="JX372" s="23"/>
      <c r="JY372" s="23"/>
      <c r="JZ372" s="23"/>
      <c r="KA372" s="23"/>
      <c r="KB372" s="23"/>
      <c r="KC372" s="23"/>
      <c r="KD372" s="23"/>
      <c r="KE372" s="23"/>
      <c r="KF372" s="23"/>
      <c r="KG372" s="23"/>
      <c r="KH372" s="23"/>
      <c r="KI372" s="23"/>
      <c r="KJ372" s="23"/>
      <c r="KK372" s="23"/>
      <c r="KL372" s="23"/>
      <c r="KM372" s="23"/>
      <c r="KN372" s="23"/>
      <c r="KO372" s="23"/>
      <c r="KP372" s="23"/>
      <c r="KQ372" s="23"/>
      <c r="KR372" s="23"/>
      <c r="KS372" s="23"/>
      <c r="KT372" s="23"/>
      <c r="KU372" s="23"/>
      <c r="KV372" s="23"/>
      <c r="KW372" s="23"/>
      <c r="KX372" s="23"/>
      <c r="KY372" s="23"/>
      <c r="KZ372" s="23"/>
      <c r="LA372" s="23"/>
      <c r="LB372" s="23"/>
      <c r="LC372" s="23"/>
      <c r="LD372" s="23"/>
      <c r="LE372" s="23"/>
      <c r="LF372" s="23"/>
      <c r="LG372" s="23"/>
      <c r="LH372" s="23"/>
      <c r="LI372" s="23"/>
      <c r="LJ372" s="23"/>
      <c r="LK372" s="23"/>
      <c r="LL372" s="23"/>
      <c r="LM372" s="23"/>
      <c r="LN372" s="23"/>
      <c r="LO372" s="23"/>
    </row>
    <row r="373" spans="1:327">
      <c r="A373" s="390"/>
      <c r="B373" s="23"/>
      <c r="C373" s="391"/>
      <c r="D373" s="391"/>
      <c r="E373" s="23"/>
      <c r="F373" s="23"/>
      <c r="G373" s="392"/>
      <c r="H373" s="392"/>
      <c r="I373" s="392"/>
      <c r="J373" s="392"/>
      <c r="K373" s="392"/>
      <c r="L373" s="392"/>
      <c r="M373" s="392"/>
      <c r="N373" s="23"/>
      <c r="O373" s="39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  <c r="IL373" s="23"/>
      <c r="IM373" s="23"/>
      <c r="IN373" s="23"/>
      <c r="IO373" s="23"/>
      <c r="IP373" s="23"/>
      <c r="IQ373" s="23"/>
      <c r="IR373" s="23"/>
      <c r="IS373" s="23"/>
      <c r="IT373" s="23"/>
      <c r="IU373" s="23"/>
      <c r="IV373" s="23"/>
      <c r="IW373" s="23"/>
      <c r="IX373" s="23"/>
      <c r="IY373" s="23"/>
      <c r="IZ373" s="23"/>
      <c r="JA373" s="23"/>
      <c r="JB373" s="23"/>
      <c r="JC373" s="23"/>
      <c r="JD373" s="23"/>
      <c r="JE373" s="23"/>
      <c r="JF373" s="23"/>
      <c r="JG373" s="23"/>
      <c r="JH373" s="23"/>
      <c r="JI373" s="23"/>
      <c r="JJ373" s="23"/>
      <c r="JK373" s="23"/>
      <c r="JL373" s="23"/>
      <c r="JM373" s="23"/>
      <c r="JN373" s="23"/>
      <c r="JO373" s="23"/>
      <c r="JP373" s="23"/>
      <c r="JQ373" s="23"/>
      <c r="JR373" s="23"/>
      <c r="JS373" s="23"/>
      <c r="JT373" s="23"/>
      <c r="JU373" s="23"/>
      <c r="JV373" s="23"/>
      <c r="JW373" s="23"/>
      <c r="JX373" s="23"/>
      <c r="JY373" s="23"/>
      <c r="JZ373" s="23"/>
      <c r="KA373" s="23"/>
      <c r="KB373" s="23"/>
      <c r="KC373" s="23"/>
      <c r="KD373" s="23"/>
      <c r="KE373" s="23"/>
      <c r="KF373" s="23"/>
      <c r="KG373" s="23"/>
      <c r="KH373" s="23"/>
      <c r="KI373" s="23"/>
      <c r="KJ373" s="23"/>
      <c r="KK373" s="23"/>
      <c r="KL373" s="23"/>
      <c r="KM373" s="23"/>
      <c r="KN373" s="23"/>
      <c r="KO373" s="23"/>
      <c r="KP373" s="23"/>
      <c r="KQ373" s="23"/>
      <c r="KR373" s="23"/>
      <c r="KS373" s="23"/>
      <c r="KT373" s="23"/>
      <c r="KU373" s="23"/>
      <c r="KV373" s="23"/>
      <c r="KW373" s="23"/>
      <c r="KX373" s="23"/>
      <c r="KY373" s="23"/>
      <c r="KZ373" s="23"/>
      <c r="LA373" s="23"/>
      <c r="LB373" s="23"/>
      <c r="LC373" s="23"/>
      <c r="LD373" s="23"/>
      <c r="LE373" s="23"/>
      <c r="LF373" s="23"/>
      <c r="LG373" s="23"/>
      <c r="LH373" s="23"/>
      <c r="LI373" s="23"/>
      <c r="LJ373" s="23"/>
      <c r="LK373" s="23"/>
      <c r="LL373" s="23"/>
      <c r="LM373" s="23"/>
      <c r="LN373" s="23"/>
      <c r="LO373" s="23"/>
    </row>
    <row r="374" spans="1:327">
      <c r="A374" s="390"/>
      <c r="B374" s="23"/>
      <c r="C374" s="391"/>
      <c r="D374" s="391"/>
      <c r="E374" s="23"/>
      <c r="F374" s="23"/>
      <c r="G374" s="392"/>
      <c r="H374" s="392"/>
      <c r="I374" s="392"/>
      <c r="J374" s="392"/>
      <c r="K374" s="392"/>
      <c r="L374" s="392"/>
      <c r="M374" s="392"/>
      <c r="N374" s="23"/>
      <c r="O374" s="39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  <c r="IL374" s="23"/>
      <c r="IM374" s="23"/>
      <c r="IN374" s="23"/>
      <c r="IO374" s="23"/>
      <c r="IP374" s="23"/>
      <c r="IQ374" s="23"/>
      <c r="IR374" s="23"/>
      <c r="IS374" s="23"/>
      <c r="IT374" s="23"/>
      <c r="IU374" s="23"/>
      <c r="IV374" s="23"/>
      <c r="IW374" s="23"/>
      <c r="IX374" s="23"/>
      <c r="IY374" s="23"/>
      <c r="IZ374" s="23"/>
      <c r="JA374" s="23"/>
      <c r="JB374" s="23"/>
      <c r="JC374" s="23"/>
      <c r="JD374" s="23"/>
      <c r="JE374" s="23"/>
      <c r="JF374" s="23"/>
      <c r="JG374" s="23"/>
      <c r="JH374" s="23"/>
      <c r="JI374" s="23"/>
      <c r="JJ374" s="23"/>
      <c r="JK374" s="23"/>
      <c r="JL374" s="23"/>
      <c r="JM374" s="23"/>
      <c r="JN374" s="23"/>
      <c r="JO374" s="23"/>
      <c r="JP374" s="23"/>
      <c r="JQ374" s="23"/>
      <c r="JR374" s="23"/>
      <c r="JS374" s="23"/>
      <c r="JT374" s="23"/>
      <c r="JU374" s="23"/>
      <c r="JV374" s="23"/>
      <c r="JW374" s="23"/>
      <c r="JX374" s="23"/>
      <c r="JY374" s="23"/>
      <c r="JZ374" s="23"/>
      <c r="KA374" s="23"/>
      <c r="KB374" s="23"/>
      <c r="KC374" s="23"/>
      <c r="KD374" s="23"/>
      <c r="KE374" s="23"/>
      <c r="KF374" s="23"/>
      <c r="KG374" s="23"/>
      <c r="KH374" s="23"/>
      <c r="KI374" s="23"/>
      <c r="KJ374" s="23"/>
      <c r="KK374" s="23"/>
      <c r="KL374" s="23"/>
      <c r="KM374" s="23"/>
      <c r="KN374" s="23"/>
      <c r="KO374" s="23"/>
      <c r="KP374" s="23"/>
      <c r="KQ374" s="23"/>
      <c r="KR374" s="23"/>
      <c r="KS374" s="23"/>
      <c r="KT374" s="23"/>
      <c r="KU374" s="23"/>
      <c r="KV374" s="23"/>
      <c r="KW374" s="23"/>
      <c r="KX374" s="23"/>
      <c r="KY374" s="23"/>
      <c r="KZ374" s="23"/>
      <c r="LA374" s="23"/>
      <c r="LB374" s="23"/>
      <c r="LC374" s="23"/>
      <c r="LD374" s="23"/>
      <c r="LE374" s="23"/>
      <c r="LF374" s="23"/>
      <c r="LG374" s="23"/>
      <c r="LH374" s="23"/>
      <c r="LI374" s="23"/>
      <c r="LJ374" s="23"/>
      <c r="LK374" s="23"/>
      <c r="LL374" s="23"/>
      <c r="LM374" s="23"/>
      <c r="LN374" s="23"/>
      <c r="LO374" s="23"/>
    </row>
    <row r="375" spans="1:327">
      <c r="A375" s="390"/>
      <c r="B375" s="23"/>
      <c r="C375" s="391"/>
      <c r="D375" s="391"/>
      <c r="E375" s="23"/>
      <c r="F375" s="23"/>
      <c r="G375" s="392"/>
      <c r="H375" s="392"/>
      <c r="I375" s="392"/>
      <c r="J375" s="392"/>
      <c r="K375" s="392"/>
      <c r="L375" s="392"/>
      <c r="M375" s="392"/>
      <c r="N375" s="23"/>
      <c r="O375" s="39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  <c r="IL375" s="23"/>
      <c r="IM375" s="23"/>
      <c r="IN375" s="23"/>
      <c r="IO375" s="23"/>
      <c r="IP375" s="23"/>
      <c r="IQ375" s="23"/>
      <c r="IR375" s="23"/>
      <c r="IS375" s="23"/>
      <c r="IT375" s="23"/>
      <c r="IU375" s="23"/>
      <c r="IV375" s="23"/>
      <c r="IW375" s="23"/>
      <c r="IX375" s="23"/>
      <c r="IY375" s="23"/>
      <c r="IZ375" s="23"/>
      <c r="JA375" s="23"/>
      <c r="JB375" s="23"/>
      <c r="JC375" s="23"/>
      <c r="JD375" s="23"/>
      <c r="JE375" s="23"/>
      <c r="JF375" s="23"/>
      <c r="JG375" s="23"/>
      <c r="JH375" s="23"/>
      <c r="JI375" s="23"/>
      <c r="JJ375" s="23"/>
      <c r="JK375" s="23"/>
      <c r="JL375" s="23"/>
      <c r="JM375" s="23"/>
      <c r="JN375" s="23"/>
      <c r="JO375" s="23"/>
      <c r="JP375" s="23"/>
      <c r="JQ375" s="23"/>
      <c r="JR375" s="23"/>
      <c r="JS375" s="23"/>
      <c r="JT375" s="23"/>
      <c r="JU375" s="23"/>
      <c r="JV375" s="23"/>
      <c r="JW375" s="23"/>
      <c r="JX375" s="23"/>
      <c r="JY375" s="23"/>
      <c r="JZ375" s="23"/>
      <c r="KA375" s="23"/>
      <c r="KB375" s="23"/>
      <c r="KC375" s="23"/>
      <c r="KD375" s="23"/>
      <c r="KE375" s="23"/>
      <c r="KF375" s="23"/>
      <c r="KG375" s="23"/>
      <c r="KH375" s="23"/>
      <c r="KI375" s="23"/>
      <c r="KJ375" s="23"/>
      <c r="KK375" s="23"/>
      <c r="KL375" s="23"/>
      <c r="KM375" s="23"/>
      <c r="KN375" s="23"/>
      <c r="KO375" s="23"/>
      <c r="KP375" s="23"/>
      <c r="KQ375" s="23"/>
      <c r="KR375" s="23"/>
      <c r="KS375" s="23"/>
      <c r="KT375" s="23"/>
      <c r="KU375" s="23"/>
      <c r="KV375" s="23"/>
      <c r="KW375" s="23"/>
      <c r="KX375" s="23"/>
      <c r="KY375" s="23"/>
      <c r="KZ375" s="23"/>
      <c r="LA375" s="23"/>
      <c r="LB375" s="23"/>
      <c r="LC375" s="23"/>
      <c r="LD375" s="23"/>
      <c r="LE375" s="23"/>
      <c r="LF375" s="23"/>
      <c r="LG375" s="23"/>
      <c r="LH375" s="23"/>
      <c r="LI375" s="23"/>
      <c r="LJ375" s="23"/>
      <c r="LK375" s="23"/>
      <c r="LL375" s="23"/>
      <c r="LM375" s="23"/>
      <c r="LN375" s="23"/>
      <c r="LO375" s="23"/>
    </row>
    <row r="376" spans="1:327">
      <c r="A376" s="390"/>
      <c r="B376" s="23"/>
      <c r="C376" s="391"/>
      <c r="D376" s="391"/>
      <c r="E376" s="23"/>
      <c r="F376" s="23"/>
      <c r="G376" s="392"/>
      <c r="H376" s="392"/>
      <c r="I376" s="392"/>
      <c r="J376" s="392"/>
      <c r="K376" s="392"/>
      <c r="L376" s="392"/>
      <c r="M376" s="392"/>
      <c r="N376" s="23"/>
      <c r="O376" s="39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  <c r="IL376" s="23"/>
      <c r="IM376" s="23"/>
      <c r="IN376" s="23"/>
      <c r="IO376" s="23"/>
      <c r="IP376" s="23"/>
      <c r="IQ376" s="23"/>
      <c r="IR376" s="23"/>
      <c r="IS376" s="23"/>
      <c r="IT376" s="23"/>
      <c r="IU376" s="23"/>
      <c r="IV376" s="23"/>
      <c r="IW376" s="23"/>
      <c r="IX376" s="23"/>
      <c r="IY376" s="23"/>
      <c r="IZ376" s="23"/>
      <c r="JA376" s="23"/>
      <c r="JB376" s="23"/>
      <c r="JC376" s="23"/>
      <c r="JD376" s="23"/>
      <c r="JE376" s="23"/>
      <c r="JF376" s="23"/>
      <c r="JG376" s="23"/>
      <c r="JH376" s="23"/>
      <c r="JI376" s="23"/>
      <c r="JJ376" s="23"/>
      <c r="JK376" s="23"/>
      <c r="JL376" s="23"/>
      <c r="JM376" s="23"/>
      <c r="JN376" s="23"/>
      <c r="JO376" s="23"/>
      <c r="JP376" s="23"/>
      <c r="JQ376" s="23"/>
      <c r="JR376" s="23"/>
      <c r="JS376" s="23"/>
      <c r="JT376" s="23"/>
      <c r="JU376" s="23"/>
      <c r="JV376" s="23"/>
      <c r="JW376" s="23"/>
      <c r="JX376" s="23"/>
      <c r="JY376" s="23"/>
      <c r="JZ376" s="23"/>
      <c r="KA376" s="23"/>
      <c r="KB376" s="23"/>
      <c r="KC376" s="23"/>
      <c r="KD376" s="23"/>
      <c r="KE376" s="23"/>
      <c r="KF376" s="23"/>
      <c r="KG376" s="23"/>
      <c r="KH376" s="23"/>
      <c r="KI376" s="23"/>
      <c r="KJ376" s="23"/>
      <c r="KK376" s="23"/>
      <c r="KL376" s="23"/>
      <c r="KM376" s="23"/>
      <c r="KN376" s="23"/>
      <c r="KO376" s="23"/>
      <c r="KP376" s="23"/>
      <c r="KQ376" s="23"/>
      <c r="KR376" s="23"/>
      <c r="KS376" s="23"/>
      <c r="KT376" s="23"/>
      <c r="KU376" s="23"/>
      <c r="KV376" s="23"/>
      <c r="KW376" s="23"/>
      <c r="KX376" s="23"/>
      <c r="KY376" s="23"/>
      <c r="KZ376" s="23"/>
      <c r="LA376" s="23"/>
      <c r="LB376" s="23"/>
      <c r="LC376" s="23"/>
      <c r="LD376" s="23"/>
      <c r="LE376" s="23"/>
      <c r="LF376" s="23"/>
      <c r="LG376" s="23"/>
      <c r="LH376" s="23"/>
      <c r="LI376" s="23"/>
      <c r="LJ376" s="23"/>
      <c r="LK376" s="23"/>
      <c r="LL376" s="23"/>
      <c r="LM376" s="23"/>
      <c r="LN376" s="23"/>
      <c r="LO376" s="23"/>
    </row>
    <row r="377" spans="1:327">
      <c r="A377" s="390"/>
      <c r="B377" s="23"/>
      <c r="C377" s="391"/>
      <c r="D377" s="391"/>
      <c r="E377" s="23"/>
      <c r="F377" s="23"/>
      <c r="G377" s="392"/>
      <c r="H377" s="392"/>
      <c r="I377" s="392"/>
      <c r="J377" s="392"/>
      <c r="K377" s="392"/>
      <c r="L377" s="392"/>
      <c r="M377" s="392"/>
      <c r="N377" s="23"/>
      <c r="O377" s="39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  <c r="IL377" s="23"/>
      <c r="IM377" s="23"/>
      <c r="IN377" s="23"/>
      <c r="IO377" s="23"/>
      <c r="IP377" s="23"/>
      <c r="IQ377" s="23"/>
      <c r="IR377" s="23"/>
      <c r="IS377" s="23"/>
      <c r="IT377" s="23"/>
      <c r="IU377" s="23"/>
      <c r="IV377" s="23"/>
      <c r="IW377" s="23"/>
      <c r="IX377" s="23"/>
      <c r="IY377" s="23"/>
      <c r="IZ377" s="23"/>
      <c r="JA377" s="23"/>
      <c r="JB377" s="23"/>
      <c r="JC377" s="23"/>
      <c r="JD377" s="23"/>
      <c r="JE377" s="23"/>
      <c r="JF377" s="23"/>
      <c r="JG377" s="23"/>
      <c r="JH377" s="23"/>
      <c r="JI377" s="23"/>
      <c r="JJ377" s="23"/>
      <c r="JK377" s="23"/>
      <c r="JL377" s="23"/>
      <c r="JM377" s="23"/>
      <c r="JN377" s="23"/>
      <c r="JO377" s="23"/>
      <c r="JP377" s="23"/>
      <c r="JQ377" s="23"/>
      <c r="JR377" s="23"/>
      <c r="JS377" s="23"/>
      <c r="JT377" s="23"/>
      <c r="JU377" s="23"/>
      <c r="JV377" s="23"/>
      <c r="JW377" s="23"/>
      <c r="JX377" s="23"/>
      <c r="JY377" s="23"/>
      <c r="JZ377" s="23"/>
      <c r="KA377" s="23"/>
      <c r="KB377" s="23"/>
      <c r="KC377" s="23"/>
      <c r="KD377" s="23"/>
      <c r="KE377" s="23"/>
      <c r="KF377" s="23"/>
      <c r="KG377" s="23"/>
      <c r="KH377" s="23"/>
      <c r="KI377" s="23"/>
      <c r="KJ377" s="23"/>
      <c r="KK377" s="23"/>
      <c r="KL377" s="23"/>
      <c r="KM377" s="23"/>
      <c r="KN377" s="23"/>
      <c r="KO377" s="23"/>
      <c r="KP377" s="23"/>
      <c r="KQ377" s="23"/>
      <c r="KR377" s="23"/>
      <c r="KS377" s="23"/>
      <c r="KT377" s="23"/>
      <c r="KU377" s="23"/>
      <c r="KV377" s="23"/>
      <c r="KW377" s="23"/>
      <c r="KX377" s="23"/>
      <c r="KY377" s="23"/>
      <c r="KZ377" s="23"/>
      <c r="LA377" s="23"/>
      <c r="LB377" s="23"/>
      <c r="LC377" s="23"/>
      <c r="LD377" s="23"/>
      <c r="LE377" s="23"/>
      <c r="LF377" s="23"/>
      <c r="LG377" s="23"/>
      <c r="LH377" s="23"/>
      <c r="LI377" s="23"/>
      <c r="LJ377" s="23"/>
      <c r="LK377" s="23"/>
      <c r="LL377" s="23"/>
      <c r="LM377" s="23"/>
      <c r="LN377" s="23"/>
      <c r="LO377" s="23"/>
    </row>
    <row r="378" spans="1:327">
      <c r="A378" s="390"/>
      <c r="B378" s="23"/>
      <c r="C378" s="391"/>
      <c r="D378" s="391"/>
      <c r="E378" s="23"/>
      <c r="F378" s="23"/>
      <c r="G378" s="392"/>
      <c r="H378" s="392"/>
      <c r="I378" s="392"/>
      <c r="J378" s="392"/>
      <c r="K378" s="392"/>
      <c r="L378" s="392"/>
      <c r="M378" s="392"/>
      <c r="N378" s="23"/>
      <c r="O378" s="39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  <c r="IL378" s="23"/>
      <c r="IM378" s="23"/>
      <c r="IN378" s="23"/>
      <c r="IO378" s="23"/>
      <c r="IP378" s="23"/>
      <c r="IQ378" s="23"/>
      <c r="IR378" s="23"/>
      <c r="IS378" s="23"/>
      <c r="IT378" s="23"/>
      <c r="IU378" s="23"/>
      <c r="IV378" s="23"/>
      <c r="IW378" s="23"/>
      <c r="IX378" s="23"/>
      <c r="IY378" s="23"/>
      <c r="IZ378" s="23"/>
      <c r="JA378" s="23"/>
      <c r="JB378" s="23"/>
      <c r="JC378" s="23"/>
      <c r="JD378" s="23"/>
      <c r="JE378" s="23"/>
      <c r="JF378" s="23"/>
      <c r="JG378" s="23"/>
      <c r="JH378" s="23"/>
      <c r="JI378" s="23"/>
      <c r="JJ378" s="23"/>
      <c r="JK378" s="23"/>
      <c r="JL378" s="23"/>
      <c r="JM378" s="23"/>
      <c r="JN378" s="23"/>
      <c r="JO378" s="23"/>
      <c r="JP378" s="23"/>
      <c r="JQ378" s="23"/>
      <c r="JR378" s="23"/>
      <c r="JS378" s="23"/>
      <c r="JT378" s="23"/>
      <c r="JU378" s="23"/>
      <c r="JV378" s="23"/>
      <c r="JW378" s="23"/>
      <c r="JX378" s="23"/>
      <c r="JY378" s="23"/>
      <c r="JZ378" s="23"/>
      <c r="KA378" s="23"/>
      <c r="KB378" s="23"/>
      <c r="KC378" s="23"/>
      <c r="KD378" s="23"/>
      <c r="KE378" s="23"/>
      <c r="KF378" s="23"/>
      <c r="KG378" s="23"/>
      <c r="KH378" s="23"/>
      <c r="KI378" s="23"/>
      <c r="KJ378" s="23"/>
      <c r="KK378" s="23"/>
      <c r="KL378" s="23"/>
      <c r="KM378" s="23"/>
      <c r="KN378" s="23"/>
      <c r="KO378" s="23"/>
      <c r="KP378" s="23"/>
      <c r="KQ378" s="23"/>
      <c r="KR378" s="23"/>
      <c r="KS378" s="23"/>
      <c r="KT378" s="23"/>
      <c r="KU378" s="23"/>
      <c r="KV378" s="23"/>
      <c r="KW378" s="23"/>
      <c r="KX378" s="23"/>
      <c r="KY378" s="23"/>
      <c r="KZ378" s="23"/>
      <c r="LA378" s="23"/>
      <c r="LB378" s="23"/>
      <c r="LC378" s="23"/>
      <c r="LD378" s="23"/>
      <c r="LE378" s="23"/>
      <c r="LF378" s="23"/>
      <c r="LG378" s="23"/>
      <c r="LH378" s="23"/>
      <c r="LI378" s="23"/>
      <c r="LJ378" s="23"/>
      <c r="LK378" s="23"/>
      <c r="LL378" s="23"/>
      <c r="LM378" s="23"/>
      <c r="LN378" s="23"/>
      <c r="LO378" s="23"/>
    </row>
    <row r="379" spans="1:327">
      <c r="A379" s="390"/>
      <c r="B379" s="23"/>
      <c r="C379" s="391"/>
      <c r="D379" s="391"/>
      <c r="E379" s="23"/>
      <c r="F379" s="23"/>
      <c r="G379" s="392"/>
      <c r="H379" s="392"/>
      <c r="I379" s="392"/>
      <c r="J379" s="392"/>
      <c r="K379" s="392"/>
      <c r="L379" s="392"/>
      <c r="M379" s="392"/>
      <c r="N379" s="23"/>
      <c r="O379" s="39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  <c r="IL379" s="23"/>
      <c r="IM379" s="23"/>
      <c r="IN379" s="23"/>
      <c r="IO379" s="23"/>
      <c r="IP379" s="23"/>
      <c r="IQ379" s="23"/>
      <c r="IR379" s="23"/>
      <c r="IS379" s="23"/>
      <c r="IT379" s="23"/>
      <c r="IU379" s="23"/>
      <c r="IV379" s="23"/>
      <c r="IW379" s="23"/>
      <c r="IX379" s="23"/>
      <c r="IY379" s="23"/>
      <c r="IZ379" s="23"/>
      <c r="JA379" s="23"/>
      <c r="JB379" s="23"/>
      <c r="JC379" s="23"/>
      <c r="JD379" s="23"/>
      <c r="JE379" s="23"/>
      <c r="JF379" s="23"/>
      <c r="JG379" s="23"/>
      <c r="JH379" s="23"/>
      <c r="JI379" s="23"/>
      <c r="JJ379" s="23"/>
      <c r="JK379" s="23"/>
      <c r="JL379" s="23"/>
      <c r="JM379" s="23"/>
      <c r="JN379" s="23"/>
      <c r="JO379" s="23"/>
      <c r="JP379" s="23"/>
      <c r="JQ379" s="23"/>
      <c r="JR379" s="23"/>
      <c r="JS379" s="23"/>
      <c r="JT379" s="23"/>
      <c r="JU379" s="23"/>
      <c r="JV379" s="23"/>
      <c r="JW379" s="23"/>
      <c r="JX379" s="23"/>
      <c r="JY379" s="23"/>
      <c r="JZ379" s="23"/>
      <c r="KA379" s="23"/>
      <c r="KB379" s="23"/>
      <c r="KC379" s="23"/>
      <c r="KD379" s="23"/>
      <c r="KE379" s="23"/>
      <c r="KF379" s="23"/>
      <c r="KG379" s="23"/>
      <c r="KH379" s="23"/>
      <c r="KI379" s="23"/>
      <c r="KJ379" s="23"/>
      <c r="KK379" s="23"/>
      <c r="KL379" s="23"/>
      <c r="KM379" s="23"/>
      <c r="KN379" s="23"/>
      <c r="KO379" s="23"/>
      <c r="KP379" s="23"/>
      <c r="KQ379" s="23"/>
      <c r="KR379" s="23"/>
      <c r="KS379" s="23"/>
      <c r="KT379" s="23"/>
      <c r="KU379" s="23"/>
      <c r="KV379" s="23"/>
      <c r="KW379" s="23"/>
      <c r="KX379" s="23"/>
      <c r="KY379" s="23"/>
      <c r="KZ379" s="23"/>
      <c r="LA379" s="23"/>
      <c r="LB379" s="23"/>
      <c r="LC379" s="23"/>
      <c r="LD379" s="23"/>
      <c r="LE379" s="23"/>
      <c r="LF379" s="23"/>
      <c r="LG379" s="23"/>
      <c r="LH379" s="23"/>
      <c r="LI379" s="23"/>
      <c r="LJ379" s="23"/>
      <c r="LK379" s="23"/>
      <c r="LL379" s="23"/>
      <c r="LM379" s="23"/>
      <c r="LN379" s="23"/>
      <c r="LO379" s="23"/>
    </row>
    <row r="380" spans="1:327">
      <c r="A380" s="390"/>
      <c r="B380" s="23"/>
      <c r="C380" s="391"/>
      <c r="D380" s="391"/>
      <c r="E380" s="23"/>
      <c r="F380" s="23"/>
      <c r="G380" s="392"/>
      <c r="H380" s="392"/>
      <c r="I380" s="392"/>
      <c r="J380" s="392"/>
      <c r="K380" s="392"/>
      <c r="L380" s="392"/>
      <c r="M380" s="392"/>
      <c r="N380" s="23"/>
      <c r="O380" s="39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  <c r="IL380" s="23"/>
      <c r="IM380" s="23"/>
      <c r="IN380" s="23"/>
      <c r="IO380" s="23"/>
      <c r="IP380" s="23"/>
      <c r="IQ380" s="23"/>
      <c r="IR380" s="23"/>
      <c r="IS380" s="23"/>
      <c r="IT380" s="23"/>
      <c r="IU380" s="23"/>
      <c r="IV380" s="23"/>
      <c r="IW380" s="23"/>
      <c r="IX380" s="23"/>
      <c r="IY380" s="23"/>
      <c r="IZ380" s="23"/>
      <c r="JA380" s="23"/>
      <c r="JB380" s="23"/>
      <c r="JC380" s="23"/>
      <c r="JD380" s="23"/>
      <c r="JE380" s="23"/>
      <c r="JF380" s="23"/>
      <c r="JG380" s="23"/>
      <c r="JH380" s="23"/>
      <c r="JI380" s="23"/>
      <c r="JJ380" s="23"/>
      <c r="JK380" s="23"/>
      <c r="JL380" s="23"/>
      <c r="JM380" s="23"/>
      <c r="JN380" s="23"/>
      <c r="JO380" s="23"/>
      <c r="JP380" s="23"/>
      <c r="JQ380" s="23"/>
      <c r="JR380" s="23"/>
      <c r="JS380" s="23"/>
      <c r="JT380" s="23"/>
      <c r="JU380" s="23"/>
      <c r="JV380" s="23"/>
      <c r="JW380" s="23"/>
      <c r="JX380" s="23"/>
      <c r="JY380" s="23"/>
      <c r="JZ380" s="23"/>
      <c r="KA380" s="23"/>
      <c r="KB380" s="23"/>
      <c r="KC380" s="23"/>
      <c r="KD380" s="23"/>
      <c r="KE380" s="23"/>
      <c r="KF380" s="23"/>
      <c r="KG380" s="23"/>
      <c r="KH380" s="23"/>
      <c r="KI380" s="23"/>
      <c r="KJ380" s="23"/>
      <c r="KK380" s="23"/>
      <c r="KL380" s="23"/>
      <c r="KM380" s="23"/>
      <c r="KN380" s="23"/>
      <c r="KO380" s="23"/>
      <c r="KP380" s="23"/>
      <c r="KQ380" s="23"/>
      <c r="KR380" s="23"/>
      <c r="KS380" s="23"/>
      <c r="KT380" s="23"/>
      <c r="KU380" s="23"/>
      <c r="KV380" s="23"/>
      <c r="KW380" s="23"/>
      <c r="KX380" s="23"/>
      <c r="KY380" s="23"/>
      <c r="KZ380" s="23"/>
      <c r="LA380" s="23"/>
      <c r="LB380" s="23"/>
      <c r="LC380" s="23"/>
      <c r="LD380" s="23"/>
      <c r="LE380" s="23"/>
      <c r="LF380" s="23"/>
      <c r="LG380" s="23"/>
      <c r="LH380" s="23"/>
      <c r="LI380" s="23"/>
      <c r="LJ380" s="23"/>
      <c r="LK380" s="23"/>
      <c r="LL380" s="23"/>
      <c r="LM380" s="23"/>
      <c r="LN380" s="23"/>
      <c r="LO380" s="23"/>
    </row>
    <row r="381" spans="1:327">
      <c r="A381" s="390"/>
      <c r="B381" s="23"/>
      <c r="C381" s="391"/>
      <c r="D381" s="391"/>
      <c r="E381" s="23"/>
      <c r="F381" s="23"/>
      <c r="G381" s="392"/>
      <c r="H381" s="392"/>
      <c r="I381" s="392"/>
      <c r="J381" s="392"/>
      <c r="K381" s="392"/>
      <c r="L381" s="392"/>
      <c r="M381" s="392"/>
      <c r="N381" s="23"/>
      <c r="O381" s="39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  <c r="IL381" s="23"/>
      <c r="IM381" s="23"/>
      <c r="IN381" s="23"/>
      <c r="IO381" s="23"/>
      <c r="IP381" s="23"/>
      <c r="IQ381" s="23"/>
      <c r="IR381" s="23"/>
      <c r="IS381" s="23"/>
      <c r="IT381" s="23"/>
      <c r="IU381" s="23"/>
      <c r="IV381" s="23"/>
      <c r="IW381" s="23"/>
      <c r="IX381" s="23"/>
      <c r="IY381" s="23"/>
      <c r="IZ381" s="23"/>
      <c r="JA381" s="23"/>
      <c r="JB381" s="23"/>
      <c r="JC381" s="23"/>
      <c r="JD381" s="23"/>
      <c r="JE381" s="23"/>
      <c r="JF381" s="23"/>
      <c r="JG381" s="23"/>
      <c r="JH381" s="23"/>
      <c r="JI381" s="23"/>
      <c r="JJ381" s="23"/>
      <c r="JK381" s="23"/>
      <c r="JL381" s="23"/>
      <c r="JM381" s="23"/>
      <c r="JN381" s="23"/>
      <c r="JO381" s="23"/>
      <c r="JP381" s="23"/>
      <c r="JQ381" s="23"/>
      <c r="JR381" s="23"/>
      <c r="JS381" s="23"/>
      <c r="JT381" s="23"/>
      <c r="JU381" s="23"/>
      <c r="JV381" s="23"/>
      <c r="JW381" s="23"/>
      <c r="JX381" s="23"/>
      <c r="JY381" s="23"/>
      <c r="JZ381" s="23"/>
      <c r="KA381" s="23"/>
      <c r="KB381" s="23"/>
      <c r="KC381" s="23"/>
      <c r="KD381" s="23"/>
      <c r="KE381" s="23"/>
      <c r="KF381" s="23"/>
      <c r="KG381" s="23"/>
      <c r="KH381" s="23"/>
      <c r="KI381" s="23"/>
      <c r="KJ381" s="23"/>
      <c r="KK381" s="23"/>
      <c r="KL381" s="23"/>
      <c r="KM381" s="23"/>
      <c r="KN381" s="23"/>
      <c r="KO381" s="23"/>
      <c r="KP381" s="23"/>
      <c r="KQ381" s="23"/>
      <c r="KR381" s="23"/>
      <c r="KS381" s="23"/>
      <c r="KT381" s="23"/>
      <c r="KU381" s="23"/>
      <c r="KV381" s="23"/>
      <c r="KW381" s="23"/>
      <c r="KX381" s="23"/>
      <c r="KY381" s="23"/>
      <c r="KZ381" s="23"/>
      <c r="LA381" s="23"/>
      <c r="LB381" s="23"/>
      <c r="LC381" s="23"/>
      <c r="LD381" s="23"/>
      <c r="LE381" s="23"/>
      <c r="LF381" s="23"/>
      <c r="LG381" s="23"/>
      <c r="LH381" s="23"/>
      <c r="LI381" s="23"/>
      <c r="LJ381" s="23"/>
      <c r="LK381" s="23"/>
      <c r="LL381" s="23"/>
      <c r="LM381" s="23"/>
      <c r="LN381" s="23"/>
      <c r="LO381" s="23"/>
    </row>
    <row r="382" spans="1:327">
      <c r="A382" s="390"/>
      <c r="B382" s="23"/>
      <c r="C382" s="391"/>
      <c r="D382" s="391"/>
      <c r="E382" s="23"/>
      <c r="F382" s="23"/>
      <c r="G382" s="392"/>
      <c r="H382" s="392"/>
      <c r="I382" s="392"/>
      <c r="J382" s="392"/>
      <c r="K382" s="392"/>
      <c r="L382" s="392"/>
      <c r="M382" s="392"/>
      <c r="N382" s="23"/>
      <c r="O382" s="39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  <c r="IL382" s="23"/>
      <c r="IM382" s="23"/>
      <c r="IN382" s="23"/>
      <c r="IO382" s="23"/>
      <c r="IP382" s="23"/>
      <c r="IQ382" s="23"/>
      <c r="IR382" s="23"/>
      <c r="IS382" s="23"/>
      <c r="IT382" s="23"/>
      <c r="IU382" s="23"/>
      <c r="IV382" s="23"/>
      <c r="IW382" s="23"/>
      <c r="IX382" s="23"/>
      <c r="IY382" s="23"/>
      <c r="IZ382" s="23"/>
      <c r="JA382" s="23"/>
      <c r="JB382" s="23"/>
      <c r="JC382" s="23"/>
      <c r="JD382" s="23"/>
      <c r="JE382" s="23"/>
      <c r="JF382" s="23"/>
      <c r="JG382" s="23"/>
      <c r="JH382" s="23"/>
      <c r="JI382" s="23"/>
      <c r="JJ382" s="23"/>
      <c r="JK382" s="23"/>
      <c r="JL382" s="23"/>
      <c r="JM382" s="23"/>
      <c r="JN382" s="23"/>
      <c r="JO382" s="23"/>
      <c r="JP382" s="23"/>
      <c r="JQ382" s="23"/>
      <c r="JR382" s="23"/>
      <c r="JS382" s="23"/>
      <c r="JT382" s="23"/>
      <c r="JU382" s="23"/>
      <c r="JV382" s="23"/>
      <c r="JW382" s="23"/>
      <c r="JX382" s="23"/>
      <c r="JY382" s="23"/>
      <c r="JZ382" s="23"/>
      <c r="KA382" s="23"/>
      <c r="KB382" s="23"/>
      <c r="KC382" s="23"/>
      <c r="KD382" s="23"/>
      <c r="KE382" s="23"/>
      <c r="KF382" s="23"/>
      <c r="KG382" s="23"/>
      <c r="KH382" s="23"/>
      <c r="KI382" s="23"/>
      <c r="KJ382" s="23"/>
      <c r="KK382" s="23"/>
      <c r="KL382" s="23"/>
      <c r="KM382" s="23"/>
      <c r="KN382" s="23"/>
      <c r="KO382" s="23"/>
      <c r="KP382" s="23"/>
      <c r="KQ382" s="23"/>
      <c r="KR382" s="23"/>
      <c r="KS382" s="23"/>
      <c r="KT382" s="23"/>
      <c r="KU382" s="23"/>
      <c r="KV382" s="23"/>
      <c r="KW382" s="23"/>
      <c r="KX382" s="23"/>
      <c r="KY382" s="23"/>
      <c r="KZ382" s="23"/>
      <c r="LA382" s="23"/>
      <c r="LB382" s="23"/>
      <c r="LC382" s="23"/>
      <c r="LD382" s="23"/>
      <c r="LE382" s="23"/>
      <c r="LF382" s="23"/>
      <c r="LG382" s="23"/>
      <c r="LH382" s="23"/>
      <c r="LI382" s="23"/>
      <c r="LJ382" s="23"/>
      <c r="LK382" s="23"/>
      <c r="LL382" s="23"/>
      <c r="LM382" s="23"/>
      <c r="LN382" s="23"/>
      <c r="LO382" s="23"/>
    </row>
    <row r="383" spans="1:327">
      <c r="A383" s="390"/>
      <c r="B383" s="23"/>
      <c r="C383" s="391"/>
      <c r="D383" s="391"/>
      <c r="E383" s="23"/>
      <c r="F383" s="23"/>
      <c r="G383" s="392"/>
      <c r="H383" s="392"/>
      <c r="I383" s="392"/>
      <c r="J383" s="392"/>
      <c r="K383" s="392"/>
      <c r="L383" s="392"/>
      <c r="M383" s="392"/>
      <c r="N383" s="23"/>
      <c r="O383" s="39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  <c r="IL383" s="23"/>
      <c r="IM383" s="23"/>
      <c r="IN383" s="23"/>
      <c r="IO383" s="23"/>
      <c r="IP383" s="23"/>
      <c r="IQ383" s="23"/>
      <c r="IR383" s="23"/>
      <c r="IS383" s="23"/>
      <c r="IT383" s="23"/>
      <c r="IU383" s="23"/>
      <c r="IV383" s="23"/>
      <c r="IW383" s="23"/>
      <c r="IX383" s="23"/>
      <c r="IY383" s="23"/>
      <c r="IZ383" s="23"/>
      <c r="JA383" s="23"/>
      <c r="JB383" s="23"/>
      <c r="JC383" s="23"/>
      <c r="JD383" s="23"/>
      <c r="JE383" s="23"/>
      <c r="JF383" s="23"/>
      <c r="JG383" s="23"/>
      <c r="JH383" s="23"/>
      <c r="JI383" s="23"/>
      <c r="JJ383" s="23"/>
      <c r="JK383" s="23"/>
      <c r="JL383" s="23"/>
      <c r="JM383" s="23"/>
      <c r="JN383" s="23"/>
      <c r="JO383" s="23"/>
      <c r="JP383" s="23"/>
      <c r="JQ383" s="23"/>
      <c r="JR383" s="23"/>
      <c r="JS383" s="23"/>
      <c r="JT383" s="23"/>
      <c r="JU383" s="23"/>
      <c r="JV383" s="23"/>
      <c r="JW383" s="23"/>
      <c r="JX383" s="23"/>
      <c r="JY383" s="23"/>
      <c r="JZ383" s="23"/>
      <c r="KA383" s="23"/>
      <c r="KB383" s="23"/>
      <c r="KC383" s="23"/>
      <c r="KD383" s="23"/>
      <c r="KE383" s="23"/>
      <c r="KF383" s="23"/>
      <c r="KG383" s="23"/>
      <c r="KH383" s="23"/>
      <c r="KI383" s="23"/>
      <c r="KJ383" s="23"/>
      <c r="KK383" s="23"/>
      <c r="KL383" s="23"/>
      <c r="KM383" s="23"/>
      <c r="KN383" s="23"/>
      <c r="KO383" s="23"/>
      <c r="KP383" s="23"/>
      <c r="KQ383" s="23"/>
      <c r="KR383" s="23"/>
      <c r="KS383" s="23"/>
      <c r="KT383" s="23"/>
      <c r="KU383" s="23"/>
      <c r="KV383" s="23"/>
      <c r="KW383" s="23"/>
      <c r="KX383" s="23"/>
      <c r="KY383" s="23"/>
      <c r="KZ383" s="23"/>
      <c r="LA383" s="23"/>
      <c r="LB383" s="23"/>
      <c r="LC383" s="23"/>
      <c r="LD383" s="23"/>
      <c r="LE383" s="23"/>
      <c r="LF383" s="23"/>
      <c r="LG383" s="23"/>
      <c r="LH383" s="23"/>
      <c r="LI383" s="23"/>
      <c r="LJ383" s="23"/>
      <c r="LK383" s="23"/>
      <c r="LL383" s="23"/>
      <c r="LM383" s="23"/>
      <c r="LN383" s="23"/>
      <c r="LO383" s="23"/>
    </row>
    <row r="384" spans="1:327">
      <c r="A384" s="390"/>
      <c r="B384" s="23"/>
      <c r="C384" s="391"/>
      <c r="D384" s="391"/>
      <c r="E384" s="23"/>
      <c r="F384" s="23"/>
      <c r="G384" s="392"/>
      <c r="H384" s="392"/>
      <c r="I384" s="392"/>
      <c r="J384" s="392"/>
      <c r="K384" s="392"/>
      <c r="L384" s="392"/>
      <c r="M384" s="392"/>
      <c r="N384" s="23"/>
      <c r="O384" s="39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  <c r="IL384" s="23"/>
      <c r="IM384" s="23"/>
      <c r="IN384" s="23"/>
      <c r="IO384" s="23"/>
      <c r="IP384" s="23"/>
      <c r="IQ384" s="23"/>
      <c r="IR384" s="23"/>
      <c r="IS384" s="23"/>
      <c r="IT384" s="23"/>
      <c r="IU384" s="23"/>
      <c r="IV384" s="23"/>
      <c r="IW384" s="23"/>
      <c r="IX384" s="23"/>
      <c r="IY384" s="23"/>
      <c r="IZ384" s="23"/>
      <c r="JA384" s="23"/>
      <c r="JB384" s="23"/>
      <c r="JC384" s="23"/>
      <c r="JD384" s="23"/>
      <c r="JE384" s="23"/>
      <c r="JF384" s="23"/>
      <c r="JG384" s="23"/>
      <c r="JH384" s="23"/>
      <c r="JI384" s="23"/>
      <c r="JJ384" s="23"/>
      <c r="JK384" s="23"/>
      <c r="JL384" s="23"/>
      <c r="JM384" s="23"/>
      <c r="JN384" s="23"/>
      <c r="JO384" s="23"/>
      <c r="JP384" s="23"/>
      <c r="JQ384" s="23"/>
      <c r="JR384" s="23"/>
      <c r="JS384" s="23"/>
      <c r="JT384" s="23"/>
      <c r="JU384" s="23"/>
      <c r="JV384" s="23"/>
      <c r="JW384" s="23"/>
      <c r="JX384" s="23"/>
      <c r="JY384" s="23"/>
      <c r="JZ384" s="23"/>
      <c r="KA384" s="23"/>
      <c r="KB384" s="23"/>
      <c r="KC384" s="23"/>
      <c r="KD384" s="23"/>
      <c r="KE384" s="23"/>
      <c r="KF384" s="23"/>
      <c r="KG384" s="23"/>
      <c r="KH384" s="23"/>
      <c r="KI384" s="23"/>
      <c r="KJ384" s="23"/>
      <c r="KK384" s="23"/>
      <c r="KL384" s="23"/>
      <c r="KM384" s="23"/>
      <c r="KN384" s="23"/>
      <c r="KO384" s="23"/>
      <c r="KP384" s="23"/>
      <c r="KQ384" s="23"/>
      <c r="KR384" s="23"/>
      <c r="KS384" s="23"/>
      <c r="KT384" s="23"/>
      <c r="KU384" s="23"/>
      <c r="KV384" s="23"/>
      <c r="KW384" s="23"/>
      <c r="KX384" s="23"/>
      <c r="KY384" s="23"/>
      <c r="KZ384" s="23"/>
      <c r="LA384" s="23"/>
      <c r="LB384" s="23"/>
      <c r="LC384" s="23"/>
      <c r="LD384" s="23"/>
      <c r="LE384" s="23"/>
      <c r="LF384" s="23"/>
      <c r="LG384" s="23"/>
      <c r="LH384" s="23"/>
      <c r="LI384" s="23"/>
      <c r="LJ384" s="23"/>
      <c r="LK384" s="23"/>
      <c r="LL384" s="23"/>
      <c r="LM384" s="23"/>
      <c r="LN384" s="23"/>
      <c r="LO384" s="23"/>
    </row>
    <row r="385" spans="1:327">
      <c r="A385" s="390"/>
      <c r="B385" s="23"/>
      <c r="C385" s="391"/>
      <c r="D385" s="391"/>
      <c r="E385" s="23"/>
      <c r="F385" s="23"/>
      <c r="G385" s="392"/>
      <c r="H385" s="392"/>
      <c r="I385" s="392"/>
      <c r="J385" s="392"/>
      <c r="K385" s="392"/>
      <c r="L385" s="392"/>
      <c r="M385" s="392"/>
      <c r="N385" s="23"/>
      <c r="O385" s="39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  <c r="IL385" s="23"/>
      <c r="IM385" s="23"/>
      <c r="IN385" s="23"/>
      <c r="IO385" s="23"/>
      <c r="IP385" s="23"/>
      <c r="IQ385" s="23"/>
      <c r="IR385" s="23"/>
      <c r="IS385" s="23"/>
      <c r="IT385" s="23"/>
      <c r="IU385" s="23"/>
      <c r="IV385" s="23"/>
      <c r="IW385" s="23"/>
      <c r="IX385" s="23"/>
      <c r="IY385" s="23"/>
      <c r="IZ385" s="23"/>
      <c r="JA385" s="23"/>
      <c r="JB385" s="23"/>
      <c r="JC385" s="23"/>
      <c r="JD385" s="23"/>
      <c r="JE385" s="23"/>
      <c r="JF385" s="23"/>
      <c r="JG385" s="23"/>
      <c r="JH385" s="23"/>
      <c r="JI385" s="23"/>
      <c r="JJ385" s="23"/>
      <c r="JK385" s="23"/>
      <c r="JL385" s="23"/>
      <c r="JM385" s="23"/>
      <c r="JN385" s="23"/>
      <c r="JO385" s="23"/>
      <c r="JP385" s="23"/>
      <c r="JQ385" s="23"/>
      <c r="JR385" s="23"/>
      <c r="JS385" s="23"/>
      <c r="JT385" s="23"/>
      <c r="JU385" s="23"/>
      <c r="JV385" s="23"/>
      <c r="JW385" s="23"/>
      <c r="JX385" s="23"/>
      <c r="JY385" s="23"/>
      <c r="JZ385" s="23"/>
      <c r="KA385" s="23"/>
      <c r="KB385" s="23"/>
      <c r="KC385" s="23"/>
      <c r="KD385" s="23"/>
      <c r="KE385" s="23"/>
      <c r="KF385" s="23"/>
      <c r="KG385" s="23"/>
      <c r="KH385" s="23"/>
      <c r="KI385" s="23"/>
      <c r="KJ385" s="23"/>
      <c r="KK385" s="23"/>
      <c r="KL385" s="23"/>
      <c r="KM385" s="23"/>
      <c r="KN385" s="23"/>
      <c r="KO385" s="23"/>
      <c r="KP385" s="23"/>
      <c r="KQ385" s="23"/>
      <c r="KR385" s="23"/>
      <c r="KS385" s="23"/>
      <c r="KT385" s="23"/>
      <c r="KU385" s="23"/>
      <c r="KV385" s="23"/>
      <c r="KW385" s="23"/>
      <c r="KX385" s="23"/>
      <c r="KY385" s="23"/>
      <c r="KZ385" s="23"/>
      <c r="LA385" s="23"/>
      <c r="LB385" s="23"/>
      <c r="LC385" s="23"/>
      <c r="LD385" s="23"/>
      <c r="LE385" s="23"/>
      <c r="LF385" s="23"/>
      <c r="LG385" s="23"/>
      <c r="LH385" s="23"/>
      <c r="LI385" s="23"/>
      <c r="LJ385" s="23"/>
      <c r="LK385" s="23"/>
      <c r="LL385" s="23"/>
      <c r="LM385" s="23"/>
      <c r="LN385" s="23"/>
      <c r="LO385" s="23"/>
    </row>
    <row r="386" spans="1:327">
      <c r="A386" s="390"/>
      <c r="B386" s="23"/>
      <c r="C386" s="391"/>
      <c r="D386" s="391"/>
      <c r="E386" s="23"/>
      <c r="F386" s="23"/>
      <c r="G386" s="392"/>
      <c r="H386" s="392"/>
      <c r="I386" s="392"/>
      <c r="J386" s="392"/>
      <c r="K386" s="392"/>
      <c r="L386" s="392"/>
      <c r="M386" s="392"/>
      <c r="N386" s="23"/>
      <c r="O386" s="39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  <c r="IL386" s="23"/>
      <c r="IM386" s="23"/>
      <c r="IN386" s="23"/>
      <c r="IO386" s="23"/>
      <c r="IP386" s="23"/>
      <c r="IQ386" s="23"/>
      <c r="IR386" s="23"/>
      <c r="IS386" s="23"/>
      <c r="IT386" s="23"/>
      <c r="IU386" s="23"/>
      <c r="IV386" s="23"/>
      <c r="IW386" s="23"/>
      <c r="IX386" s="23"/>
      <c r="IY386" s="23"/>
      <c r="IZ386" s="23"/>
      <c r="JA386" s="23"/>
      <c r="JB386" s="23"/>
      <c r="JC386" s="23"/>
      <c r="JD386" s="23"/>
      <c r="JE386" s="23"/>
      <c r="JF386" s="23"/>
      <c r="JG386" s="23"/>
      <c r="JH386" s="23"/>
      <c r="JI386" s="23"/>
      <c r="JJ386" s="23"/>
      <c r="JK386" s="23"/>
      <c r="JL386" s="23"/>
      <c r="JM386" s="23"/>
      <c r="JN386" s="23"/>
      <c r="JO386" s="23"/>
      <c r="JP386" s="23"/>
      <c r="JQ386" s="23"/>
      <c r="JR386" s="23"/>
      <c r="JS386" s="23"/>
      <c r="JT386" s="23"/>
      <c r="JU386" s="23"/>
      <c r="JV386" s="23"/>
      <c r="JW386" s="23"/>
      <c r="JX386" s="23"/>
      <c r="JY386" s="23"/>
      <c r="JZ386" s="23"/>
      <c r="KA386" s="23"/>
      <c r="KB386" s="23"/>
      <c r="KC386" s="23"/>
      <c r="KD386" s="23"/>
      <c r="KE386" s="23"/>
      <c r="KF386" s="23"/>
      <c r="KG386" s="23"/>
      <c r="KH386" s="23"/>
      <c r="KI386" s="23"/>
      <c r="KJ386" s="23"/>
      <c r="KK386" s="23"/>
      <c r="KL386" s="23"/>
      <c r="KM386" s="23"/>
      <c r="KN386" s="23"/>
      <c r="KO386" s="23"/>
      <c r="KP386" s="23"/>
      <c r="KQ386" s="23"/>
      <c r="KR386" s="23"/>
      <c r="KS386" s="23"/>
      <c r="KT386" s="23"/>
      <c r="KU386" s="23"/>
      <c r="KV386" s="23"/>
      <c r="KW386" s="23"/>
      <c r="KX386" s="23"/>
      <c r="KY386" s="23"/>
      <c r="KZ386" s="23"/>
      <c r="LA386" s="23"/>
      <c r="LB386" s="23"/>
      <c r="LC386" s="23"/>
      <c r="LD386" s="23"/>
      <c r="LE386" s="23"/>
      <c r="LF386" s="23"/>
      <c r="LG386" s="23"/>
      <c r="LH386" s="23"/>
      <c r="LI386" s="23"/>
      <c r="LJ386" s="23"/>
      <c r="LK386" s="23"/>
      <c r="LL386" s="23"/>
      <c r="LM386" s="23"/>
      <c r="LN386" s="23"/>
      <c r="LO386" s="23"/>
    </row>
    <row r="387" spans="1:327">
      <c r="A387" s="390"/>
      <c r="B387" s="23"/>
      <c r="C387" s="391"/>
      <c r="D387" s="391"/>
      <c r="E387" s="23"/>
      <c r="F387" s="23"/>
      <c r="G387" s="392"/>
      <c r="H387" s="392"/>
      <c r="I387" s="392"/>
      <c r="J387" s="392"/>
      <c r="K387" s="392"/>
      <c r="L387" s="392"/>
      <c r="M387" s="392"/>
      <c r="N387" s="23"/>
      <c r="O387" s="39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  <c r="IL387" s="23"/>
      <c r="IM387" s="23"/>
      <c r="IN387" s="23"/>
      <c r="IO387" s="23"/>
      <c r="IP387" s="23"/>
      <c r="IQ387" s="23"/>
      <c r="IR387" s="23"/>
      <c r="IS387" s="23"/>
      <c r="IT387" s="23"/>
      <c r="IU387" s="23"/>
      <c r="IV387" s="23"/>
      <c r="IW387" s="23"/>
      <c r="IX387" s="23"/>
      <c r="IY387" s="23"/>
      <c r="IZ387" s="23"/>
      <c r="JA387" s="23"/>
      <c r="JB387" s="23"/>
      <c r="JC387" s="23"/>
      <c r="JD387" s="23"/>
      <c r="JE387" s="23"/>
      <c r="JF387" s="23"/>
      <c r="JG387" s="23"/>
      <c r="JH387" s="23"/>
      <c r="JI387" s="23"/>
      <c r="JJ387" s="23"/>
      <c r="JK387" s="23"/>
      <c r="JL387" s="23"/>
      <c r="JM387" s="23"/>
      <c r="JN387" s="23"/>
      <c r="JO387" s="23"/>
      <c r="JP387" s="23"/>
      <c r="JQ387" s="23"/>
      <c r="JR387" s="23"/>
      <c r="JS387" s="23"/>
      <c r="JT387" s="23"/>
      <c r="JU387" s="23"/>
      <c r="JV387" s="23"/>
      <c r="JW387" s="23"/>
      <c r="JX387" s="23"/>
      <c r="JY387" s="23"/>
      <c r="JZ387" s="23"/>
      <c r="KA387" s="23"/>
      <c r="KB387" s="23"/>
      <c r="KC387" s="23"/>
      <c r="KD387" s="23"/>
      <c r="KE387" s="23"/>
      <c r="KF387" s="23"/>
      <c r="KG387" s="23"/>
      <c r="KH387" s="23"/>
      <c r="KI387" s="23"/>
      <c r="KJ387" s="23"/>
      <c r="KK387" s="23"/>
      <c r="KL387" s="23"/>
      <c r="KM387" s="23"/>
      <c r="KN387" s="23"/>
      <c r="KO387" s="23"/>
      <c r="KP387" s="23"/>
      <c r="KQ387" s="23"/>
      <c r="KR387" s="23"/>
      <c r="KS387" s="23"/>
      <c r="KT387" s="23"/>
      <c r="KU387" s="23"/>
      <c r="KV387" s="23"/>
      <c r="KW387" s="23"/>
      <c r="KX387" s="23"/>
      <c r="KY387" s="23"/>
      <c r="KZ387" s="23"/>
      <c r="LA387" s="23"/>
      <c r="LB387" s="23"/>
      <c r="LC387" s="23"/>
      <c r="LD387" s="23"/>
      <c r="LE387" s="23"/>
      <c r="LF387" s="23"/>
      <c r="LG387" s="23"/>
      <c r="LH387" s="23"/>
      <c r="LI387" s="23"/>
      <c r="LJ387" s="23"/>
      <c r="LK387" s="23"/>
      <c r="LL387" s="23"/>
      <c r="LM387" s="23"/>
      <c r="LN387" s="23"/>
      <c r="LO387" s="23"/>
    </row>
    <row r="388" spans="1:327">
      <c r="A388" s="390"/>
      <c r="B388" s="23"/>
      <c r="C388" s="391"/>
      <c r="D388" s="391"/>
      <c r="E388" s="23"/>
      <c r="F388" s="23"/>
      <c r="G388" s="392"/>
      <c r="H388" s="392"/>
      <c r="I388" s="392"/>
      <c r="J388" s="392"/>
      <c r="K388" s="392"/>
      <c r="L388" s="392"/>
      <c r="M388" s="392"/>
      <c r="N388" s="23"/>
      <c r="O388" s="39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  <c r="IL388" s="23"/>
      <c r="IM388" s="23"/>
      <c r="IN388" s="23"/>
      <c r="IO388" s="23"/>
      <c r="IP388" s="23"/>
      <c r="IQ388" s="23"/>
      <c r="IR388" s="23"/>
      <c r="IS388" s="23"/>
      <c r="IT388" s="23"/>
      <c r="IU388" s="23"/>
      <c r="IV388" s="23"/>
      <c r="IW388" s="23"/>
      <c r="IX388" s="23"/>
      <c r="IY388" s="23"/>
      <c r="IZ388" s="23"/>
      <c r="JA388" s="23"/>
      <c r="JB388" s="23"/>
      <c r="JC388" s="23"/>
      <c r="JD388" s="23"/>
      <c r="JE388" s="23"/>
      <c r="JF388" s="23"/>
      <c r="JG388" s="23"/>
      <c r="JH388" s="23"/>
      <c r="JI388" s="23"/>
      <c r="JJ388" s="23"/>
      <c r="JK388" s="23"/>
      <c r="JL388" s="23"/>
      <c r="JM388" s="23"/>
      <c r="JN388" s="23"/>
      <c r="JO388" s="23"/>
      <c r="JP388" s="23"/>
      <c r="JQ388" s="23"/>
      <c r="JR388" s="23"/>
      <c r="JS388" s="23"/>
      <c r="JT388" s="23"/>
      <c r="JU388" s="23"/>
      <c r="JV388" s="23"/>
      <c r="JW388" s="23"/>
      <c r="JX388" s="23"/>
      <c r="JY388" s="23"/>
      <c r="JZ388" s="23"/>
      <c r="KA388" s="23"/>
      <c r="KB388" s="23"/>
      <c r="KC388" s="23"/>
      <c r="KD388" s="23"/>
      <c r="KE388" s="23"/>
      <c r="KF388" s="23"/>
      <c r="KG388" s="23"/>
      <c r="KH388" s="23"/>
      <c r="KI388" s="23"/>
      <c r="KJ388" s="23"/>
      <c r="KK388" s="23"/>
      <c r="KL388" s="23"/>
      <c r="KM388" s="23"/>
      <c r="KN388" s="23"/>
      <c r="KO388" s="23"/>
      <c r="KP388" s="23"/>
      <c r="KQ388" s="23"/>
      <c r="KR388" s="23"/>
      <c r="KS388" s="23"/>
      <c r="KT388" s="23"/>
      <c r="KU388" s="23"/>
      <c r="KV388" s="23"/>
      <c r="KW388" s="23"/>
      <c r="KX388" s="23"/>
      <c r="KY388" s="23"/>
      <c r="KZ388" s="23"/>
      <c r="LA388" s="23"/>
      <c r="LB388" s="23"/>
      <c r="LC388" s="23"/>
      <c r="LD388" s="23"/>
      <c r="LE388" s="23"/>
      <c r="LF388" s="23"/>
      <c r="LG388" s="23"/>
      <c r="LH388" s="23"/>
      <c r="LI388" s="23"/>
      <c r="LJ388" s="23"/>
      <c r="LK388" s="23"/>
      <c r="LL388" s="23"/>
      <c r="LM388" s="23"/>
      <c r="LN388" s="23"/>
      <c r="LO388" s="23"/>
    </row>
    <row r="389" spans="1:327">
      <c r="A389" s="390"/>
      <c r="B389" s="23"/>
      <c r="C389" s="391"/>
      <c r="D389" s="391"/>
      <c r="E389" s="23"/>
      <c r="F389" s="23"/>
      <c r="G389" s="392"/>
      <c r="H389" s="392"/>
      <c r="I389" s="392"/>
      <c r="J389" s="392"/>
      <c r="K389" s="392"/>
      <c r="L389" s="392"/>
      <c r="M389" s="392"/>
      <c r="N389" s="23"/>
      <c r="O389" s="39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  <c r="IL389" s="23"/>
      <c r="IM389" s="23"/>
      <c r="IN389" s="23"/>
      <c r="IO389" s="23"/>
      <c r="IP389" s="23"/>
      <c r="IQ389" s="23"/>
      <c r="IR389" s="23"/>
      <c r="IS389" s="23"/>
      <c r="IT389" s="23"/>
      <c r="IU389" s="23"/>
      <c r="IV389" s="23"/>
      <c r="IW389" s="23"/>
      <c r="IX389" s="23"/>
      <c r="IY389" s="23"/>
      <c r="IZ389" s="23"/>
      <c r="JA389" s="23"/>
      <c r="JB389" s="23"/>
      <c r="JC389" s="23"/>
      <c r="JD389" s="23"/>
      <c r="JE389" s="23"/>
      <c r="JF389" s="23"/>
      <c r="JG389" s="23"/>
      <c r="JH389" s="23"/>
      <c r="JI389" s="23"/>
      <c r="JJ389" s="23"/>
      <c r="JK389" s="23"/>
      <c r="JL389" s="23"/>
      <c r="JM389" s="23"/>
      <c r="JN389" s="23"/>
      <c r="JO389" s="23"/>
      <c r="JP389" s="23"/>
      <c r="JQ389" s="23"/>
      <c r="JR389" s="23"/>
      <c r="JS389" s="23"/>
      <c r="JT389" s="23"/>
      <c r="JU389" s="23"/>
      <c r="JV389" s="23"/>
      <c r="JW389" s="23"/>
      <c r="JX389" s="23"/>
      <c r="JY389" s="23"/>
      <c r="JZ389" s="23"/>
      <c r="KA389" s="23"/>
      <c r="KB389" s="23"/>
      <c r="KC389" s="23"/>
      <c r="KD389" s="23"/>
      <c r="KE389" s="23"/>
      <c r="KF389" s="23"/>
      <c r="KG389" s="23"/>
      <c r="KH389" s="23"/>
      <c r="KI389" s="23"/>
      <c r="KJ389" s="23"/>
      <c r="KK389" s="23"/>
      <c r="KL389" s="23"/>
      <c r="KM389" s="23"/>
      <c r="KN389" s="23"/>
      <c r="KO389" s="23"/>
      <c r="KP389" s="23"/>
      <c r="KQ389" s="23"/>
      <c r="KR389" s="23"/>
      <c r="KS389" s="23"/>
      <c r="KT389" s="23"/>
      <c r="KU389" s="23"/>
      <c r="KV389" s="23"/>
      <c r="KW389" s="23"/>
      <c r="KX389" s="23"/>
      <c r="KY389" s="23"/>
      <c r="KZ389" s="23"/>
      <c r="LA389" s="23"/>
      <c r="LB389" s="23"/>
      <c r="LC389" s="23"/>
      <c r="LD389" s="23"/>
      <c r="LE389" s="23"/>
      <c r="LF389" s="23"/>
      <c r="LG389" s="23"/>
      <c r="LH389" s="23"/>
      <c r="LI389" s="23"/>
      <c r="LJ389" s="23"/>
      <c r="LK389" s="23"/>
      <c r="LL389" s="23"/>
      <c r="LM389" s="23"/>
      <c r="LN389" s="23"/>
      <c r="LO389" s="23"/>
    </row>
    <row r="390" spans="1:327">
      <c r="A390" s="390"/>
      <c r="B390" s="23"/>
      <c r="C390" s="391"/>
      <c r="D390" s="391"/>
      <c r="E390" s="23"/>
      <c r="F390" s="23"/>
      <c r="G390" s="392"/>
      <c r="H390" s="392"/>
      <c r="I390" s="392"/>
      <c r="J390" s="392"/>
      <c r="K390" s="392"/>
      <c r="L390" s="392"/>
      <c r="M390" s="392"/>
      <c r="N390" s="23"/>
      <c r="O390" s="39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  <c r="IL390" s="23"/>
      <c r="IM390" s="23"/>
      <c r="IN390" s="23"/>
      <c r="IO390" s="23"/>
      <c r="IP390" s="23"/>
      <c r="IQ390" s="23"/>
      <c r="IR390" s="23"/>
      <c r="IS390" s="23"/>
      <c r="IT390" s="23"/>
      <c r="IU390" s="23"/>
      <c r="IV390" s="23"/>
      <c r="IW390" s="23"/>
      <c r="IX390" s="23"/>
      <c r="IY390" s="23"/>
      <c r="IZ390" s="23"/>
      <c r="JA390" s="23"/>
      <c r="JB390" s="23"/>
      <c r="JC390" s="23"/>
      <c r="JD390" s="23"/>
      <c r="JE390" s="23"/>
      <c r="JF390" s="23"/>
      <c r="JG390" s="23"/>
      <c r="JH390" s="23"/>
      <c r="JI390" s="23"/>
      <c r="JJ390" s="23"/>
      <c r="JK390" s="23"/>
      <c r="JL390" s="23"/>
      <c r="JM390" s="23"/>
      <c r="JN390" s="23"/>
      <c r="JO390" s="23"/>
      <c r="JP390" s="23"/>
      <c r="JQ390" s="23"/>
      <c r="JR390" s="23"/>
      <c r="JS390" s="23"/>
      <c r="JT390" s="23"/>
      <c r="JU390" s="23"/>
      <c r="JV390" s="23"/>
      <c r="JW390" s="23"/>
      <c r="JX390" s="23"/>
      <c r="JY390" s="23"/>
      <c r="JZ390" s="23"/>
      <c r="KA390" s="23"/>
      <c r="KB390" s="23"/>
      <c r="KC390" s="23"/>
      <c r="KD390" s="23"/>
      <c r="KE390" s="23"/>
      <c r="KF390" s="23"/>
      <c r="KG390" s="23"/>
      <c r="KH390" s="23"/>
      <c r="KI390" s="23"/>
      <c r="KJ390" s="23"/>
      <c r="KK390" s="23"/>
      <c r="KL390" s="23"/>
      <c r="KM390" s="23"/>
      <c r="KN390" s="23"/>
      <c r="KO390" s="23"/>
      <c r="KP390" s="23"/>
      <c r="KQ390" s="23"/>
      <c r="KR390" s="23"/>
      <c r="KS390" s="23"/>
      <c r="KT390" s="23"/>
      <c r="KU390" s="23"/>
      <c r="KV390" s="23"/>
      <c r="KW390" s="23"/>
      <c r="KX390" s="23"/>
      <c r="KY390" s="23"/>
      <c r="KZ390" s="23"/>
      <c r="LA390" s="23"/>
      <c r="LB390" s="23"/>
      <c r="LC390" s="23"/>
      <c r="LD390" s="23"/>
      <c r="LE390" s="23"/>
      <c r="LF390" s="23"/>
      <c r="LG390" s="23"/>
      <c r="LH390" s="23"/>
      <c r="LI390" s="23"/>
      <c r="LJ390" s="23"/>
      <c r="LK390" s="23"/>
      <c r="LL390" s="23"/>
      <c r="LM390" s="23"/>
      <c r="LN390" s="23"/>
      <c r="LO390" s="23"/>
    </row>
    <row r="391" spans="1:327">
      <c r="A391" s="390"/>
      <c r="B391" s="23"/>
      <c r="C391" s="391"/>
      <c r="D391" s="391"/>
      <c r="E391" s="23"/>
      <c r="F391" s="23"/>
      <c r="G391" s="392"/>
      <c r="H391" s="392"/>
      <c r="I391" s="392"/>
      <c r="J391" s="392"/>
      <c r="K391" s="392"/>
      <c r="L391" s="392"/>
      <c r="M391" s="392"/>
      <c r="N391" s="23"/>
      <c r="O391" s="39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  <c r="IL391" s="23"/>
      <c r="IM391" s="23"/>
      <c r="IN391" s="23"/>
      <c r="IO391" s="23"/>
      <c r="IP391" s="23"/>
      <c r="IQ391" s="23"/>
      <c r="IR391" s="23"/>
      <c r="IS391" s="23"/>
      <c r="IT391" s="23"/>
      <c r="IU391" s="23"/>
      <c r="IV391" s="23"/>
      <c r="IW391" s="23"/>
      <c r="IX391" s="23"/>
      <c r="IY391" s="23"/>
      <c r="IZ391" s="23"/>
      <c r="JA391" s="23"/>
      <c r="JB391" s="23"/>
      <c r="JC391" s="23"/>
      <c r="JD391" s="23"/>
      <c r="JE391" s="23"/>
      <c r="JF391" s="23"/>
      <c r="JG391" s="23"/>
      <c r="JH391" s="23"/>
      <c r="JI391" s="23"/>
      <c r="JJ391" s="23"/>
      <c r="JK391" s="23"/>
      <c r="JL391" s="23"/>
      <c r="JM391" s="23"/>
      <c r="JN391" s="23"/>
      <c r="JO391" s="23"/>
      <c r="JP391" s="23"/>
      <c r="JQ391" s="23"/>
      <c r="JR391" s="23"/>
      <c r="JS391" s="23"/>
      <c r="JT391" s="23"/>
      <c r="JU391" s="23"/>
      <c r="JV391" s="23"/>
      <c r="JW391" s="23"/>
      <c r="JX391" s="23"/>
      <c r="JY391" s="23"/>
      <c r="JZ391" s="23"/>
      <c r="KA391" s="23"/>
      <c r="KB391" s="23"/>
      <c r="KC391" s="23"/>
      <c r="KD391" s="23"/>
      <c r="KE391" s="23"/>
      <c r="KF391" s="23"/>
      <c r="KG391" s="23"/>
      <c r="KH391" s="23"/>
      <c r="KI391" s="23"/>
      <c r="KJ391" s="23"/>
      <c r="KK391" s="23"/>
      <c r="KL391" s="23"/>
      <c r="KM391" s="23"/>
      <c r="KN391" s="23"/>
      <c r="KO391" s="23"/>
      <c r="KP391" s="23"/>
      <c r="KQ391" s="23"/>
      <c r="KR391" s="23"/>
      <c r="KS391" s="23"/>
      <c r="KT391" s="23"/>
      <c r="KU391" s="23"/>
      <c r="KV391" s="23"/>
      <c r="KW391" s="23"/>
      <c r="KX391" s="23"/>
      <c r="KY391" s="23"/>
      <c r="KZ391" s="23"/>
      <c r="LA391" s="23"/>
      <c r="LB391" s="23"/>
      <c r="LC391" s="23"/>
      <c r="LD391" s="23"/>
      <c r="LE391" s="23"/>
      <c r="LF391" s="23"/>
      <c r="LG391" s="23"/>
      <c r="LH391" s="23"/>
      <c r="LI391" s="23"/>
      <c r="LJ391" s="23"/>
      <c r="LK391" s="23"/>
      <c r="LL391" s="23"/>
      <c r="LM391" s="23"/>
      <c r="LN391" s="23"/>
      <c r="LO391" s="23"/>
    </row>
    <row r="392" spans="1:327">
      <c r="A392" s="390"/>
      <c r="B392" s="23"/>
      <c r="C392" s="391"/>
      <c r="D392" s="391"/>
      <c r="E392" s="23"/>
      <c r="F392" s="23"/>
      <c r="G392" s="392"/>
      <c r="H392" s="392"/>
      <c r="I392" s="392"/>
      <c r="J392" s="392"/>
      <c r="K392" s="392"/>
      <c r="L392" s="392"/>
      <c r="M392" s="392"/>
      <c r="N392" s="23"/>
      <c r="O392" s="39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  <c r="IL392" s="23"/>
      <c r="IM392" s="23"/>
      <c r="IN392" s="23"/>
      <c r="IO392" s="23"/>
      <c r="IP392" s="23"/>
      <c r="IQ392" s="23"/>
      <c r="IR392" s="23"/>
      <c r="IS392" s="23"/>
      <c r="IT392" s="23"/>
      <c r="IU392" s="23"/>
      <c r="IV392" s="23"/>
      <c r="IW392" s="23"/>
      <c r="IX392" s="23"/>
      <c r="IY392" s="23"/>
      <c r="IZ392" s="23"/>
      <c r="JA392" s="23"/>
      <c r="JB392" s="23"/>
      <c r="JC392" s="23"/>
      <c r="JD392" s="23"/>
      <c r="JE392" s="23"/>
      <c r="JF392" s="23"/>
      <c r="JG392" s="23"/>
      <c r="JH392" s="23"/>
      <c r="JI392" s="23"/>
      <c r="JJ392" s="23"/>
      <c r="JK392" s="23"/>
      <c r="JL392" s="23"/>
      <c r="JM392" s="23"/>
      <c r="JN392" s="23"/>
      <c r="JO392" s="23"/>
      <c r="JP392" s="23"/>
      <c r="JQ392" s="23"/>
      <c r="JR392" s="23"/>
      <c r="JS392" s="23"/>
      <c r="JT392" s="23"/>
      <c r="JU392" s="23"/>
      <c r="JV392" s="23"/>
      <c r="JW392" s="23"/>
      <c r="JX392" s="23"/>
      <c r="JY392" s="23"/>
      <c r="JZ392" s="23"/>
      <c r="KA392" s="23"/>
      <c r="KB392" s="23"/>
      <c r="KC392" s="23"/>
      <c r="KD392" s="23"/>
      <c r="KE392" s="23"/>
      <c r="KF392" s="23"/>
      <c r="KG392" s="23"/>
      <c r="KH392" s="23"/>
      <c r="KI392" s="23"/>
      <c r="KJ392" s="23"/>
      <c r="KK392" s="23"/>
      <c r="KL392" s="23"/>
      <c r="KM392" s="23"/>
      <c r="KN392" s="23"/>
      <c r="KO392" s="23"/>
      <c r="KP392" s="23"/>
      <c r="KQ392" s="23"/>
      <c r="KR392" s="23"/>
      <c r="KS392" s="23"/>
      <c r="KT392" s="23"/>
      <c r="KU392" s="23"/>
      <c r="KV392" s="23"/>
      <c r="KW392" s="23"/>
      <c r="KX392" s="23"/>
      <c r="KY392" s="23"/>
      <c r="KZ392" s="23"/>
      <c r="LA392" s="23"/>
      <c r="LB392" s="23"/>
      <c r="LC392" s="23"/>
      <c r="LD392" s="23"/>
      <c r="LE392" s="23"/>
      <c r="LF392" s="23"/>
      <c r="LG392" s="23"/>
      <c r="LH392" s="23"/>
      <c r="LI392" s="23"/>
      <c r="LJ392" s="23"/>
      <c r="LK392" s="23"/>
      <c r="LL392" s="23"/>
      <c r="LM392" s="23"/>
      <c r="LN392" s="23"/>
      <c r="LO392" s="23"/>
    </row>
    <row r="393" spans="1:327">
      <c r="A393" s="390"/>
      <c r="B393" s="23"/>
      <c r="C393" s="391"/>
      <c r="D393" s="391"/>
      <c r="E393" s="23"/>
      <c r="F393" s="23"/>
      <c r="G393" s="392"/>
      <c r="H393" s="392"/>
      <c r="I393" s="392"/>
      <c r="J393" s="392"/>
      <c r="K393" s="392"/>
      <c r="L393" s="392"/>
      <c r="M393" s="392"/>
      <c r="N393" s="23"/>
      <c r="O393" s="39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  <c r="IL393" s="23"/>
      <c r="IM393" s="23"/>
      <c r="IN393" s="23"/>
      <c r="IO393" s="23"/>
      <c r="IP393" s="23"/>
      <c r="IQ393" s="23"/>
      <c r="IR393" s="23"/>
      <c r="IS393" s="23"/>
      <c r="IT393" s="23"/>
      <c r="IU393" s="23"/>
      <c r="IV393" s="23"/>
      <c r="IW393" s="23"/>
      <c r="IX393" s="23"/>
      <c r="IY393" s="23"/>
      <c r="IZ393" s="23"/>
      <c r="JA393" s="23"/>
      <c r="JB393" s="23"/>
      <c r="JC393" s="23"/>
      <c r="JD393" s="23"/>
      <c r="JE393" s="23"/>
      <c r="JF393" s="23"/>
      <c r="JG393" s="23"/>
      <c r="JH393" s="23"/>
      <c r="JI393" s="23"/>
      <c r="JJ393" s="23"/>
      <c r="JK393" s="23"/>
      <c r="JL393" s="23"/>
      <c r="JM393" s="23"/>
      <c r="JN393" s="23"/>
      <c r="JO393" s="23"/>
      <c r="JP393" s="23"/>
      <c r="JQ393" s="23"/>
      <c r="JR393" s="23"/>
      <c r="JS393" s="23"/>
      <c r="JT393" s="23"/>
      <c r="JU393" s="23"/>
      <c r="JV393" s="23"/>
      <c r="JW393" s="23"/>
      <c r="JX393" s="23"/>
      <c r="JY393" s="23"/>
      <c r="JZ393" s="23"/>
      <c r="KA393" s="23"/>
      <c r="KB393" s="23"/>
      <c r="KC393" s="23"/>
      <c r="KD393" s="23"/>
      <c r="KE393" s="23"/>
      <c r="KF393" s="23"/>
      <c r="KG393" s="23"/>
      <c r="KH393" s="23"/>
      <c r="KI393" s="23"/>
      <c r="KJ393" s="23"/>
      <c r="KK393" s="23"/>
      <c r="KL393" s="23"/>
      <c r="KM393" s="23"/>
      <c r="KN393" s="23"/>
      <c r="KO393" s="23"/>
      <c r="KP393" s="23"/>
      <c r="KQ393" s="23"/>
      <c r="KR393" s="23"/>
      <c r="KS393" s="23"/>
      <c r="KT393" s="23"/>
      <c r="KU393" s="23"/>
      <c r="KV393" s="23"/>
      <c r="KW393" s="23"/>
      <c r="KX393" s="23"/>
      <c r="KY393" s="23"/>
      <c r="KZ393" s="23"/>
      <c r="LA393" s="23"/>
      <c r="LB393" s="23"/>
      <c r="LC393" s="23"/>
      <c r="LD393" s="23"/>
      <c r="LE393" s="23"/>
      <c r="LF393" s="23"/>
      <c r="LG393" s="23"/>
      <c r="LH393" s="23"/>
      <c r="LI393" s="23"/>
      <c r="LJ393" s="23"/>
      <c r="LK393" s="23"/>
      <c r="LL393" s="23"/>
      <c r="LM393" s="23"/>
      <c r="LN393" s="23"/>
      <c r="LO393" s="23"/>
    </row>
    <row r="394" spans="1:327">
      <c r="A394" s="390"/>
      <c r="B394" s="23"/>
      <c r="C394" s="391"/>
      <c r="D394" s="391"/>
      <c r="E394" s="23"/>
      <c r="F394" s="23"/>
      <c r="G394" s="392"/>
      <c r="H394" s="392"/>
      <c r="I394" s="392"/>
      <c r="J394" s="392"/>
      <c r="K394" s="392"/>
      <c r="L394" s="392"/>
      <c r="M394" s="392"/>
      <c r="N394" s="23"/>
      <c r="O394" s="39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  <c r="IL394" s="23"/>
      <c r="IM394" s="23"/>
      <c r="IN394" s="23"/>
      <c r="IO394" s="23"/>
      <c r="IP394" s="23"/>
      <c r="IQ394" s="23"/>
      <c r="IR394" s="23"/>
      <c r="IS394" s="23"/>
      <c r="IT394" s="23"/>
      <c r="IU394" s="23"/>
      <c r="IV394" s="23"/>
      <c r="IW394" s="23"/>
      <c r="IX394" s="23"/>
      <c r="IY394" s="23"/>
      <c r="IZ394" s="23"/>
      <c r="JA394" s="23"/>
      <c r="JB394" s="23"/>
      <c r="JC394" s="23"/>
      <c r="JD394" s="23"/>
      <c r="JE394" s="23"/>
      <c r="JF394" s="23"/>
      <c r="JG394" s="23"/>
      <c r="JH394" s="23"/>
      <c r="JI394" s="23"/>
      <c r="JJ394" s="23"/>
      <c r="JK394" s="23"/>
      <c r="JL394" s="23"/>
      <c r="JM394" s="23"/>
      <c r="JN394" s="23"/>
      <c r="JO394" s="23"/>
      <c r="JP394" s="23"/>
      <c r="JQ394" s="23"/>
      <c r="JR394" s="23"/>
      <c r="JS394" s="23"/>
      <c r="JT394" s="23"/>
      <c r="JU394" s="23"/>
      <c r="JV394" s="23"/>
      <c r="JW394" s="23"/>
      <c r="JX394" s="23"/>
      <c r="JY394" s="23"/>
      <c r="JZ394" s="23"/>
      <c r="KA394" s="23"/>
      <c r="KB394" s="23"/>
      <c r="KC394" s="23"/>
      <c r="KD394" s="23"/>
      <c r="KE394" s="23"/>
      <c r="KF394" s="23"/>
      <c r="KG394" s="23"/>
      <c r="KH394" s="23"/>
      <c r="KI394" s="23"/>
      <c r="KJ394" s="23"/>
      <c r="KK394" s="23"/>
      <c r="KL394" s="23"/>
      <c r="KM394" s="23"/>
      <c r="KN394" s="23"/>
      <c r="KO394" s="23"/>
      <c r="KP394" s="23"/>
      <c r="KQ394" s="23"/>
      <c r="KR394" s="23"/>
      <c r="KS394" s="23"/>
      <c r="KT394" s="23"/>
      <c r="KU394" s="23"/>
      <c r="KV394" s="23"/>
      <c r="KW394" s="23"/>
      <c r="KX394" s="23"/>
      <c r="KY394" s="23"/>
      <c r="KZ394" s="23"/>
      <c r="LA394" s="23"/>
      <c r="LB394" s="23"/>
      <c r="LC394" s="23"/>
      <c r="LD394" s="23"/>
      <c r="LE394" s="23"/>
      <c r="LF394" s="23"/>
      <c r="LG394" s="23"/>
      <c r="LH394" s="23"/>
      <c r="LI394" s="23"/>
      <c r="LJ394" s="23"/>
      <c r="LK394" s="23"/>
      <c r="LL394" s="23"/>
      <c r="LM394" s="23"/>
      <c r="LN394" s="23"/>
      <c r="LO394" s="23"/>
    </row>
    <row r="395" spans="1:327">
      <c r="A395" s="390"/>
      <c r="B395" s="23"/>
      <c r="C395" s="391"/>
      <c r="D395" s="391"/>
      <c r="E395" s="23"/>
      <c r="F395" s="23"/>
      <c r="G395" s="392"/>
      <c r="H395" s="392"/>
      <c r="I395" s="392"/>
      <c r="J395" s="392"/>
      <c r="K395" s="392"/>
      <c r="L395" s="392"/>
      <c r="M395" s="392"/>
      <c r="N395" s="23"/>
      <c r="O395" s="39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  <c r="IL395" s="23"/>
      <c r="IM395" s="23"/>
      <c r="IN395" s="23"/>
      <c r="IO395" s="23"/>
      <c r="IP395" s="23"/>
      <c r="IQ395" s="23"/>
      <c r="IR395" s="23"/>
      <c r="IS395" s="23"/>
      <c r="IT395" s="23"/>
      <c r="IU395" s="23"/>
      <c r="IV395" s="23"/>
      <c r="IW395" s="23"/>
      <c r="IX395" s="23"/>
      <c r="IY395" s="23"/>
      <c r="IZ395" s="23"/>
      <c r="JA395" s="23"/>
      <c r="JB395" s="23"/>
      <c r="JC395" s="23"/>
      <c r="JD395" s="23"/>
      <c r="JE395" s="23"/>
      <c r="JF395" s="23"/>
      <c r="JG395" s="23"/>
      <c r="JH395" s="23"/>
      <c r="JI395" s="23"/>
      <c r="JJ395" s="23"/>
      <c r="JK395" s="23"/>
      <c r="JL395" s="23"/>
      <c r="JM395" s="23"/>
      <c r="JN395" s="23"/>
      <c r="JO395" s="23"/>
      <c r="JP395" s="23"/>
      <c r="JQ395" s="23"/>
      <c r="JR395" s="23"/>
      <c r="JS395" s="23"/>
      <c r="JT395" s="23"/>
      <c r="JU395" s="23"/>
      <c r="JV395" s="23"/>
      <c r="JW395" s="23"/>
      <c r="JX395" s="23"/>
      <c r="JY395" s="23"/>
      <c r="JZ395" s="23"/>
      <c r="KA395" s="23"/>
      <c r="KB395" s="23"/>
      <c r="KC395" s="23"/>
      <c r="KD395" s="23"/>
      <c r="KE395" s="23"/>
      <c r="KF395" s="23"/>
      <c r="KG395" s="23"/>
      <c r="KH395" s="23"/>
      <c r="KI395" s="23"/>
      <c r="KJ395" s="23"/>
      <c r="KK395" s="23"/>
      <c r="KL395" s="23"/>
      <c r="KM395" s="23"/>
      <c r="KN395" s="23"/>
      <c r="KO395" s="23"/>
      <c r="KP395" s="23"/>
      <c r="KQ395" s="23"/>
      <c r="KR395" s="23"/>
      <c r="KS395" s="23"/>
      <c r="KT395" s="23"/>
      <c r="KU395" s="23"/>
      <c r="KV395" s="23"/>
      <c r="KW395" s="23"/>
      <c r="KX395" s="23"/>
      <c r="KY395" s="23"/>
      <c r="KZ395" s="23"/>
      <c r="LA395" s="23"/>
      <c r="LB395" s="23"/>
      <c r="LC395" s="23"/>
      <c r="LD395" s="23"/>
      <c r="LE395" s="23"/>
      <c r="LF395" s="23"/>
      <c r="LG395" s="23"/>
      <c r="LH395" s="23"/>
      <c r="LI395" s="23"/>
      <c r="LJ395" s="23"/>
      <c r="LK395" s="23"/>
      <c r="LL395" s="23"/>
      <c r="LM395" s="23"/>
      <c r="LN395" s="23"/>
      <c r="LO395" s="23"/>
    </row>
    <row r="396" spans="1:327">
      <c r="A396" s="390"/>
      <c r="B396" s="23"/>
      <c r="C396" s="391"/>
      <c r="D396" s="391"/>
      <c r="E396" s="23"/>
      <c r="F396" s="23"/>
      <c r="G396" s="392"/>
      <c r="H396" s="392"/>
      <c r="I396" s="392"/>
      <c r="J396" s="392"/>
      <c r="K396" s="392"/>
      <c r="L396" s="392"/>
      <c r="M396" s="392"/>
      <c r="N396" s="23"/>
      <c r="O396" s="39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  <c r="IL396" s="23"/>
      <c r="IM396" s="23"/>
      <c r="IN396" s="23"/>
      <c r="IO396" s="23"/>
      <c r="IP396" s="23"/>
      <c r="IQ396" s="23"/>
      <c r="IR396" s="23"/>
      <c r="IS396" s="23"/>
      <c r="IT396" s="23"/>
      <c r="IU396" s="23"/>
      <c r="IV396" s="23"/>
      <c r="IW396" s="23"/>
      <c r="IX396" s="23"/>
      <c r="IY396" s="23"/>
      <c r="IZ396" s="23"/>
      <c r="JA396" s="23"/>
      <c r="JB396" s="23"/>
      <c r="JC396" s="23"/>
      <c r="JD396" s="23"/>
      <c r="JE396" s="23"/>
      <c r="JF396" s="23"/>
      <c r="JG396" s="23"/>
      <c r="JH396" s="23"/>
      <c r="JI396" s="23"/>
      <c r="JJ396" s="23"/>
      <c r="JK396" s="23"/>
      <c r="JL396" s="23"/>
      <c r="JM396" s="23"/>
      <c r="JN396" s="23"/>
      <c r="JO396" s="23"/>
      <c r="JP396" s="23"/>
      <c r="JQ396" s="23"/>
      <c r="JR396" s="23"/>
      <c r="JS396" s="23"/>
      <c r="JT396" s="23"/>
      <c r="JU396" s="23"/>
      <c r="JV396" s="23"/>
      <c r="JW396" s="23"/>
      <c r="JX396" s="23"/>
      <c r="JY396" s="23"/>
      <c r="JZ396" s="23"/>
      <c r="KA396" s="23"/>
      <c r="KB396" s="23"/>
      <c r="KC396" s="23"/>
      <c r="KD396" s="23"/>
      <c r="KE396" s="23"/>
      <c r="KF396" s="23"/>
      <c r="KG396" s="23"/>
      <c r="KH396" s="23"/>
      <c r="KI396" s="23"/>
      <c r="KJ396" s="23"/>
      <c r="KK396" s="23"/>
      <c r="KL396" s="23"/>
      <c r="KM396" s="23"/>
      <c r="KN396" s="23"/>
      <c r="KO396" s="23"/>
      <c r="KP396" s="23"/>
      <c r="KQ396" s="23"/>
      <c r="KR396" s="23"/>
      <c r="KS396" s="23"/>
      <c r="KT396" s="23"/>
      <c r="KU396" s="23"/>
      <c r="KV396" s="23"/>
      <c r="KW396" s="23"/>
      <c r="KX396" s="23"/>
      <c r="KY396" s="23"/>
      <c r="KZ396" s="23"/>
      <c r="LA396" s="23"/>
      <c r="LB396" s="23"/>
      <c r="LC396" s="23"/>
      <c r="LD396" s="23"/>
      <c r="LE396" s="23"/>
      <c r="LF396" s="23"/>
      <c r="LG396" s="23"/>
      <c r="LH396" s="23"/>
      <c r="LI396" s="23"/>
      <c r="LJ396" s="23"/>
      <c r="LK396" s="23"/>
      <c r="LL396" s="23"/>
      <c r="LM396" s="23"/>
      <c r="LN396" s="23"/>
      <c r="LO396" s="23"/>
    </row>
    <row r="397" spans="1:327">
      <c r="A397" s="390"/>
      <c r="B397" s="23"/>
      <c r="C397" s="391"/>
      <c r="D397" s="391"/>
      <c r="E397" s="23"/>
      <c r="F397" s="23"/>
      <c r="G397" s="392"/>
      <c r="H397" s="392"/>
      <c r="I397" s="392"/>
      <c r="J397" s="392"/>
      <c r="K397" s="392"/>
      <c r="L397" s="392"/>
      <c r="M397" s="392"/>
      <c r="N397" s="23"/>
      <c r="O397" s="39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  <c r="IL397" s="23"/>
      <c r="IM397" s="23"/>
      <c r="IN397" s="23"/>
      <c r="IO397" s="23"/>
      <c r="IP397" s="23"/>
      <c r="IQ397" s="23"/>
      <c r="IR397" s="23"/>
      <c r="IS397" s="23"/>
      <c r="IT397" s="23"/>
      <c r="IU397" s="23"/>
      <c r="IV397" s="23"/>
      <c r="IW397" s="23"/>
      <c r="IX397" s="23"/>
      <c r="IY397" s="23"/>
      <c r="IZ397" s="23"/>
      <c r="JA397" s="23"/>
      <c r="JB397" s="23"/>
      <c r="JC397" s="23"/>
      <c r="JD397" s="23"/>
      <c r="JE397" s="23"/>
      <c r="JF397" s="23"/>
      <c r="JG397" s="23"/>
      <c r="JH397" s="23"/>
      <c r="JI397" s="23"/>
      <c r="JJ397" s="23"/>
      <c r="JK397" s="23"/>
      <c r="JL397" s="23"/>
      <c r="JM397" s="23"/>
      <c r="JN397" s="23"/>
      <c r="JO397" s="23"/>
      <c r="JP397" s="23"/>
      <c r="JQ397" s="23"/>
      <c r="JR397" s="23"/>
      <c r="JS397" s="23"/>
      <c r="JT397" s="23"/>
      <c r="JU397" s="23"/>
      <c r="JV397" s="23"/>
      <c r="JW397" s="23"/>
      <c r="JX397" s="23"/>
      <c r="JY397" s="23"/>
      <c r="JZ397" s="23"/>
      <c r="KA397" s="23"/>
      <c r="KB397" s="23"/>
      <c r="KC397" s="23"/>
      <c r="KD397" s="23"/>
      <c r="KE397" s="23"/>
      <c r="KF397" s="23"/>
      <c r="KG397" s="23"/>
      <c r="KH397" s="23"/>
      <c r="KI397" s="23"/>
      <c r="KJ397" s="23"/>
      <c r="KK397" s="23"/>
      <c r="KL397" s="23"/>
      <c r="KM397" s="23"/>
      <c r="KN397" s="23"/>
      <c r="KO397" s="23"/>
      <c r="KP397" s="23"/>
      <c r="KQ397" s="23"/>
      <c r="KR397" s="23"/>
      <c r="KS397" s="23"/>
      <c r="KT397" s="23"/>
      <c r="KU397" s="23"/>
      <c r="KV397" s="23"/>
      <c r="KW397" s="23"/>
      <c r="KX397" s="23"/>
      <c r="KY397" s="23"/>
      <c r="KZ397" s="23"/>
      <c r="LA397" s="23"/>
      <c r="LB397" s="23"/>
      <c r="LC397" s="23"/>
      <c r="LD397" s="23"/>
      <c r="LE397" s="23"/>
      <c r="LF397" s="23"/>
      <c r="LG397" s="23"/>
      <c r="LH397" s="23"/>
      <c r="LI397" s="23"/>
      <c r="LJ397" s="23"/>
      <c r="LK397" s="23"/>
      <c r="LL397" s="23"/>
      <c r="LM397" s="23"/>
      <c r="LN397" s="23"/>
      <c r="LO397" s="23"/>
    </row>
    <row r="398" spans="1:327">
      <c r="A398" s="390"/>
      <c r="B398" s="23"/>
      <c r="C398" s="391"/>
      <c r="D398" s="391"/>
      <c r="E398" s="23"/>
      <c r="F398" s="23"/>
      <c r="G398" s="392"/>
      <c r="H398" s="392"/>
      <c r="I398" s="392"/>
      <c r="J398" s="392"/>
      <c r="K398" s="392"/>
      <c r="L398" s="392"/>
      <c r="M398" s="392"/>
      <c r="N398" s="23"/>
      <c r="O398" s="39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  <c r="IL398" s="23"/>
      <c r="IM398" s="23"/>
      <c r="IN398" s="23"/>
      <c r="IO398" s="23"/>
      <c r="IP398" s="23"/>
      <c r="IQ398" s="23"/>
      <c r="IR398" s="23"/>
      <c r="IS398" s="23"/>
      <c r="IT398" s="23"/>
      <c r="IU398" s="23"/>
      <c r="IV398" s="23"/>
      <c r="IW398" s="23"/>
      <c r="IX398" s="23"/>
      <c r="IY398" s="23"/>
      <c r="IZ398" s="23"/>
      <c r="JA398" s="23"/>
      <c r="JB398" s="23"/>
      <c r="JC398" s="23"/>
      <c r="JD398" s="23"/>
      <c r="JE398" s="23"/>
      <c r="JF398" s="23"/>
      <c r="JG398" s="23"/>
      <c r="JH398" s="23"/>
      <c r="JI398" s="23"/>
      <c r="JJ398" s="23"/>
      <c r="JK398" s="23"/>
      <c r="JL398" s="23"/>
      <c r="JM398" s="23"/>
      <c r="JN398" s="23"/>
      <c r="JO398" s="23"/>
      <c r="JP398" s="23"/>
      <c r="JQ398" s="23"/>
      <c r="JR398" s="23"/>
      <c r="JS398" s="23"/>
      <c r="JT398" s="23"/>
      <c r="JU398" s="23"/>
      <c r="JV398" s="23"/>
      <c r="JW398" s="23"/>
      <c r="JX398" s="23"/>
      <c r="JY398" s="23"/>
      <c r="JZ398" s="23"/>
      <c r="KA398" s="23"/>
      <c r="KB398" s="23"/>
      <c r="KC398" s="23"/>
      <c r="KD398" s="23"/>
      <c r="KE398" s="23"/>
      <c r="KF398" s="23"/>
      <c r="KG398" s="23"/>
      <c r="KH398" s="23"/>
      <c r="KI398" s="23"/>
      <c r="KJ398" s="23"/>
      <c r="KK398" s="23"/>
      <c r="KL398" s="23"/>
      <c r="KM398" s="23"/>
      <c r="KN398" s="23"/>
      <c r="KO398" s="23"/>
      <c r="KP398" s="23"/>
      <c r="KQ398" s="23"/>
      <c r="KR398" s="23"/>
      <c r="KS398" s="23"/>
      <c r="KT398" s="23"/>
      <c r="KU398" s="23"/>
      <c r="KV398" s="23"/>
      <c r="KW398" s="23"/>
      <c r="KX398" s="23"/>
      <c r="KY398" s="23"/>
      <c r="KZ398" s="23"/>
      <c r="LA398" s="23"/>
      <c r="LB398" s="23"/>
      <c r="LC398" s="23"/>
      <c r="LD398" s="23"/>
      <c r="LE398" s="23"/>
      <c r="LF398" s="23"/>
      <c r="LG398" s="23"/>
      <c r="LH398" s="23"/>
      <c r="LI398" s="23"/>
      <c r="LJ398" s="23"/>
      <c r="LK398" s="23"/>
      <c r="LL398" s="23"/>
      <c r="LM398" s="23"/>
      <c r="LN398" s="23"/>
      <c r="LO398" s="23"/>
    </row>
    <row r="399" spans="1:327">
      <c r="A399" s="390"/>
      <c r="B399" s="23"/>
      <c r="C399" s="391"/>
      <c r="D399" s="391"/>
      <c r="E399" s="23"/>
      <c r="F399" s="23"/>
      <c r="G399" s="392"/>
      <c r="H399" s="392"/>
      <c r="I399" s="392"/>
      <c r="J399" s="392"/>
      <c r="K399" s="392"/>
      <c r="L399" s="392"/>
      <c r="M399" s="392"/>
      <c r="N399" s="23"/>
      <c r="O399" s="39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  <c r="IL399" s="23"/>
      <c r="IM399" s="23"/>
      <c r="IN399" s="23"/>
      <c r="IO399" s="23"/>
      <c r="IP399" s="23"/>
      <c r="IQ399" s="23"/>
      <c r="IR399" s="23"/>
      <c r="IS399" s="23"/>
      <c r="IT399" s="23"/>
      <c r="IU399" s="23"/>
      <c r="IV399" s="23"/>
      <c r="IW399" s="23"/>
      <c r="IX399" s="23"/>
      <c r="IY399" s="23"/>
      <c r="IZ399" s="23"/>
      <c r="JA399" s="23"/>
      <c r="JB399" s="23"/>
      <c r="JC399" s="23"/>
      <c r="JD399" s="23"/>
      <c r="JE399" s="23"/>
      <c r="JF399" s="23"/>
      <c r="JG399" s="23"/>
      <c r="JH399" s="23"/>
      <c r="JI399" s="23"/>
      <c r="JJ399" s="23"/>
      <c r="JK399" s="23"/>
      <c r="JL399" s="23"/>
      <c r="JM399" s="23"/>
      <c r="JN399" s="23"/>
      <c r="JO399" s="23"/>
      <c r="JP399" s="23"/>
      <c r="JQ399" s="23"/>
      <c r="JR399" s="23"/>
      <c r="JS399" s="23"/>
      <c r="JT399" s="23"/>
      <c r="JU399" s="23"/>
      <c r="JV399" s="23"/>
      <c r="JW399" s="23"/>
      <c r="JX399" s="23"/>
      <c r="JY399" s="23"/>
      <c r="JZ399" s="23"/>
      <c r="KA399" s="23"/>
      <c r="KB399" s="23"/>
      <c r="KC399" s="23"/>
      <c r="KD399" s="23"/>
      <c r="KE399" s="23"/>
      <c r="KF399" s="23"/>
      <c r="KG399" s="23"/>
      <c r="KH399" s="23"/>
      <c r="KI399" s="23"/>
      <c r="KJ399" s="23"/>
      <c r="KK399" s="23"/>
      <c r="KL399" s="23"/>
      <c r="KM399" s="23"/>
      <c r="KN399" s="23"/>
      <c r="KO399" s="23"/>
      <c r="KP399" s="23"/>
      <c r="KQ399" s="23"/>
      <c r="KR399" s="23"/>
      <c r="KS399" s="23"/>
      <c r="KT399" s="23"/>
      <c r="KU399" s="23"/>
      <c r="KV399" s="23"/>
      <c r="KW399" s="23"/>
      <c r="KX399" s="23"/>
      <c r="KY399" s="23"/>
      <c r="KZ399" s="23"/>
      <c r="LA399" s="23"/>
      <c r="LB399" s="23"/>
      <c r="LC399" s="23"/>
      <c r="LD399" s="23"/>
      <c r="LE399" s="23"/>
      <c r="LF399" s="23"/>
      <c r="LG399" s="23"/>
      <c r="LH399" s="23"/>
      <c r="LI399" s="23"/>
      <c r="LJ399" s="23"/>
      <c r="LK399" s="23"/>
      <c r="LL399" s="23"/>
      <c r="LM399" s="23"/>
      <c r="LN399" s="23"/>
      <c r="LO399" s="23"/>
    </row>
    <row r="400" spans="1:327">
      <c r="A400" s="390"/>
      <c r="B400" s="23"/>
      <c r="C400" s="391"/>
      <c r="D400" s="391"/>
      <c r="E400" s="23"/>
      <c r="F400" s="23"/>
      <c r="G400" s="392"/>
      <c r="H400" s="392"/>
      <c r="I400" s="392"/>
      <c r="J400" s="392"/>
      <c r="K400" s="392"/>
      <c r="L400" s="392"/>
      <c r="M400" s="392"/>
      <c r="N400" s="23"/>
      <c r="O400" s="39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  <c r="IL400" s="23"/>
      <c r="IM400" s="23"/>
      <c r="IN400" s="23"/>
      <c r="IO400" s="23"/>
      <c r="IP400" s="23"/>
      <c r="IQ400" s="23"/>
      <c r="IR400" s="23"/>
      <c r="IS400" s="23"/>
      <c r="IT400" s="23"/>
      <c r="IU400" s="23"/>
      <c r="IV400" s="23"/>
      <c r="IW400" s="23"/>
      <c r="IX400" s="23"/>
      <c r="IY400" s="23"/>
      <c r="IZ400" s="23"/>
      <c r="JA400" s="23"/>
      <c r="JB400" s="23"/>
      <c r="JC400" s="23"/>
      <c r="JD400" s="23"/>
      <c r="JE400" s="23"/>
      <c r="JF400" s="23"/>
      <c r="JG400" s="23"/>
      <c r="JH400" s="23"/>
      <c r="JI400" s="23"/>
      <c r="JJ400" s="23"/>
      <c r="JK400" s="23"/>
      <c r="JL400" s="23"/>
      <c r="JM400" s="23"/>
      <c r="JN400" s="23"/>
      <c r="JO400" s="23"/>
      <c r="JP400" s="23"/>
      <c r="JQ400" s="23"/>
      <c r="JR400" s="23"/>
      <c r="JS400" s="23"/>
      <c r="JT400" s="23"/>
      <c r="JU400" s="23"/>
      <c r="JV400" s="23"/>
      <c r="JW400" s="23"/>
      <c r="JX400" s="23"/>
      <c r="JY400" s="23"/>
      <c r="JZ400" s="23"/>
      <c r="KA400" s="23"/>
      <c r="KB400" s="23"/>
      <c r="KC400" s="23"/>
      <c r="KD400" s="23"/>
      <c r="KE400" s="23"/>
      <c r="KF400" s="23"/>
      <c r="KG400" s="23"/>
      <c r="KH400" s="23"/>
      <c r="KI400" s="23"/>
      <c r="KJ400" s="23"/>
      <c r="KK400" s="23"/>
      <c r="KL400" s="23"/>
      <c r="KM400" s="23"/>
      <c r="KN400" s="23"/>
      <c r="KO400" s="23"/>
      <c r="KP400" s="23"/>
      <c r="KQ400" s="23"/>
      <c r="KR400" s="23"/>
      <c r="KS400" s="23"/>
      <c r="KT400" s="23"/>
      <c r="KU400" s="23"/>
      <c r="KV400" s="23"/>
      <c r="KW400" s="23"/>
      <c r="KX400" s="23"/>
      <c r="KY400" s="23"/>
      <c r="KZ400" s="23"/>
      <c r="LA400" s="23"/>
      <c r="LB400" s="23"/>
      <c r="LC400" s="23"/>
      <c r="LD400" s="23"/>
      <c r="LE400" s="23"/>
      <c r="LF400" s="23"/>
      <c r="LG400" s="23"/>
      <c r="LH400" s="23"/>
      <c r="LI400" s="23"/>
      <c r="LJ400" s="23"/>
      <c r="LK400" s="23"/>
      <c r="LL400" s="23"/>
      <c r="LM400" s="23"/>
      <c r="LN400" s="23"/>
      <c r="LO400" s="23"/>
    </row>
    <row r="401" spans="1:327">
      <c r="A401" s="390"/>
      <c r="B401" s="23"/>
      <c r="C401" s="391"/>
      <c r="D401" s="391"/>
      <c r="E401" s="23"/>
      <c r="F401" s="23"/>
      <c r="G401" s="392"/>
      <c r="H401" s="392"/>
      <c r="I401" s="392"/>
      <c r="J401" s="392"/>
      <c r="K401" s="392"/>
      <c r="L401" s="392"/>
      <c r="M401" s="392"/>
      <c r="N401" s="23"/>
      <c r="O401" s="39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  <c r="IL401" s="23"/>
      <c r="IM401" s="23"/>
      <c r="IN401" s="23"/>
      <c r="IO401" s="23"/>
      <c r="IP401" s="23"/>
      <c r="IQ401" s="23"/>
      <c r="IR401" s="23"/>
      <c r="IS401" s="23"/>
      <c r="IT401" s="23"/>
      <c r="IU401" s="23"/>
      <c r="IV401" s="23"/>
      <c r="IW401" s="23"/>
      <c r="IX401" s="23"/>
      <c r="IY401" s="23"/>
      <c r="IZ401" s="23"/>
      <c r="JA401" s="23"/>
      <c r="JB401" s="23"/>
      <c r="JC401" s="23"/>
      <c r="JD401" s="23"/>
      <c r="JE401" s="23"/>
      <c r="JF401" s="23"/>
      <c r="JG401" s="23"/>
      <c r="JH401" s="23"/>
      <c r="JI401" s="23"/>
      <c r="JJ401" s="23"/>
      <c r="JK401" s="23"/>
      <c r="JL401" s="23"/>
      <c r="JM401" s="23"/>
      <c r="JN401" s="23"/>
      <c r="JO401" s="23"/>
      <c r="JP401" s="23"/>
      <c r="JQ401" s="23"/>
      <c r="JR401" s="23"/>
      <c r="JS401" s="23"/>
      <c r="JT401" s="23"/>
      <c r="JU401" s="23"/>
      <c r="JV401" s="23"/>
      <c r="JW401" s="23"/>
      <c r="JX401" s="23"/>
      <c r="JY401" s="23"/>
      <c r="JZ401" s="23"/>
      <c r="KA401" s="23"/>
      <c r="KB401" s="23"/>
      <c r="KC401" s="23"/>
      <c r="KD401" s="23"/>
      <c r="KE401" s="23"/>
      <c r="KF401" s="23"/>
      <c r="KG401" s="23"/>
      <c r="KH401" s="23"/>
      <c r="KI401" s="23"/>
      <c r="KJ401" s="23"/>
      <c r="KK401" s="23"/>
      <c r="KL401" s="23"/>
      <c r="KM401" s="23"/>
      <c r="KN401" s="23"/>
      <c r="KO401" s="23"/>
      <c r="KP401" s="23"/>
      <c r="KQ401" s="23"/>
      <c r="KR401" s="23"/>
      <c r="KS401" s="23"/>
      <c r="KT401" s="23"/>
      <c r="KU401" s="23"/>
      <c r="KV401" s="23"/>
      <c r="KW401" s="23"/>
      <c r="KX401" s="23"/>
      <c r="KY401" s="23"/>
      <c r="KZ401" s="23"/>
      <c r="LA401" s="23"/>
      <c r="LB401" s="23"/>
      <c r="LC401" s="23"/>
      <c r="LD401" s="23"/>
      <c r="LE401" s="23"/>
      <c r="LF401" s="23"/>
      <c r="LG401" s="23"/>
      <c r="LH401" s="23"/>
      <c r="LI401" s="23"/>
      <c r="LJ401" s="23"/>
      <c r="LK401" s="23"/>
      <c r="LL401" s="23"/>
      <c r="LM401" s="23"/>
      <c r="LN401" s="23"/>
      <c r="LO401" s="23"/>
    </row>
    <row r="402" spans="1:327">
      <c r="A402" s="390"/>
      <c r="B402" s="23"/>
      <c r="C402" s="391"/>
      <c r="D402" s="391"/>
      <c r="E402" s="23"/>
      <c r="F402" s="23"/>
      <c r="G402" s="392"/>
      <c r="H402" s="392"/>
      <c r="I402" s="392"/>
      <c r="J402" s="392"/>
      <c r="K402" s="392"/>
      <c r="L402" s="392"/>
      <c r="M402" s="392"/>
      <c r="N402" s="23"/>
      <c r="O402" s="39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  <c r="IL402" s="23"/>
      <c r="IM402" s="23"/>
      <c r="IN402" s="23"/>
      <c r="IO402" s="23"/>
      <c r="IP402" s="23"/>
      <c r="IQ402" s="23"/>
      <c r="IR402" s="23"/>
      <c r="IS402" s="23"/>
      <c r="IT402" s="23"/>
      <c r="IU402" s="23"/>
      <c r="IV402" s="23"/>
      <c r="IW402" s="23"/>
      <c r="IX402" s="23"/>
      <c r="IY402" s="23"/>
      <c r="IZ402" s="23"/>
      <c r="JA402" s="23"/>
      <c r="JB402" s="23"/>
      <c r="JC402" s="23"/>
      <c r="JD402" s="23"/>
      <c r="JE402" s="23"/>
      <c r="JF402" s="23"/>
      <c r="JG402" s="23"/>
      <c r="JH402" s="23"/>
      <c r="JI402" s="23"/>
      <c r="JJ402" s="23"/>
      <c r="JK402" s="23"/>
      <c r="JL402" s="23"/>
      <c r="JM402" s="23"/>
      <c r="JN402" s="23"/>
      <c r="JO402" s="23"/>
      <c r="JP402" s="23"/>
      <c r="JQ402" s="23"/>
      <c r="JR402" s="23"/>
      <c r="JS402" s="23"/>
      <c r="JT402" s="23"/>
      <c r="JU402" s="23"/>
      <c r="JV402" s="23"/>
      <c r="JW402" s="23"/>
      <c r="JX402" s="23"/>
      <c r="JY402" s="23"/>
      <c r="JZ402" s="23"/>
      <c r="KA402" s="23"/>
      <c r="KB402" s="23"/>
      <c r="KC402" s="23"/>
      <c r="KD402" s="23"/>
      <c r="KE402" s="23"/>
      <c r="KF402" s="23"/>
      <c r="KG402" s="23"/>
      <c r="KH402" s="23"/>
      <c r="KI402" s="23"/>
      <c r="KJ402" s="23"/>
      <c r="KK402" s="23"/>
      <c r="KL402" s="23"/>
      <c r="KM402" s="23"/>
      <c r="KN402" s="23"/>
      <c r="KO402" s="23"/>
      <c r="KP402" s="23"/>
      <c r="KQ402" s="23"/>
      <c r="KR402" s="23"/>
      <c r="KS402" s="23"/>
      <c r="KT402" s="23"/>
      <c r="KU402" s="23"/>
      <c r="KV402" s="23"/>
      <c r="KW402" s="23"/>
      <c r="KX402" s="23"/>
      <c r="KY402" s="23"/>
      <c r="KZ402" s="23"/>
      <c r="LA402" s="23"/>
      <c r="LB402" s="23"/>
      <c r="LC402" s="23"/>
      <c r="LD402" s="23"/>
      <c r="LE402" s="23"/>
      <c r="LF402" s="23"/>
      <c r="LG402" s="23"/>
      <c r="LH402" s="23"/>
      <c r="LI402" s="23"/>
      <c r="LJ402" s="23"/>
      <c r="LK402" s="23"/>
      <c r="LL402" s="23"/>
      <c r="LM402" s="23"/>
      <c r="LN402" s="23"/>
      <c r="LO402" s="23"/>
    </row>
    <row r="403" spans="1:327">
      <c r="A403" s="390"/>
      <c r="B403" s="23"/>
      <c r="C403" s="391"/>
      <c r="D403" s="391"/>
      <c r="E403" s="23"/>
      <c r="F403" s="23"/>
      <c r="G403" s="392"/>
      <c r="H403" s="392"/>
      <c r="I403" s="392"/>
      <c r="J403" s="392"/>
      <c r="K403" s="392"/>
      <c r="L403" s="392"/>
      <c r="M403" s="392"/>
      <c r="N403" s="23"/>
      <c r="O403" s="39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  <c r="IL403" s="23"/>
      <c r="IM403" s="23"/>
      <c r="IN403" s="23"/>
      <c r="IO403" s="23"/>
      <c r="IP403" s="23"/>
      <c r="IQ403" s="23"/>
      <c r="IR403" s="23"/>
      <c r="IS403" s="23"/>
      <c r="IT403" s="23"/>
      <c r="IU403" s="23"/>
      <c r="IV403" s="23"/>
      <c r="IW403" s="23"/>
      <c r="IX403" s="23"/>
      <c r="IY403" s="23"/>
      <c r="IZ403" s="23"/>
      <c r="JA403" s="23"/>
      <c r="JB403" s="23"/>
      <c r="JC403" s="23"/>
      <c r="JD403" s="23"/>
      <c r="JE403" s="23"/>
      <c r="JF403" s="23"/>
      <c r="JG403" s="23"/>
      <c r="JH403" s="23"/>
      <c r="JI403" s="23"/>
      <c r="JJ403" s="23"/>
      <c r="JK403" s="23"/>
      <c r="JL403" s="23"/>
      <c r="JM403" s="23"/>
      <c r="JN403" s="23"/>
      <c r="JO403" s="23"/>
      <c r="JP403" s="23"/>
      <c r="JQ403" s="23"/>
      <c r="JR403" s="23"/>
      <c r="JS403" s="23"/>
      <c r="JT403" s="23"/>
      <c r="JU403" s="23"/>
      <c r="JV403" s="23"/>
      <c r="JW403" s="23"/>
      <c r="JX403" s="23"/>
      <c r="JY403" s="23"/>
      <c r="JZ403" s="23"/>
      <c r="KA403" s="23"/>
      <c r="KB403" s="23"/>
      <c r="KC403" s="23"/>
      <c r="KD403" s="23"/>
      <c r="KE403" s="23"/>
      <c r="KF403" s="23"/>
      <c r="KG403" s="23"/>
      <c r="KH403" s="23"/>
      <c r="KI403" s="23"/>
      <c r="KJ403" s="23"/>
      <c r="KK403" s="23"/>
      <c r="KL403" s="23"/>
      <c r="KM403" s="23"/>
      <c r="KN403" s="23"/>
      <c r="KO403" s="23"/>
      <c r="KP403" s="23"/>
      <c r="KQ403" s="23"/>
      <c r="KR403" s="23"/>
      <c r="KS403" s="23"/>
      <c r="KT403" s="23"/>
      <c r="KU403" s="23"/>
      <c r="KV403" s="23"/>
      <c r="KW403" s="23"/>
      <c r="KX403" s="23"/>
      <c r="KY403" s="23"/>
      <c r="KZ403" s="23"/>
      <c r="LA403" s="23"/>
      <c r="LB403" s="23"/>
      <c r="LC403" s="23"/>
      <c r="LD403" s="23"/>
      <c r="LE403" s="23"/>
      <c r="LF403" s="23"/>
      <c r="LG403" s="23"/>
      <c r="LH403" s="23"/>
      <c r="LI403" s="23"/>
      <c r="LJ403" s="23"/>
      <c r="LK403" s="23"/>
      <c r="LL403" s="23"/>
      <c r="LM403" s="23"/>
      <c r="LN403" s="23"/>
      <c r="LO403" s="23"/>
    </row>
    <row r="404" spans="1:327">
      <c r="A404" s="390"/>
      <c r="B404" s="23"/>
      <c r="C404" s="391"/>
      <c r="D404" s="391"/>
      <c r="E404" s="23"/>
      <c r="F404" s="23"/>
      <c r="G404" s="392"/>
      <c r="H404" s="392"/>
      <c r="I404" s="392"/>
      <c r="J404" s="392"/>
      <c r="K404" s="392"/>
      <c r="L404" s="392"/>
      <c r="M404" s="392"/>
      <c r="N404" s="23"/>
      <c r="O404" s="39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  <c r="IL404" s="23"/>
      <c r="IM404" s="23"/>
      <c r="IN404" s="23"/>
      <c r="IO404" s="23"/>
      <c r="IP404" s="23"/>
      <c r="IQ404" s="23"/>
      <c r="IR404" s="23"/>
      <c r="IS404" s="23"/>
      <c r="IT404" s="23"/>
      <c r="IU404" s="23"/>
      <c r="IV404" s="23"/>
      <c r="IW404" s="23"/>
      <c r="IX404" s="23"/>
      <c r="IY404" s="23"/>
      <c r="IZ404" s="23"/>
      <c r="JA404" s="23"/>
      <c r="JB404" s="23"/>
      <c r="JC404" s="23"/>
      <c r="JD404" s="23"/>
      <c r="JE404" s="23"/>
      <c r="JF404" s="23"/>
      <c r="JG404" s="23"/>
      <c r="JH404" s="23"/>
      <c r="JI404" s="23"/>
      <c r="JJ404" s="23"/>
      <c r="JK404" s="23"/>
      <c r="JL404" s="23"/>
      <c r="JM404" s="23"/>
      <c r="JN404" s="23"/>
      <c r="JO404" s="23"/>
      <c r="JP404" s="23"/>
      <c r="JQ404" s="23"/>
      <c r="JR404" s="23"/>
      <c r="JS404" s="23"/>
      <c r="JT404" s="23"/>
      <c r="JU404" s="23"/>
      <c r="JV404" s="23"/>
      <c r="JW404" s="23"/>
      <c r="JX404" s="23"/>
      <c r="JY404" s="23"/>
      <c r="JZ404" s="23"/>
      <c r="KA404" s="23"/>
      <c r="KB404" s="23"/>
      <c r="KC404" s="23"/>
      <c r="KD404" s="23"/>
      <c r="KE404" s="23"/>
      <c r="KF404" s="23"/>
      <c r="KG404" s="23"/>
      <c r="KH404" s="23"/>
      <c r="KI404" s="23"/>
      <c r="KJ404" s="23"/>
      <c r="KK404" s="23"/>
      <c r="KL404" s="23"/>
      <c r="KM404" s="23"/>
      <c r="KN404" s="23"/>
      <c r="KO404" s="23"/>
      <c r="KP404" s="23"/>
      <c r="KQ404" s="23"/>
      <c r="KR404" s="23"/>
      <c r="KS404" s="23"/>
      <c r="KT404" s="23"/>
      <c r="KU404" s="23"/>
      <c r="KV404" s="23"/>
      <c r="KW404" s="23"/>
      <c r="KX404" s="23"/>
      <c r="KY404" s="23"/>
      <c r="KZ404" s="23"/>
      <c r="LA404" s="23"/>
      <c r="LB404" s="23"/>
      <c r="LC404" s="23"/>
      <c r="LD404" s="23"/>
      <c r="LE404" s="23"/>
      <c r="LF404" s="23"/>
      <c r="LG404" s="23"/>
      <c r="LH404" s="23"/>
      <c r="LI404" s="23"/>
      <c r="LJ404" s="23"/>
      <c r="LK404" s="23"/>
      <c r="LL404" s="23"/>
      <c r="LM404" s="23"/>
      <c r="LN404" s="23"/>
      <c r="LO404" s="23"/>
    </row>
    <row r="405" spans="1:327">
      <c r="A405" s="390"/>
      <c r="B405" s="23"/>
      <c r="C405" s="391"/>
      <c r="D405" s="391"/>
      <c r="E405" s="23"/>
      <c r="F405" s="23"/>
      <c r="G405" s="392"/>
      <c r="H405" s="392"/>
      <c r="I405" s="392"/>
      <c r="J405" s="392"/>
      <c r="K405" s="392"/>
      <c r="L405" s="392"/>
      <c r="M405" s="392"/>
      <c r="N405" s="23"/>
      <c r="O405" s="39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  <c r="IL405" s="23"/>
      <c r="IM405" s="23"/>
      <c r="IN405" s="23"/>
      <c r="IO405" s="23"/>
      <c r="IP405" s="23"/>
      <c r="IQ405" s="23"/>
      <c r="IR405" s="23"/>
      <c r="IS405" s="23"/>
      <c r="IT405" s="23"/>
      <c r="IU405" s="23"/>
      <c r="IV405" s="23"/>
      <c r="IW405" s="23"/>
      <c r="IX405" s="23"/>
      <c r="IY405" s="23"/>
      <c r="IZ405" s="23"/>
      <c r="JA405" s="23"/>
      <c r="JB405" s="23"/>
      <c r="JC405" s="23"/>
      <c r="JD405" s="23"/>
      <c r="JE405" s="23"/>
      <c r="JF405" s="23"/>
      <c r="JG405" s="23"/>
      <c r="JH405" s="23"/>
      <c r="JI405" s="23"/>
      <c r="JJ405" s="23"/>
      <c r="JK405" s="23"/>
      <c r="JL405" s="23"/>
      <c r="JM405" s="23"/>
      <c r="JN405" s="23"/>
      <c r="JO405" s="23"/>
      <c r="JP405" s="23"/>
      <c r="JQ405" s="23"/>
      <c r="JR405" s="23"/>
      <c r="JS405" s="23"/>
      <c r="JT405" s="23"/>
      <c r="JU405" s="23"/>
      <c r="JV405" s="23"/>
      <c r="JW405" s="23"/>
      <c r="JX405" s="23"/>
      <c r="JY405" s="23"/>
      <c r="JZ405" s="23"/>
      <c r="KA405" s="23"/>
      <c r="KB405" s="23"/>
      <c r="KC405" s="23"/>
      <c r="KD405" s="23"/>
      <c r="KE405" s="23"/>
      <c r="KF405" s="23"/>
      <c r="KG405" s="23"/>
      <c r="KH405" s="23"/>
      <c r="KI405" s="23"/>
      <c r="KJ405" s="23"/>
      <c r="KK405" s="23"/>
      <c r="KL405" s="23"/>
      <c r="KM405" s="23"/>
      <c r="KN405" s="23"/>
      <c r="KO405" s="23"/>
      <c r="KP405" s="23"/>
      <c r="KQ405" s="23"/>
      <c r="KR405" s="23"/>
      <c r="KS405" s="23"/>
      <c r="KT405" s="23"/>
      <c r="KU405" s="23"/>
      <c r="KV405" s="23"/>
      <c r="KW405" s="23"/>
      <c r="KX405" s="23"/>
      <c r="KY405" s="23"/>
      <c r="KZ405" s="23"/>
      <c r="LA405" s="23"/>
      <c r="LB405" s="23"/>
      <c r="LC405" s="23"/>
      <c r="LD405" s="23"/>
      <c r="LE405" s="23"/>
      <c r="LF405" s="23"/>
      <c r="LG405" s="23"/>
      <c r="LH405" s="23"/>
      <c r="LI405" s="23"/>
      <c r="LJ405" s="23"/>
      <c r="LK405" s="23"/>
      <c r="LL405" s="23"/>
      <c r="LM405" s="23"/>
      <c r="LN405" s="23"/>
      <c r="LO405" s="23"/>
    </row>
    <row r="406" spans="1:327">
      <c r="A406" s="390"/>
      <c r="B406" s="23"/>
      <c r="C406" s="391"/>
      <c r="D406" s="391"/>
      <c r="E406" s="23"/>
      <c r="F406" s="23"/>
      <c r="G406" s="392"/>
      <c r="H406" s="392"/>
      <c r="I406" s="392"/>
      <c r="J406" s="392"/>
      <c r="K406" s="392"/>
      <c r="L406" s="392"/>
      <c r="M406" s="392"/>
      <c r="N406" s="23"/>
      <c r="O406" s="39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  <c r="IR406" s="23"/>
      <c r="IS406" s="23"/>
      <c r="IT406" s="23"/>
      <c r="IU406" s="23"/>
      <c r="IV406" s="23"/>
      <c r="IW406" s="23"/>
      <c r="IX406" s="23"/>
      <c r="IY406" s="23"/>
      <c r="IZ406" s="23"/>
      <c r="JA406" s="23"/>
      <c r="JB406" s="23"/>
      <c r="JC406" s="23"/>
      <c r="JD406" s="23"/>
      <c r="JE406" s="23"/>
      <c r="JF406" s="23"/>
      <c r="JG406" s="23"/>
      <c r="JH406" s="23"/>
      <c r="JI406" s="23"/>
      <c r="JJ406" s="23"/>
      <c r="JK406" s="23"/>
      <c r="JL406" s="23"/>
      <c r="JM406" s="23"/>
      <c r="JN406" s="23"/>
      <c r="JO406" s="23"/>
      <c r="JP406" s="23"/>
      <c r="JQ406" s="23"/>
      <c r="JR406" s="23"/>
      <c r="JS406" s="23"/>
      <c r="JT406" s="23"/>
      <c r="JU406" s="23"/>
      <c r="JV406" s="23"/>
      <c r="JW406" s="23"/>
      <c r="JX406" s="23"/>
      <c r="JY406" s="23"/>
      <c r="JZ406" s="23"/>
      <c r="KA406" s="23"/>
      <c r="KB406" s="23"/>
      <c r="KC406" s="23"/>
      <c r="KD406" s="23"/>
      <c r="KE406" s="23"/>
      <c r="KF406" s="23"/>
      <c r="KG406" s="23"/>
      <c r="KH406" s="23"/>
      <c r="KI406" s="23"/>
      <c r="KJ406" s="23"/>
      <c r="KK406" s="23"/>
      <c r="KL406" s="23"/>
      <c r="KM406" s="23"/>
      <c r="KN406" s="23"/>
      <c r="KO406" s="23"/>
      <c r="KP406" s="23"/>
      <c r="KQ406" s="23"/>
      <c r="KR406" s="23"/>
      <c r="KS406" s="23"/>
      <c r="KT406" s="23"/>
      <c r="KU406" s="23"/>
      <c r="KV406" s="23"/>
      <c r="KW406" s="23"/>
      <c r="KX406" s="23"/>
      <c r="KY406" s="23"/>
      <c r="KZ406" s="23"/>
      <c r="LA406" s="23"/>
      <c r="LB406" s="23"/>
      <c r="LC406" s="23"/>
      <c r="LD406" s="23"/>
      <c r="LE406" s="23"/>
      <c r="LF406" s="23"/>
      <c r="LG406" s="23"/>
      <c r="LH406" s="23"/>
      <c r="LI406" s="23"/>
      <c r="LJ406" s="23"/>
      <c r="LK406" s="23"/>
      <c r="LL406" s="23"/>
      <c r="LM406" s="23"/>
      <c r="LN406" s="23"/>
      <c r="LO406" s="23"/>
    </row>
    <row r="407" spans="1:327">
      <c r="A407" s="390"/>
      <c r="B407" s="23"/>
      <c r="C407" s="391"/>
      <c r="D407" s="391"/>
      <c r="E407" s="23"/>
      <c r="F407" s="23"/>
      <c r="G407" s="392"/>
      <c r="H407" s="392"/>
      <c r="I407" s="392"/>
      <c r="J407" s="392"/>
      <c r="K407" s="392"/>
      <c r="L407" s="392"/>
      <c r="M407" s="392"/>
      <c r="N407" s="23"/>
      <c r="O407" s="39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  <c r="IR407" s="23"/>
      <c r="IS407" s="23"/>
      <c r="IT407" s="23"/>
      <c r="IU407" s="23"/>
      <c r="IV407" s="23"/>
      <c r="IW407" s="23"/>
      <c r="IX407" s="23"/>
      <c r="IY407" s="23"/>
      <c r="IZ407" s="23"/>
      <c r="JA407" s="23"/>
      <c r="JB407" s="23"/>
      <c r="JC407" s="23"/>
      <c r="JD407" s="23"/>
      <c r="JE407" s="23"/>
      <c r="JF407" s="23"/>
      <c r="JG407" s="23"/>
      <c r="JH407" s="23"/>
      <c r="JI407" s="23"/>
      <c r="JJ407" s="23"/>
      <c r="JK407" s="23"/>
      <c r="JL407" s="23"/>
      <c r="JM407" s="23"/>
      <c r="JN407" s="23"/>
      <c r="JO407" s="23"/>
      <c r="JP407" s="23"/>
      <c r="JQ407" s="23"/>
      <c r="JR407" s="23"/>
      <c r="JS407" s="23"/>
      <c r="JT407" s="23"/>
      <c r="JU407" s="23"/>
      <c r="JV407" s="23"/>
      <c r="JW407" s="23"/>
      <c r="JX407" s="23"/>
      <c r="JY407" s="23"/>
      <c r="JZ407" s="23"/>
      <c r="KA407" s="23"/>
      <c r="KB407" s="23"/>
      <c r="KC407" s="23"/>
      <c r="KD407" s="23"/>
      <c r="KE407" s="23"/>
      <c r="KF407" s="23"/>
      <c r="KG407" s="23"/>
      <c r="KH407" s="23"/>
      <c r="KI407" s="23"/>
      <c r="KJ407" s="23"/>
      <c r="KK407" s="23"/>
      <c r="KL407" s="23"/>
      <c r="KM407" s="23"/>
      <c r="KN407" s="23"/>
      <c r="KO407" s="23"/>
      <c r="KP407" s="23"/>
      <c r="KQ407" s="23"/>
      <c r="KR407" s="23"/>
      <c r="KS407" s="23"/>
      <c r="KT407" s="23"/>
      <c r="KU407" s="23"/>
      <c r="KV407" s="23"/>
      <c r="KW407" s="23"/>
      <c r="KX407" s="23"/>
      <c r="KY407" s="23"/>
      <c r="KZ407" s="23"/>
      <c r="LA407" s="23"/>
      <c r="LB407" s="23"/>
      <c r="LC407" s="23"/>
      <c r="LD407" s="23"/>
      <c r="LE407" s="23"/>
      <c r="LF407" s="23"/>
      <c r="LG407" s="23"/>
      <c r="LH407" s="23"/>
      <c r="LI407" s="23"/>
      <c r="LJ407" s="23"/>
      <c r="LK407" s="23"/>
      <c r="LL407" s="23"/>
      <c r="LM407" s="23"/>
      <c r="LN407" s="23"/>
      <c r="LO407" s="23"/>
    </row>
    <row r="408" spans="1:327">
      <c r="A408" s="390"/>
      <c r="B408" s="23"/>
      <c r="C408" s="391"/>
      <c r="D408" s="391"/>
      <c r="E408" s="23"/>
      <c r="F408" s="23"/>
      <c r="G408" s="392"/>
      <c r="H408" s="392"/>
      <c r="I408" s="392"/>
      <c r="J408" s="392"/>
      <c r="K408" s="392"/>
      <c r="L408" s="392"/>
      <c r="M408" s="392"/>
      <c r="N408" s="23"/>
      <c r="O408" s="39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  <c r="IR408" s="23"/>
      <c r="IS408" s="23"/>
      <c r="IT408" s="23"/>
      <c r="IU408" s="23"/>
      <c r="IV408" s="23"/>
      <c r="IW408" s="23"/>
      <c r="IX408" s="23"/>
      <c r="IY408" s="23"/>
      <c r="IZ408" s="23"/>
      <c r="JA408" s="23"/>
      <c r="JB408" s="23"/>
      <c r="JC408" s="23"/>
      <c r="JD408" s="23"/>
      <c r="JE408" s="23"/>
      <c r="JF408" s="23"/>
      <c r="JG408" s="23"/>
      <c r="JH408" s="23"/>
      <c r="JI408" s="23"/>
      <c r="JJ408" s="23"/>
      <c r="JK408" s="23"/>
      <c r="JL408" s="23"/>
      <c r="JM408" s="23"/>
      <c r="JN408" s="23"/>
      <c r="JO408" s="23"/>
      <c r="JP408" s="23"/>
      <c r="JQ408" s="23"/>
      <c r="JR408" s="23"/>
      <c r="JS408" s="23"/>
      <c r="JT408" s="23"/>
      <c r="JU408" s="23"/>
      <c r="JV408" s="23"/>
      <c r="JW408" s="23"/>
      <c r="JX408" s="23"/>
      <c r="JY408" s="23"/>
      <c r="JZ408" s="23"/>
      <c r="KA408" s="23"/>
      <c r="KB408" s="23"/>
      <c r="KC408" s="23"/>
      <c r="KD408" s="23"/>
      <c r="KE408" s="23"/>
      <c r="KF408" s="23"/>
      <c r="KG408" s="23"/>
      <c r="KH408" s="23"/>
      <c r="KI408" s="23"/>
      <c r="KJ408" s="23"/>
      <c r="KK408" s="23"/>
      <c r="KL408" s="23"/>
      <c r="KM408" s="23"/>
      <c r="KN408" s="23"/>
      <c r="KO408" s="23"/>
      <c r="KP408" s="23"/>
      <c r="KQ408" s="23"/>
      <c r="KR408" s="23"/>
      <c r="KS408" s="23"/>
      <c r="KT408" s="23"/>
      <c r="KU408" s="23"/>
      <c r="KV408" s="23"/>
      <c r="KW408" s="23"/>
      <c r="KX408" s="23"/>
      <c r="KY408" s="23"/>
      <c r="KZ408" s="23"/>
      <c r="LA408" s="23"/>
      <c r="LB408" s="23"/>
      <c r="LC408" s="23"/>
      <c r="LD408" s="23"/>
      <c r="LE408" s="23"/>
      <c r="LF408" s="23"/>
      <c r="LG408" s="23"/>
      <c r="LH408" s="23"/>
      <c r="LI408" s="23"/>
      <c r="LJ408" s="23"/>
      <c r="LK408" s="23"/>
      <c r="LL408" s="23"/>
      <c r="LM408" s="23"/>
      <c r="LN408" s="23"/>
      <c r="LO408" s="23"/>
    </row>
    <row r="409" spans="1:327">
      <c r="A409" s="390"/>
      <c r="B409" s="23"/>
      <c r="C409" s="391"/>
      <c r="D409" s="391"/>
      <c r="E409" s="23"/>
      <c r="F409" s="23"/>
      <c r="G409" s="392"/>
      <c r="H409" s="392"/>
      <c r="I409" s="392"/>
      <c r="J409" s="392"/>
      <c r="K409" s="392"/>
      <c r="L409" s="392"/>
      <c r="M409" s="392"/>
      <c r="N409" s="23"/>
      <c r="O409" s="39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  <c r="IR409" s="23"/>
      <c r="IS409" s="23"/>
      <c r="IT409" s="23"/>
      <c r="IU409" s="23"/>
      <c r="IV409" s="23"/>
      <c r="IW409" s="23"/>
      <c r="IX409" s="23"/>
      <c r="IY409" s="23"/>
      <c r="IZ409" s="23"/>
      <c r="JA409" s="23"/>
      <c r="JB409" s="23"/>
      <c r="JC409" s="23"/>
      <c r="JD409" s="23"/>
      <c r="JE409" s="23"/>
      <c r="JF409" s="23"/>
      <c r="JG409" s="23"/>
      <c r="JH409" s="23"/>
      <c r="JI409" s="23"/>
      <c r="JJ409" s="23"/>
      <c r="JK409" s="23"/>
      <c r="JL409" s="23"/>
      <c r="JM409" s="23"/>
      <c r="JN409" s="23"/>
      <c r="JO409" s="23"/>
      <c r="JP409" s="23"/>
      <c r="JQ409" s="23"/>
      <c r="JR409" s="23"/>
      <c r="JS409" s="23"/>
      <c r="JT409" s="23"/>
      <c r="JU409" s="23"/>
      <c r="JV409" s="23"/>
      <c r="JW409" s="23"/>
      <c r="JX409" s="23"/>
      <c r="JY409" s="23"/>
      <c r="JZ409" s="23"/>
      <c r="KA409" s="23"/>
      <c r="KB409" s="23"/>
      <c r="KC409" s="23"/>
      <c r="KD409" s="23"/>
      <c r="KE409" s="23"/>
      <c r="KF409" s="23"/>
      <c r="KG409" s="23"/>
      <c r="KH409" s="23"/>
      <c r="KI409" s="23"/>
      <c r="KJ409" s="23"/>
      <c r="KK409" s="23"/>
      <c r="KL409" s="23"/>
      <c r="KM409" s="23"/>
      <c r="KN409" s="23"/>
      <c r="KO409" s="23"/>
      <c r="KP409" s="23"/>
      <c r="KQ409" s="23"/>
      <c r="KR409" s="23"/>
      <c r="KS409" s="23"/>
      <c r="KT409" s="23"/>
      <c r="KU409" s="23"/>
      <c r="KV409" s="23"/>
      <c r="KW409" s="23"/>
      <c r="KX409" s="23"/>
      <c r="KY409" s="23"/>
      <c r="KZ409" s="23"/>
      <c r="LA409" s="23"/>
      <c r="LB409" s="23"/>
      <c r="LC409" s="23"/>
      <c r="LD409" s="23"/>
      <c r="LE409" s="23"/>
      <c r="LF409" s="23"/>
      <c r="LG409" s="23"/>
      <c r="LH409" s="23"/>
      <c r="LI409" s="23"/>
      <c r="LJ409" s="23"/>
      <c r="LK409" s="23"/>
      <c r="LL409" s="23"/>
      <c r="LM409" s="23"/>
      <c r="LN409" s="23"/>
      <c r="LO409" s="23"/>
    </row>
    <row r="410" spans="1:327">
      <c r="A410" s="390"/>
      <c r="B410" s="23"/>
      <c r="C410" s="391"/>
      <c r="D410" s="391"/>
      <c r="E410" s="23"/>
      <c r="F410" s="23"/>
      <c r="G410" s="392"/>
      <c r="H410" s="392"/>
      <c r="I410" s="392"/>
      <c r="J410" s="392"/>
      <c r="K410" s="392"/>
      <c r="L410" s="392"/>
      <c r="M410" s="392"/>
      <c r="N410" s="23"/>
      <c r="O410" s="39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  <c r="IR410" s="23"/>
      <c r="IS410" s="23"/>
      <c r="IT410" s="23"/>
      <c r="IU410" s="23"/>
      <c r="IV410" s="23"/>
      <c r="IW410" s="23"/>
      <c r="IX410" s="23"/>
      <c r="IY410" s="23"/>
      <c r="IZ410" s="23"/>
      <c r="JA410" s="23"/>
      <c r="JB410" s="23"/>
      <c r="JC410" s="23"/>
      <c r="JD410" s="23"/>
      <c r="JE410" s="23"/>
      <c r="JF410" s="23"/>
      <c r="JG410" s="23"/>
      <c r="JH410" s="23"/>
      <c r="JI410" s="23"/>
      <c r="JJ410" s="23"/>
      <c r="JK410" s="23"/>
      <c r="JL410" s="23"/>
      <c r="JM410" s="23"/>
      <c r="JN410" s="23"/>
      <c r="JO410" s="23"/>
      <c r="JP410" s="23"/>
      <c r="JQ410" s="23"/>
      <c r="JR410" s="23"/>
      <c r="JS410" s="23"/>
      <c r="JT410" s="23"/>
      <c r="JU410" s="23"/>
      <c r="JV410" s="23"/>
      <c r="JW410" s="23"/>
      <c r="JX410" s="23"/>
      <c r="JY410" s="23"/>
      <c r="JZ410" s="23"/>
      <c r="KA410" s="23"/>
      <c r="KB410" s="23"/>
      <c r="KC410" s="23"/>
      <c r="KD410" s="23"/>
      <c r="KE410" s="23"/>
      <c r="KF410" s="23"/>
      <c r="KG410" s="23"/>
      <c r="KH410" s="23"/>
      <c r="KI410" s="23"/>
      <c r="KJ410" s="23"/>
      <c r="KK410" s="23"/>
      <c r="KL410" s="23"/>
      <c r="KM410" s="23"/>
      <c r="KN410" s="23"/>
      <c r="KO410" s="23"/>
      <c r="KP410" s="23"/>
      <c r="KQ410" s="23"/>
      <c r="KR410" s="23"/>
      <c r="KS410" s="23"/>
      <c r="KT410" s="23"/>
      <c r="KU410" s="23"/>
      <c r="KV410" s="23"/>
      <c r="KW410" s="23"/>
      <c r="KX410" s="23"/>
      <c r="KY410" s="23"/>
      <c r="KZ410" s="23"/>
      <c r="LA410" s="23"/>
      <c r="LB410" s="23"/>
      <c r="LC410" s="23"/>
      <c r="LD410" s="23"/>
      <c r="LE410" s="23"/>
      <c r="LF410" s="23"/>
      <c r="LG410" s="23"/>
      <c r="LH410" s="23"/>
      <c r="LI410" s="23"/>
      <c r="LJ410" s="23"/>
      <c r="LK410" s="23"/>
      <c r="LL410" s="23"/>
      <c r="LM410" s="23"/>
      <c r="LN410" s="23"/>
      <c r="LO410" s="23"/>
    </row>
    <row r="411" spans="1:327">
      <c r="A411" s="390"/>
      <c r="B411" s="23"/>
      <c r="C411" s="391"/>
      <c r="D411" s="391"/>
      <c r="E411" s="23"/>
      <c r="F411" s="23"/>
      <c r="G411" s="392"/>
      <c r="H411" s="392"/>
      <c r="I411" s="392"/>
      <c r="J411" s="392"/>
      <c r="K411" s="392"/>
      <c r="L411" s="392"/>
      <c r="M411" s="392"/>
      <c r="N411" s="23"/>
      <c r="O411" s="39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  <c r="IR411" s="23"/>
      <c r="IS411" s="23"/>
      <c r="IT411" s="23"/>
      <c r="IU411" s="23"/>
      <c r="IV411" s="23"/>
      <c r="IW411" s="23"/>
      <c r="IX411" s="23"/>
      <c r="IY411" s="23"/>
      <c r="IZ411" s="23"/>
      <c r="JA411" s="23"/>
      <c r="JB411" s="23"/>
      <c r="JC411" s="23"/>
      <c r="JD411" s="23"/>
      <c r="JE411" s="23"/>
      <c r="JF411" s="23"/>
      <c r="JG411" s="23"/>
      <c r="JH411" s="23"/>
      <c r="JI411" s="23"/>
      <c r="JJ411" s="23"/>
      <c r="JK411" s="23"/>
      <c r="JL411" s="23"/>
      <c r="JM411" s="23"/>
      <c r="JN411" s="23"/>
      <c r="JO411" s="23"/>
      <c r="JP411" s="23"/>
      <c r="JQ411" s="23"/>
      <c r="JR411" s="23"/>
      <c r="JS411" s="23"/>
      <c r="JT411" s="23"/>
      <c r="JU411" s="23"/>
      <c r="JV411" s="23"/>
      <c r="JW411" s="23"/>
      <c r="JX411" s="23"/>
      <c r="JY411" s="23"/>
      <c r="JZ411" s="23"/>
      <c r="KA411" s="23"/>
      <c r="KB411" s="23"/>
      <c r="KC411" s="23"/>
      <c r="KD411" s="23"/>
      <c r="KE411" s="23"/>
      <c r="KF411" s="23"/>
      <c r="KG411" s="23"/>
      <c r="KH411" s="23"/>
      <c r="KI411" s="23"/>
      <c r="KJ411" s="23"/>
      <c r="KK411" s="23"/>
      <c r="KL411" s="23"/>
      <c r="KM411" s="23"/>
      <c r="KN411" s="23"/>
      <c r="KO411" s="23"/>
      <c r="KP411" s="23"/>
      <c r="KQ411" s="23"/>
      <c r="KR411" s="23"/>
      <c r="KS411" s="23"/>
      <c r="KT411" s="23"/>
      <c r="KU411" s="23"/>
      <c r="KV411" s="23"/>
      <c r="KW411" s="23"/>
      <c r="KX411" s="23"/>
      <c r="KY411" s="23"/>
      <c r="KZ411" s="23"/>
      <c r="LA411" s="23"/>
      <c r="LB411" s="23"/>
      <c r="LC411" s="23"/>
      <c r="LD411" s="23"/>
      <c r="LE411" s="23"/>
      <c r="LF411" s="23"/>
      <c r="LG411" s="23"/>
      <c r="LH411" s="23"/>
      <c r="LI411" s="23"/>
      <c r="LJ411" s="23"/>
      <c r="LK411" s="23"/>
      <c r="LL411" s="23"/>
      <c r="LM411" s="23"/>
      <c r="LN411" s="23"/>
      <c r="LO411" s="23"/>
    </row>
    <row r="412" spans="1:327">
      <c r="A412" s="390"/>
      <c r="B412" s="23"/>
      <c r="C412" s="391"/>
      <c r="D412" s="391"/>
      <c r="E412" s="23"/>
      <c r="F412" s="23"/>
      <c r="G412" s="392"/>
      <c r="H412" s="392"/>
      <c r="I412" s="392"/>
      <c r="J412" s="392"/>
      <c r="K412" s="392"/>
      <c r="L412" s="392"/>
      <c r="M412" s="392"/>
      <c r="N412" s="23"/>
      <c r="O412" s="39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  <c r="IR412" s="23"/>
      <c r="IS412" s="23"/>
      <c r="IT412" s="23"/>
      <c r="IU412" s="23"/>
      <c r="IV412" s="23"/>
      <c r="IW412" s="23"/>
      <c r="IX412" s="23"/>
      <c r="IY412" s="23"/>
      <c r="IZ412" s="23"/>
      <c r="JA412" s="23"/>
      <c r="JB412" s="23"/>
      <c r="JC412" s="23"/>
      <c r="JD412" s="23"/>
      <c r="JE412" s="23"/>
      <c r="JF412" s="23"/>
      <c r="JG412" s="23"/>
      <c r="JH412" s="23"/>
      <c r="JI412" s="23"/>
      <c r="JJ412" s="23"/>
      <c r="JK412" s="23"/>
      <c r="JL412" s="23"/>
      <c r="JM412" s="23"/>
      <c r="JN412" s="23"/>
      <c r="JO412" s="23"/>
      <c r="JP412" s="23"/>
      <c r="JQ412" s="23"/>
      <c r="JR412" s="23"/>
      <c r="JS412" s="23"/>
      <c r="JT412" s="23"/>
      <c r="JU412" s="23"/>
      <c r="JV412" s="23"/>
      <c r="JW412" s="23"/>
      <c r="JX412" s="23"/>
      <c r="JY412" s="23"/>
      <c r="JZ412" s="23"/>
      <c r="KA412" s="23"/>
      <c r="KB412" s="23"/>
      <c r="KC412" s="23"/>
      <c r="KD412" s="23"/>
      <c r="KE412" s="23"/>
      <c r="KF412" s="23"/>
      <c r="KG412" s="23"/>
      <c r="KH412" s="23"/>
      <c r="KI412" s="23"/>
      <c r="KJ412" s="23"/>
      <c r="KK412" s="23"/>
      <c r="KL412" s="23"/>
      <c r="KM412" s="23"/>
      <c r="KN412" s="23"/>
      <c r="KO412" s="23"/>
      <c r="KP412" s="23"/>
      <c r="KQ412" s="23"/>
      <c r="KR412" s="23"/>
      <c r="KS412" s="23"/>
      <c r="KT412" s="23"/>
      <c r="KU412" s="23"/>
      <c r="KV412" s="23"/>
      <c r="KW412" s="23"/>
      <c r="KX412" s="23"/>
      <c r="KY412" s="23"/>
      <c r="KZ412" s="23"/>
      <c r="LA412" s="23"/>
      <c r="LB412" s="23"/>
      <c r="LC412" s="23"/>
      <c r="LD412" s="23"/>
      <c r="LE412" s="23"/>
      <c r="LF412" s="23"/>
      <c r="LG412" s="23"/>
      <c r="LH412" s="23"/>
      <c r="LI412" s="23"/>
      <c r="LJ412" s="23"/>
      <c r="LK412" s="23"/>
      <c r="LL412" s="23"/>
      <c r="LM412" s="23"/>
      <c r="LN412" s="23"/>
      <c r="LO412" s="23"/>
    </row>
    <row r="413" spans="1:327">
      <c r="A413" s="390"/>
      <c r="B413" s="23"/>
      <c r="C413" s="391"/>
      <c r="D413" s="391"/>
      <c r="E413" s="23"/>
      <c r="F413" s="23"/>
      <c r="G413" s="392"/>
      <c r="H413" s="392"/>
      <c r="I413" s="392"/>
      <c r="J413" s="392"/>
      <c r="K413" s="392"/>
      <c r="L413" s="392"/>
      <c r="M413" s="392"/>
      <c r="N413" s="23"/>
      <c r="O413" s="39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  <c r="IR413" s="23"/>
      <c r="IS413" s="23"/>
      <c r="IT413" s="23"/>
      <c r="IU413" s="23"/>
      <c r="IV413" s="23"/>
      <c r="IW413" s="23"/>
      <c r="IX413" s="23"/>
      <c r="IY413" s="23"/>
      <c r="IZ413" s="23"/>
      <c r="JA413" s="23"/>
      <c r="JB413" s="23"/>
      <c r="JC413" s="23"/>
      <c r="JD413" s="23"/>
      <c r="JE413" s="23"/>
      <c r="JF413" s="23"/>
      <c r="JG413" s="23"/>
      <c r="JH413" s="23"/>
      <c r="JI413" s="23"/>
      <c r="JJ413" s="23"/>
      <c r="JK413" s="23"/>
      <c r="JL413" s="23"/>
      <c r="JM413" s="23"/>
      <c r="JN413" s="23"/>
      <c r="JO413" s="23"/>
      <c r="JP413" s="23"/>
      <c r="JQ413" s="23"/>
      <c r="JR413" s="23"/>
      <c r="JS413" s="23"/>
      <c r="JT413" s="23"/>
      <c r="JU413" s="23"/>
      <c r="JV413" s="23"/>
      <c r="JW413" s="23"/>
      <c r="JX413" s="23"/>
      <c r="JY413" s="23"/>
      <c r="JZ413" s="23"/>
      <c r="KA413" s="23"/>
      <c r="KB413" s="23"/>
      <c r="KC413" s="23"/>
      <c r="KD413" s="23"/>
      <c r="KE413" s="23"/>
      <c r="KF413" s="23"/>
      <c r="KG413" s="23"/>
      <c r="KH413" s="23"/>
      <c r="KI413" s="23"/>
      <c r="KJ413" s="23"/>
      <c r="KK413" s="23"/>
      <c r="KL413" s="23"/>
      <c r="KM413" s="23"/>
      <c r="KN413" s="23"/>
      <c r="KO413" s="23"/>
      <c r="KP413" s="23"/>
      <c r="KQ413" s="23"/>
      <c r="KR413" s="23"/>
      <c r="KS413" s="23"/>
      <c r="KT413" s="23"/>
      <c r="KU413" s="23"/>
      <c r="KV413" s="23"/>
      <c r="KW413" s="23"/>
      <c r="KX413" s="23"/>
      <c r="KY413" s="23"/>
      <c r="KZ413" s="23"/>
      <c r="LA413" s="23"/>
      <c r="LB413" s="23"/>
      <c r="LC413" s="23"/>
      <c r="LD413" s="23"/>
      <c r="LE413" s="23"/>
      <c r="LF413" s="23"/>
      <c r="LG413" s="23"/>
      <c r="LH413" s="23"/>
      <c r="LI413" s="23"/>
      <c r="LJ413" s="23"/>
      <c r="LK413" s="23"/>
      <c r="LL413" s="23"/>
      <c r="LM413" s="23"/>
      <c r="LN413" s="23"/>
      <c r="LO413" s="23"/>
    </row>
    <row r="414" spans="1:327">
      <c r="A414" s="390"/>
      <c r="B414" s="23"/>
      <c r="C414" s="391"/>
      <c r="D414" s="391"/>
      <c r="E414" s="23"/>
      <c r="F414" s="23"/>
      <c r="G414" s="392"/>
      <c r="H414" s="392"/>
      <c r="I414" s="392"/>
      <c r="J414" s="392"/>
      <c r="K414" s="392"/>
      <c r="L414" s="392"/>
      <c r="M414" s="392"/>
      <c r="N414" s="23"/>
      <c r="O414" s="39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  <c r="IR414" s="23"/>
      <c r="IS414" s="23"/>
      <c r="IT414" s="23"/>
      <c r="IU414" s="23"/>
      <c r="IV414" s="23"/>
      <c r="IW414" s="23"/>
      <c r="IX414" s="23"/>
      <c r="IY414" s="23"/>
      <c r="IZ414" s="23"/>
      <c r="JA414" s="23"/>
      <c r="JB414" s="23"/>
      <c r="JC414" s="23"/>
      <c r="JD414" s="23"/>
      <c r="JE414" s="23"/>
      <c r="JF414" s="23"/>
      <c r="JG414" s="23"/>
      <c r="JH414" s="23"/>
      <c r="JI414" s="23"/>
      <c r="JJ414" s="23"/>
      <c r="JK414" s="23"/>
      <c r="JL414" s="23"/>
      <c r="JM414" s="23"/>
      <c r="JN414" s="23"/>
      <c r="JO414" s="23"/>
      <c r="JP414" s="23"/>
      <c r="JQ414" s="23"/>
      <c r="JR414" s="23"/>
      <c r="JS414" s="23"/>
      <c r="JT414" s="23"/>
      <c r="JU414" s="23"/>
      <c r="JV414" s="23"/>
      <c r="JW414" s="23"/>
      <c r="JX414" s="23"/>
      <c r="JY414" s="23"/>
      <c r="JZ414" s="23"/>
      <c r="KA414" s="23"/>
      <c r="KB414" s="23"/>
      <c r="KC414" s="23"/>
      <c r="KD414" s="23"/>
      <c r="KE414" s="23"/>
      <c r="KF414" s="23"/>
      <c r="KG414" s="23"/>
      <c r="KH414" s="23"/>
      <c r="KI414" s="23"/>
      <c r="KJ414" s="23"/>
      <c r="KK414" s="23"/>
      <c r="KL414" s="23"/>
      <c r="KM414" s="23"/>
      <c r="KN414" s="23"/>
      <c r="KO414" s="23"/>
      <c r="KP414" s="23"/>
      <c r="KQ414" s="23"/>
      <c r="KR414" s="23"/>
      <c r="KS414" s="23"/>
      <c r="KT414" s="23"/>
      <c r="KU414" s="23"/>
      <c r="KV414" s="23"/>
      <c r="KW414" s="23"/>
      <c r="KX414" s="23"/>
      <c r="KY414" s="23"/>
      <c r="KZ414" s="23"/>
      <c r="LA414" s="23"/>
      <c r="LB414" s="23"/>
      <c r="LC414" s="23"/>
      <c r="LD414" s="23"/>
      <c r="LE414" s="23"/>
      <c r="LF414" s="23"/>
      <c r="LG414" s="23"/>
      <c r="LH414" s="23"/>
      <c r="LI414" s="23"/>
      <c r="LJ414" s="23"/>
      <c r="LK414" s="23"/>
      <c r="LL414" s="23"/>
      <c r="LM414" s="23"/>
      <c r="LN414" s="23"/>
      <c r="LO414" s="23"/>
    </row>
    <row r="415" spans="1:327">
      <c r="A415" s="390"/>
      <c r="B415" s="23"/>
      <c r="C415" s="391"/>
      <c r="D415" s="391"/>
      <c r="E415" s="23"/>
      <c r="F415" s="23"/>
      <c r="G415" s="392"/>
      <c r="H415" s="392"/>
      <c r="I415" s="392"/>
      <c r="J415" s="392"/>
      <c r="K415" s="392"/>
      <c r="L415" s="392"/>
      <c r="M415" s="392"/>
      <c r="N415" s="23"/>
      <c r="O415" s="39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  <c r="IR415" s="23"/>
      <c r="IS415" s="23"/>
      <c r="IT415" s="23"/>
      <c r="IU415" s="23"/>
      <c r="IV415" s="23"/>
      <c r="IW415" s="23"/>
      <c r="IX415" s="23"/>
      <c r="IY415" s="23"/>
      <c r="IZ415" s="23"/>
      <c r="JA415" s="23"/>
      <c r="JB415" s="23"/>
      <c r="JC415" s="23"/>
      <c r="JD415" s="23"/>
      <c r="JE415" s="23"/>
      <c r="JF415" s="23"/>
      <c r="JG415" s="23"/>
      <c r="JH415" s="23"/>
      <c r="JI415" s="23"/>
      <c r="JJ415" s="23"/>
      <c r="JK415" s="23"/>
      <c r="JL415" s="23"/>
      <c r="JM415" s="23"/>
      <c r="JN415" s="23"/>
      <c r="JO415" s="23"/>
      <c r="JP415" s="23"/>
      <c r="JQ415" s="23"/>
      <c r="JR415" s="23"/>
      <c r="JS415" s="23"/>
      <c r="JT415" s="23"/>
      <c r="JU415" s="23"/>
      <c r="JV415" s="23"/>
      <c r="JW415" s="23"/>
      <c r="JX415" s="23"/>
      <c r="JY415" s="23"/>
      <c r="JZ415" s="23"/>
      <c r="KA415" s="23"/>
      <c r="KB415" s="23"/>
      <c r="KC415" s="23"/>
      <c r="KD415" s="23"/>
      <c r="KE415" s="23"/>
      <c r="KF415" s="23"/>
      <c r="KG415" s="23"/>
      <c r="KH415" s="23"/>
      <c r="KI415" s="23"/>
      <c r="KJ415" s="23"/>
      <c r="KK415" s="23"/>
      <c r="KL415" s="23"/>
      <c r="KM415" s="23"/>
      <c r="KN415" s="23"/>
      <c r="KO415" s="23"/>
      <c r="KP415" s="23"/>
      <c r="KQ415" s="23"/>
      <c r="KR415" s="23"/>
      <c r="KS415" s="23"/>
      <c r="KT415" s="23"/>
      <c r="KU415" s="23"/>
      <c r="KV415" s="23"/>
      <c r="KW415" s="23"/>
      <c r="KX415" s="23"/>
      <c r="KY415" s="23"/>
      <c r="KZ415" s="23"/>
      <c r="LA415" s="23"/>
      <c r="LB415" s="23"/>
      <c r="LC415" s="23"/>
      <c r="LD415" s="23"/>
      <c r="LE415" s="23"/>
      <c r="LF415" s="23"/>
      <c r="LG415" s="23"/>
      <c r="LH415" s="23"/>
      <c r="LI415" s="23"/>
      <c r="LJ415" s="23"/>
      <c r="LK415" s="23"/>
      <c r="LL415" s="23"/>
      <c r="LM415" s="23"/>
      <c r="LN415" s="23"/>
      <c r="LO415" s="23"/>
    </row>
    <row r="416" spans="1:327">
      <c r="A416" s="390"/>
      <c r="B416" s="23"/>
      <c r="C416" s="391"/>
      <c r="D416" s="391"/>
      <c r="E416" s="23"/>
      <c r="F416" s="23"/>
      <c r="G416" s="392"/>
      <c r="H416" s="392"/>
      <c r="I416" s="392"/>
      <c r="J416" s="392"/>
      <c r="K416" s="392"/>
      <c r="L416" s="392"/>
      <c r="M416" s="392"/>
      <c r="N416" s="23"/>
      <c r="O416" s="39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  <c r="IR416" s="23"/>
      <c r="IS416" s="23"/>
      <c r="IT416" s="23"/>
      <c r="IU416" s="23"/>
      <c r="IV416" s="23"/>
      <c r="IW416" s="23"/>
      <c r="IX416" s="23"/>
      <c r="IY416" s="23"/>
      <c r="IZ416" s="23"/>
      <c r="JA416" s="23"/>
      <c r="JB416" s="23"/>
      <c r="JC416" s="23"/>
      <c r="JD416" s="23"/>
      <c r="JE416" s="23"/>
      <c r="JF416" s="23"/>
      <c r="JG416" s="23"/>
      <c r="JH416" s="23"/>
      <c r="JI416" s="23"/>
      <c r="JJ416" s="23"/>
      <c r="JK416" s="23"/>
      <c r="JL416" s="23"/>
      <c r="JM416" s="23"/>
      <c r="JN416" s="23"/>
      <c r="JO416" s="23"/>
      <c r="JP416" s="23"/>
      <c r="JQ416" s="23"/>
      <c r="JR416" s="23"/>
      <c r="JS416" s="23"/>
      <c r="JT416" s="23"/>
      <c r="JU416" s="23"/>
      <c r="JV416" s="23"/>
      <c r="JW416" s="23"/>
      <c r="JX416" s="23"/>
      <c r="JY416" s="23"/>
      <c r="JZ416" s="23"/>
      <c r="KA416" s="23"/>
      <c r="KB416" s="23"/>
      <c r="KC416" s="23"/>
      <c r="KD416" s="23"/>
      <c r="KE416" s="23"/>
      <c r="KF416" s="23"/>
      <c r="KG416" s="23"/>
      <c r="KH416" s="23"/>
      <c r="KI416" s="23"/>
      <c r="KJ416" s="23"/>
      <c r="KK416" s="23"/>
      <c r="KL416" s="23"/>
      <c r="KM416" s="23"/>
      <c r="KN416" s="23"/>
      <c r="KO416" s="23"/>
      <c r="KP416" s="23"/>
      <c r="KQ416" s="23"/>
      <c r="KR416" s="23"/>
      <c r="KS416" s="23"/>
      <c r="KT416" s="23"/>
      <c r="KU416" s="23"/>
      <c r="KV416" s="23"/>
      <c r="KW416" s="23"/>
      <c r="KX416" s="23"/>
      <c r="KY416" s="23"/>
      <c r="KZ416" s="23"/>
      <c r="LA416" s="23"/>
      <c r="LB416" s="23"/>
      <c r="LC416" s="23"/>
      <c r="LD416" s="23"/>
      <c r="LE416" s="23"/>
      <c r="LF416" s="23"/>
      <c r="LG416" s="23"/>
      <c r="LH416" s="23"/>
      <c r="LI416" s="23"/>
      <c r="LJ416" s="23"/>
      <c r="LK416" s="23"/>
      <c r="LL416" s="23"/>
      <c r="LM416" s="23"/>
      <c r="LN416" s="23"/>
      <c r="LO416" s="23"/>
    </row>
    <row r="417" spans="1:327">
      <c r="A417" s="390"/>
      <c r="B417" s="23"/>
      <c r="C417" s="391"/>
      <c r="D417" s="391"/>
      <c r="E417" s="23"/>
      <c r="F417" s="23"/>
      <c r="G417" s="392"/>
      <c r="H417" s="392"/>
      <c r="I417" s="392"/>
      <c r="J417" s="392"/>
      <c r="K417" s="392"/>
      <c r="L417" s="392"/>
      <c r="M417" s="392"/>
      <c r="N417" s="23"/>
      <c r="O417" s="39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  <c r="IR417" s="23"/>
      <c r="IS417" s="23"/>
      <c r="IT417" s="23"/>
      <c r="IU417" s="23"/>
      <c r="IV417" s="23"/>
      <c r="IW417" s="23"/>
      <c r="IX417" s="23"/>
      <c r="IY417" s="23"/>
      <c r="IZ417" s="23"/>
      <c r="JA417" s="23"/>
      <c r="JB417" s="23"/>
      <c r="JC417" s="23"/>
      <c r="JD417" s="23"/>
      <c r="JE417" s="23"/>
      <c r="JF417" s="23"/>
      <c r="JG417" s="23"/>
      <c r="JH417" s="23"/>
      <c r="JI417" s="23"/>
      <c r="JJ417" s="23"/>
      <c r="JK417" s="23"/>
      <c r="JL417" s="23"/>
      <c r="JM417" s="23"/>
      <c r="JN417" s="23"/>
      <c r="JO417" s="23"/>
      <c r="JP417" s="23"/>
      <c r="JQ417" s="23"/>
      <c r="JR417" s="23"/>
      <c r="JS417" s="23"/>
      <c r="JT417" s="23"/>
      <c r="JU417" s="23"/>
      <c r="JV417" s="23"/>
      <c r="JW417" s="23"/>
      <c r="JX417" s="23"/>
      <c r="JY417" s="23"/>
      <c r="JZ417" s="23"/>
      <c r="KA417" s="23"/>
      <c r="KB417" s="23"/>
      <c r="KC417" s="23"/>
      <c r="KD417" s="23"/>
      <c r="KE417" s="23"/>
      <c r="KF417" s="23"/>
      <c r="KG417" s="23"/>
      <c r="KH417" s="23"/>
      <c r="KI417" s="23"/>
      <c r="KJ417" s="23"/>
      <c r="KK417" s="23"/>
      <c r="KL417" s="23"/>
      <c r="KM417" s="23"/>
      <c r="KN417" s="23"/>
      <c r="KO417" s="23"/>
      <c r="KP417" s="23"/>
      <c r="KQ417" s="23"/>
      <c r="KR417" s="23"/>
      <c r="KS417" s="23"/>
      <c r="KT417" s="23"/>
      <c r="KU417" s="23"/>
      <c r="KV417" s="23"/>
      <c r="KW417" s="23"/>
      <c r="KX417" s="23"/>
      <c r="KY417" s="23"/>
      <c r="KZ417" s="23"/>
      <c r="LA417" s="23"/>
      <c r="LB417" s="23"/>
      <c r="LC417" s="23"/>
      <c r="LD417" s="23"/>
      <c r="LE417" s="23"/>
      <c r="LF417" s="23"/>
      <c r="LG417" s="23"/>
      <c r="LH417" s="23"/>
      <c r="LI417" s="23"/>
      <c r="LJ417" s="23"/>
      <c r="LK417" s="23"/>
      <c r="LL417" s="23"/>
      <c r="LM417" s="23"/>
      <c r="LN417" s="23"/>
      <c r="LO417" s="23"/>
    </row>
    <row r="418" spans="1:327">
      <c r="A418" s="390"/>
      <c r="B418" s="23"/>
      <c r="C418" s="391"/>
      <c r="D418" s="391"/>
      <c r="E418" s="23"/>
      <c r="F418" s="23"/>
      <c r="G418" s="392"/>
      <c r="H418" s="392"/>
      <c r="I418" s="392"/>
      <c r="J418" s="392"/>
      <c r="K418" s="392"/>
      <c r="L418" s="392"/>
      <c r="M418" s="392"/>
      <c r="N418" s="23"/>
      <c r="O418" s="39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  <c r="IR418" s="23"/>
      <c r="IS418" s="23"/>
      <c r="IT418" s="23"/>
      <c r="IU418" s="23"/>
      <c r="IV418" s="23"/>
      <c r="IW418" s="23"/>
      <c r="IX418" s="23"/>
      <c r="IY418" s="23"/>
      <c r="IZ418" s="23"/>
      <c r="JA418" s="23"/>
      <c r="JB418" s="23"/>
      <c r="JC418" s="23"/>
      <c r="JD418" s="23"/>
      <c r="JE418" s="23"/>
      <c r="JF418" s="23"/>
      <c r="JG418" s="23"/>
      <c r="JH418" s="23"/>
      <c r="JI418" s="23"/>
      <c r="JJ418" s="23"/>
      <c r="JK418" s="23"/>
      <c r="JL418" s="23"/>
      <c r="JM418" s="23"/>
      <c r="JN418" s="23"/>
      <c r="JO418" s="23"/>
      <c r="JP418" s="23"/>
      <c r="JQ418" s="23"/>
      <c r="JR418" s="23"/>
      <c r="JS418" s="23"/>
      <c r="JT418" s="23"/>
      <c r="JU418" s="23"/>
      <c r="JV418" s="23"/>
      <c r="JW418" s="23"/>
      <c r="JX418" s="23"/>
      <c r="JY418" s="23"/>
      <c r="JZ418" s="23"/>
      <c r="KA418" s="23"/>
      <c r="KB418" s="23"/>
      <c r="KC418" s="23"/>
      <c r="KD418" s="23"/>
      <c r="KE418" s="23"/>
      <c r="KF418" s="23"/>
      <c r="KG418" s="23"/>
      <c r="KH418" s="23"/>
      <c r="KI418" s="23"/>
      <c r="KJ418" s="23"/>
      <c r="KK418" s="23"/>
      <c r="KL418" s="23"/>
      <c r="KM418" s="23"/>
      <c r="KN418" s="23"/>
      <c r="KO418" s="23"/>
      <c r="KP418" s="23"/>
      <c r="KQ418" s="23"/>
      <c r="KR418" s="23"/>
      <c r="KS418" s="23"/>
      <c r="KT418" s="23"/>
      <c r="KU418" s="23"/>
      <c r="KV418" s="23"/>
      <c r="KW418" s="23"/>
      <c r="KX418" s="23"/>
      <c r="KY418" s="23"/>
      <c r="KZ418" s="23"/>
      <c r="LA418" s="23"/>
      <c r="LB418" s="23"/>
      <c r="LC418" s="23"/>
      <c r="LD418" s="23"/>
      <c r="LE418" s="23"/>
      <c r="LF418" s="23"/>
      <c r="LG418" s="23"/>
      <c r="LH418" s="23"/>
      <c r="LI418" s="23"/>
      <c r="LJ418" s="23"/>
      <c r="LK418" s="23"/>
      <c r="LL418" s="23"/>
      <c r="LM418" s="23"/>
      <c r="LN418" s="23"/>
      <c r="LO418" s="23"/>
    </row>
    <row r="419" spans="1:327">
      <c r="A419" s="390"/>
      <c r="B419" s="23"/>
      <c r="C419" s="391"/>
      <c r="D419" s="391"/>
      <c r="E419" s="23"/>
      <c r="F419" s="23"/>
      <c r="G419" s="392"/>
      <c r="H419" s="392"/>
      <c r="I419" s="392"/>
      <c r="J419" s="392"/>
      <c r="K419" s="392"/>
      <c r="L419" s="392"/>
      <c r="M419" s="392"/>
      <c r="N419" s="23"/>
      <c r="O419" s="39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  <c r="IR419" s="23"/>
      <c r="IS419" s="23"/>
      <c r="IT419" s="23"/>
      <c r="IU419" s="23"/>
      <c r="IV419" s="23"/>
      <c r="IW419" s="23"/>
      <c r="IX419" s="23"/>
      <c r="IY419" s="23"/>
      <c r="IZ419" s="23"/>
      <c r="JA419" s="23"/>
      <c r="JB419" s="23"/>
      <c r="JC419" s="23"/>
      <c r="JD419" s="23"/>
      <c r="JE419" s="23"/>
      <c r="JF419" s="23"/>
      <c r="JG419" s="23"/>
      <c r="JH419" s="23"/>
      <c r="JI419" s="23"/>
      <c r="JJ419" s="23"/>
      <c r="JK419" s="23"/>
      <c r="JL419" s="23"/>
      <c r="JM419" s="23"/>
      <c r="JN419" s="23"/>
      <c r="JO419" s="23"/>
      <c r="JP419" s="23"/>
      <c r="JQ419" s="23"/>
      <c r="JR419" s="23"/>
      <c r="JS419" s="23"/>
      <c r="JT419" s="23"/>
      <c r="JU419" s="23"/>
      <c r="JV419" s="23"/>
      <c r="JW419" s="23"/>
      <c r="JX419" s="23"/>
      <c r="JY419" s="23"/>
      <c r="JZ419" s="23"/>
      <c r="KA419" s="23"/>
      <c r="KB419" s="23"/>
      <c r="KC419" s="23"/>
      <c r="KD419" s="23"/>
      <c r="KE419" s="23"/>
      <c r="KF419" s="23"/>
      <c r="KG419" s="23"/>
      <c r="KH419" s="23"/>
      <c r="KI419" s="23"/>
      <c r="KJ419" s="23"/>
      <c r="KK419" s="23"/>
      <c r="KL419" s="23"/>
      <c r="KM419" s="23"/>
      <c r="KN419" s="23"/>
      <c r="KO419" s="23"/>
      <c r="KP419" s="23"/>
      <c r="KQ419" s="23"/>
      <c r="KR419" s="23"/>
      <c r="KS419" s="23"/>
      <c r="KT419" s="23"/>
      <c r="KU419" s="23"/>
      <c r="KV419" s="23"/>
      <c r="KW419" s="23"/>
      <c r="KX419" s="23"/>
      <c r="KY419" s="23"/>
      <c r="KZ419" s="23"/>
      <c r="LA419" s="23"/>
      <c r="LB419" s="23"/>
      <c r="LC419" s="23"/>
      <c r="LD419" s="23"/>
      <c r="LE419" s="23"/>
      <c r="LF419" s="23"/>
      <c r="LG419" s="23"/>
      <c r="LH419" s="23"/>
      <c r="LI419" s="23"/>
      <c r="LJ419" s="23"/>
      <c r="LK419" s="23"/>
      <c r="LL419" s="23"/>
      <c r="LM419" s="23"/>
      <c r="LN419" s="23"/>
      <c r="LO419" s="23"/>
    </row>
    <row r="420" spans="1:327">
      <c r="A420" s="390"/>
      <c r="B420" s="23"/>
      <c r="C420" s="391"/>
      <c r="D420" s="391"/>
      <c r="E420" s="23"/>
      <c r="F420" s="23"/>
      <c r="G420" s="392"/>
      <c r="H420" s="392"/>
      <c r="I420" s="392"/>
      <c r="J420" s="392"/>
      <c r="K420" s="392"/>
      <c r="L420" s="392"/>
      <c r="M420" s="392"/>
      <c r="N420" s="23"/>
      <c r="O420" s="39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  <c r="IR420" s="23"/>
      <c r="IS420" s="23"/>
      <c r="IT420" s="23"/>
      <c r="IU420" s="23"/>
      <c r="IV420" s="23"/>
      <c r="IW420" s="23"/>
      <c r="IX420" s="23"/>
      <c r="IY420" s="23"/>
      <c r="IZ420" s="23"/>
      <c r="JA420" s="23"/>
      <c r="JB420" s="23"/>
      <c r="JC420" s="23"/>
      <c r="JD420" s="23"/>
      <c r="JE420" s="23"/>
      <c r="JF420" s="23"/>
      <c r="JG420" s="23"/>
      <c r="JH420" s="23"/>
      <c r="JI420" s="23"/>
      <c r="JJ420" s="23"/>
      <c r="JK420" s="23"/>
      <c r="JL420" s="23"/>
      <c r="JM420" s="23"/>
      <c r="JN420" s="23"/>
      <c r="JO420" s="23"/>
      <c r="JP420" s="23"/>
      <c r="JQ420" s="23"/>
      <c r="JR420" s="23"/>
      <c r="JS420" s="23"/>
      <c r="JT420" s="23"/>
      <c r="JU420" s="23"/>
      <c r="JV420" s="23"/>
      <c r="JW420" s="23"/>
      <c r="JX420" s="23"/>
      <c r="JY420" s="23"/>
      <c r="JZ420" s="23"/>
      <c r="KA420" s="23"/>
      <c r="KB420" s="23"/>
      <c r="KC420" s="23"/>
      <c r="KD420" s="23"/>
      <c r="KE420" s="23"/>
      <c r="KF420" s="23"/>
      <c r="KG420" s="23"/>
      <c r="KH420" s="23"/>
      <c r="KI420" s="23"/>
      <c r="KJ420" s="23"/>
      <c r="KK420" s="23"/>
      <c r="KL420" s="23"/>
      <c r="KM420" s="23"/>
      <c r="KN420" s="23"/>
      <c r="KO420" s="23"/>
      <c r="KP420" s="23"/>
      <c r="KQ420" s="23"/>
      <c r="KR420" s="23"/>
      <c r="KS420" s="23"/>
      <c r="KT420" s="23"/>
      <c r="KU420" s="23"/>
      <c r="KV420" s="23"/>
      <c r="KW420" s="23"/>
      <c r="KX420" s="23"/>
      <c r="KY420" s="23"/>
      <c r="KZ420" s="23"/>
      <c r="LA420" s="23"/>
      <c r="LB420" s="23"/>
      <c r="LC420" s="23"/>
      <c r="LD420" s="23"/>
      <c r="LE420" s="23"/>
      <c r="LF420" s="23"/>
      <c r="LG420" s="23"/>
      <c r="LH420" s="23"/>
      <c r="LI420" s="23"/>
      <c r="LJ420" s="23"/>
      <c r="LK420" s="23"/>
      <c r="LL420" s="23"/>
      <c r="LM420" s="23"/>
      <c r="LN420" s="23"/>
      <c r="LO420" s="23"/>
    </row>
    <row r="421" spans="1:327">
      <c r="A421" s="390"/>
      <c r="B421" s="23"/>
      <c r="C421" s="391"/>
      <c r="D421" s="391"/>
      <c r="E421" s="23"/>
      <c r="F421" s="23"/>
      <c r="G421" s="392"/>
      <c r="H421" s="392"/>
      <c r="I421" s="392"/>
      <c r="J421" s="392"/>
      <c r="K421" s="392"/>
      <c r="L421" s="392"/>
      <c r="M421" s="392"/>
      <c r="N421" s="23"/>
      <c r="O421" s="39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  <c r="IR421" s="23"/>
      <c r="IS421" s="23"/>
      <c r="IT421" s="23"/>
      <c r="IU421" s="23"/>
      <c r="IV421" s="23"/>
      <c r="IW421" s="23"/>
      <c r="IX421" s="23"/>
      <c r="IY421" s="23"/>
      <c r="IZ421" s="23"/>
      <c r="JA421" s="23"/>
      <c r="JB421" s="23"/>
      <c r="JC421" s="23"/>
      <c r="JD421" s="23"/>
      <c r="JE421" s="23"/>
      <c r="JF421" s="23"/>
      <c r="JG421" s="23"/>
      <c r="JH421" s="23"/>
      <c r="JI421" s="23"/>
      <c r="JJ421" s="23"/>
      <c r="JK421" s="23"/>
      <c r="JL421" s="23"/>
      <c r="JM421" s="23"/>
      <c r="JN421" s="23"/>
      <c r="JO421" s="23"/>
      <c r="JP421" s="23"/>
      <c r="JQ421" s="23"/>
      <c r="JR421" s="23"/>
      <c r="JS421" s="23"/>
      <c r="JT421" s="23"/>
      <c r="JU421" s="23"/>
      <c r="JV421" s="23"/>
      <c r="JW421" s="23"/>
      <c r="JX421" s="23"/>
      <c r="JY421" s="23"/>
      <c r="JZ421" s="23"/>
      <c r="KA421" s="23"/>
      <c r="KB421" s="23"/>
      <c r="KC421" s="23"/>
      <c r="KD421" s="23"/>
      <c r="KE421" s="23"/>
      <c r="KF421" s="23"/>
      <c r="KG421" s="23"/>
      <c r="KH421" s="23"/>
      <c r="KI421" s="23"/>
      <c r="KJ421" s="23"/>
      <c r="KK421" s="23"/>
      <c r="KL421" s="23"/>
      <c r="KM421" s="23"/>
      <c r="KN421" s="23"/>
      <c r="KO421" s="23"/>
      <c r="KP421" s="23"/>
      <c r="KQ421" s="23"/>
      <c r="KR421" s="23"/>
      <c r="KS421" s="23"/>
      <c r="KT421" s="23"/>
      <c r="KU421" s="23"/>
      <c r="KV421" s="23"/>
      <c r="KW421" s="23"/>
      <c r="KX421" s="23"/>
      <c r="KY421" s="23"/>
      <c r="KZ421" s="23"/>
      <c r="LA421" s="23"/>
      <c r="LB421" s="23"/>
      <c r="LC421" s="23"/>
      <c r="LD421" s="23"/>
      <c r="LE421" s="23"/>
      <c r="LF421" s="23"/>
      <c r="LG421" s="23"/>
      <c r="LH421" s="23"/>
      <c r="LI421" s="23"/>
      <c r="LJ421" s="23"/>
      <c r="LK421" s="23"/>
      <c r="LL421" s="23"/>
      <c r="LM421" s="23"/>
      <c r="LN421" s="23"/>
      <c r="LO421" s="23"/>
    </row>
    <row r="422" spans="1:327">
      <c r="A422" s="390"/>
      <c r="B422" s="23"/>
      <c r="C422" s="391"/>
      <c r="D422" s="391"/>
      <c r="E422" s="23"/>
      <c r="F422" s="23"/>
      <c r="G422" s="392"/>
      <c r="H422" s="392"/>
      <c r="I422" s="392"/>
      <c r="J422" s="392"/>
      <c r="K422" s="392"/>
      <c r="L422" s="392"/>
      <c r="M422" s="392"/>
      <c r="N422" s="23"/>
      <c r="O422" s="39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  <c r="IR422" s="23"/>
      <c r="IS422" s="23"/>
      <c r="IT422" s="23"/>
      <c r="IU422" s="23"/>
      <c r="IV422" s="23"/>
      <c r="IW422" s="23"/>
      <c r="IX422" s="23"/>
      <c r="IY422" s="23"/>
      <c r="IZ422" s="23"/>
      <c r="JA422" s="23"/>
      <c r="JB422" s="23"/>
      <c r="JC422" s="23"/>
      <c r="JD422" s="23"/>
      <c r="JE422" s="23"/>
      <c r="JF422" s="23"/>
      <c r="JG422" s="23"/>
      <c r="JH422" s="23"/>
      <c r="JI422" s="23"/>
      <c r="JJ422" s="23"/>
      <c r="JK422" s="23"/>
      <c r="JL422" s="23"/>
      <c r="JM422" s="23"/>
      <c r="JN422" s="23"/>
      <c r="JO422" s="23"/>
      <c r="JP422" s="23"/>
      <c r="JQ422" s="23"/>
      <c r="JR422" s="23"/>
      <c r="JS422" s="23"/>
      <c r="JT422" s="23"/>
      <c r="JU422" s="23"/>
      <c r="JV422" s="23"/>
      <c r="JW422" s="23"/>
      <c r="JX422" s="23"/>
      <c r="JY422" s="23"/>
      <c r="JZ422" s="23"/>
      <c r="KA422" s="23"/>
      <c r="KB422" s="23"/>
      <c r="KC422" s="23"/>
      <c r="KD422" s="23"/>
      <c r="KE422" s="23"/>
      <c r="KF422" s="23"/>
      <c r="KG422" s="23"/>
      <c r="KH422" s="23"/>
      <c r="KI422" s="23"/>
      <c r="KJ422" s="23"/>
      <c r="KK422" s="23"/>
      <c r="KL422" s="23"/>
      <c r="KM422" s="23"/>
      <c r="KN422" s="23"/>
      <c r="KO422" s="23"/>
      <c r="KP422" s="23"/>
      <c r="KQ422" s="23"/>
      <c r="KR422" s="23"/>
      <c r="KS422" s="23"/>
      <c r="KT422" s="23"/>
      <c r="KU422" s="23"/>
      <c r="KV422" s="23"/>
      <c r="KW422" s="23"/>
      <c r="KX422" s="23"/>
      <c r="KY422" s="23"/>
      <c r="KZ422" s="23"/>
      <c r="LA422" s="23"/>
      <c r="LB422" s="23"/>
      <c r="LC422" s="23"/>
      <c r="LD422" s="23"/>
      <c r="LE422" s="23"/>
      <c r="LF422" s="23"/>
      <c r="LG422" s="23"/>
      <c r="LH422" s="23"/>
      <c r="LI422" s="23"/>
      <c r="LJ422" s="23"/>
      <c r="LK422" s="23"/>
      <c r="LL422" s="23"/>
      <c r="LM422" s="23"/>
      <c r="LN422" s="23"/>
      <c r="LO422" s="23"/>
    </row>
    <row r="423" spans="1:327">
      <c r="A423" s="390"/>
      <c r="B423" s="23"/>
      <c r="C423" s="391"/>
      <c r="D423" s="391"/>
      <c r="E423" s="23"/>
      <c r="F423" s="23"/>
      <c r="G423" s="392"/>
      <c r="H423" s="392"/>
      <c r="I423" s="392"/>
      <c r="J423" s="392"/>
      <c r="K423" s="392"/>
      <c r="L423" s="392"/>
      <c r="M423" s="392"/>
      <c r="N423" s="23"/>
      <c r="O423" s="39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  <c r="IL423" s="23"/>
      <c r="IM423" s="23"/>
      <c r="IN423" s="23"/>
      <c r="IO423" s="23"/>
      <c r="IP423" s="23"/>
      <c r="IQ423" s="23"/>
      <c r="IR423" s="23"/>
      <c r="IS423" s="23"/>
      <c r="IT423" s="23"/>
      <c r="IU423" s="23"/>
      <c r="IV423" s="23"/>
      <c r="IW423" s="23"/>
      <c r="IX423" s="23"/>
      <c r="IY423" s="23"/>
      <c r="IZ423" s="23"/>
      <c r="JA423" s="23"/>
      <c r="JB423" s="23"/>
      <c r="JC423" s="23"/>
      <c r="JD423" s="23"/>
      <c r="JE423" s="23"/>
      <c r="JF423" s="23"/>
      <c r="JG423" s="23"/>
      <c r="JH423" s="23"/>
      <c r="JI423" s="23"/>
      <c r="JJ423" s="23"/>
      <c r="JK423" s="23"/>
      <c r="JL423" s="23"/>
      <c r="JM423" s="23"/>
      <c r="JN423" s="23"/>
      <c r="JO423" s="23"/>
      <c r="JP423" s="23"/>
      <c r="JQ423" s="23"/>
      <c r="JR423" s="23"/>
      <c r="JS423" s="23"/>
      <c r="JT423" s="23"/>
      <c r="JU423" s="23"/>
      <c r="JV423" s="23"/>
      <c r="JW423" s="23"/>
      <c r="JX423" s="23"/>
      <c r="JY423" s="23"/>
      <c r="JZ423" s="23"/>
      <c r="KA423" s="23"/>
      <c r="KB423" s="23"/>
      <c r="KC423" s="23"/>
      <c r="KD423" s="23"/>
      <c r="KE423" s="23"/>
      <c r="KF423" s="23"/>
      <c r="KG423" s="23"/>
      <c r="KH423" s="23"/>
      <c r="KI423" s="23"/>
      <c r="KJ423" s="23"/>
      <c r="KK423" s="23"/>
      <c r="KL423" s="23"/>
      <c r="KM423" s="23"/>
      <c r="KN423" s="23"/>
      <c r="KO423" s="23"/>
      <c r="KP423" s="23"/>
      <c r="KQ423" s="23"/>
      <c r="KR423" s="23"/>
      <c r="KS423" s="23"/>
      <c r="KT423" s="23"/>
      <c r="KU423" s="23"/>
      <c r="KV423" s="23"/>
      <c r="KW423" s="23"/>
      <c r="KX423" s="23"/>
      <c r="KY423" s="23"/>
      <c r="KZ423" s="23"/>
      <c r="LA423" s="23"/>
      <c r="LB423" s="23"/>
      <c r="LC423" s="23"/>
      <c r="LD423" s="23"/>
      <c r="LE423" s="23"/>
      <c r="LF423" s="23"/>
      <c r="LG423" s="23"/>
      <c r="LH423" s="23"/>
      <c r="LI423" s="23"/>
      <c r="LJ423" s="23"/>
      <c r="LK423" s="23"/>
      <c r="LL423" s="23"/>
      <c r="LM423" s="23"/>
      <c r="LN423" s="23"/>
      <c r="LO423" s="23"/>
    </row>
    <row r="424" spans="1:327">
      <c r="A424" s="390"/>
      <c r="B424" s="23"/>
      <c r="C424" s="391"/>
      <c r="D424" s="391"/>
      <c r="E424" s="23"/>
      <c r="F424" s="23"/>
      <c r="G424" s="392"/>
      <c r="H424" s="392"/>
      <c r="I424" s="392"/>
      <c r="J424" s="392"/>
      <c r="K424" s="392"/>
      <c r="L424" s="392"/>
      <c r="M424" s="392"/>
      <c r="N424" s="23"/>
      <c r="O424" s="39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  <c r="IL424" s="23"/>
      <c r="IM424" s="23"/>
      <c r="IN424" s="23"/>
      <c r="IO424" s="23"/>
      <c r="IP424" s="23"/>
      <c r="IQ424" s="23"/>
      <c r="IR424" s="23"/>
      <c r="IS424" s="23"/>
      <c r="IT424" s="23"/>
      <c r="IU424" s="23"/>
      <c r="IV424" s="23"/>
      <c r="IW424" s="23"/>
      <c r="IX424" s="23"/>
      <c r="IY424" s="23"/>
      <c r="IZ424" s="23"/>
      <c r="JA424" s="23"/>
      <c r="JB424" s="23"/>
      <c r="JC424" s="23"/>
      <c r="JD424" s="23"/>
      <c r="JE424" s="23"/>
      <c r="JF424" s="23"/>
      <c r="JG424" s="23"/>
      <c r="JH424" s="23"/>
      <c r="JI424" s="23"/>
      <c r="JJ424" s="23"/>
      <c r="JK424" s="23"/>
      <c r="JL424" s="23"/>
      <c r="JM424" s="23"/>
      <c r="JN424" s="23"/>
      <c r="JO424" s="23"/>
      <c r="JP424" s="23"/>
      <c r="JQ424" s="23"/>
      <c r="JR424" s="23"/>
      <c r="JS424" s="23"/>
      <c r="JT424" s="23"/>
      <c r="JU424" s="23"/>
      <c r="JV424" s="23"/>
      <c r="JW424" s="23"/>
      <c r="JX424" s="23"/>
      <c r="JY424" s="23"/>
      <c r="JZ424" s="23"/>
      <c r="KA424" s="23"/>
      <c r="KB424" s="23"/>
      <c r="KC424" s="23"/>
      <c r="KD424" s="23"/>
      <c r="KE424" s="23"/>
      <c r="KF424" s="23"/>
      <c r="KG424" s="23"/>
      <c r="KH424" s="23"/>
      <c r="KI424" s="23"/>
      <c r="KJ424" s="23"/>
      <c r="KK424" s="23"/>
      <c r="KL424" s="23"/>
      <c r="KM424" s="23"/>
      <c r="KN424" s="23"/>
      <c r="KO424" s="23"/>
      <c r="KP424" s="23"/>
      <c r="KQ424" s="23"/>
      <c r="KR424" s="23"/>
      <c r="KS424" s="23"/>
      <c r="KT424" s="23"/>
      <c r="KU424" s="23"/>
      <c r="KV424" s="23"/>
      <c r="KW424" s="23"/>
      <c r="KX424" s="23"/>
      <c r="KY424" s="23"/>
      <c r="KZ424" s="23"/>
      <c r="LA424" s="23"/>
      <c r="LB424" s="23"/>
      <c r="LC424" s="23"/>
      <c r="LD424" s="23"/>
      <c r="LE424" s="23"/>
      <c r="LF424" s="23"/>
      <c r="LG424" s="23"/>
      <c r="LH424" s="23"/>
      <c r="LI424" s="23"/>
      <c r="LJ424" s="23"/>
      <c r="LK424" s="23"/>
      <c r="LL424" s="23"/>
      <c r="LM424" s="23"/>
      <c r="LN424" s="23"/>
      <c r="LO424" s="23"/>
    </row>
    <row r="425" spans="1:327">
      <c r="A425" s="390"/>
      <c r="B425" s="23"/>
      <c r="C425" s="391"/>
      <c r="D425" s="391"/>
      <c r="E425" s="23"/>
      <c r="F425" s="23"/>
      <c r="G425" s="392"/>
      <c r="H425" s="392"/>
      <c r="I425" s="392"/>
      <c r="J425" s="392"/>
      <c r="K425" s="392"/>
      <c r="L425" s="392"/>
      <c r="M425" s="392"/>
      <c r="N425" s="23"/>
      <c r="O425" s="39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  <c r="IL425" s="23"/>
      <c r="IM425" s="23"/>
      <c r="IN425" s="23"/>
      <c r="IO425" s="23"/>
      <c r="IP425" s="23"/>
      <c r="IQ425" s="23"/>
      <c r="IR425" s="23"/>
      <c r="IS425" s="23"/>
      <c r="IT425" s="23"/>
      <c r="IU425" s="23"/>
      <c r="IV425" s="23"/>
      <c r="IW425" s="23"/>
      <c r="IX425" s="23"/>
      <c r="IY425" s="23"/>
      <c r="IZ425" s="23"/>
      <c r="JA425" s="23"/>
      <c r="JB425" s="23"/>
      <c r="JC425" s="23"/>
      <c r="JD425" s="23"/>
      <c r="JE425" s="23"/>
      <c r="JF425" s="23"/>
      <c r="JG425" s="23"/>
      <c r="JH425" s="23"/>
      <c r="JI425" s="23"/>
      <c r="JJ425" s="23"/>
      <c r="JK425" s="23"/>
      <c r="JL425" s="23"/>
      <c r="JM425" s="23"/>
      <c r="JN425" s="23"/>
      <c r="JO425" s="23"/>
      <c r="JP425" s="23"/>
      <c r="JQ425" s="23"/>
      <c r="JR425" s="23"/>
      <c r="JS425" s="23"/>
      <c r="JT425" s="23"/>
      <c r="JU425" s="23"/>
      <c r="JV425" s="23"/>
      <c r="JW425" s="23"/>
      <c r="JX425" s="23"/>
      <c r="JY425" s="23"/>
      <c r="JZ425" s="23"/>
      <c r="KA425" s="23"/>
      <c r="KB425" s="23"/>
      <c r="KC425" s="23"/>
      <c r="KD425" s="23"/>
      <c r="KE425" s="23"/>
      <c r="KF425" s="23"/>
      <c r="KG425" s="23"/>
      <c r="KH425" s="23"/>
      <c r="KI425" s="23"/>
      <c r="KJ425" s="23"/>
      <c r="KK425" s="23"/>
      <c r="KL425" s="23"/>
      <c r="KM425" s="23"/>
      <c r="KN425" s="23"/>
      <c r="KO425" s="23"/>
      <c r="KP425" s="23"/>
      <c r="KQ425" s="23"/>
      <c r="KR425" s="23"/>
      <c r="KS425" s="23"/>
      <c r="KT425" s="23"/>
      <c r="KU425" s="23"/>
      <c r="KV425" s="23"/>
      <c r="KW425" s="23"/>
      <c r="KX425" s="23"/>
      <c r="KY425" s="23"/>
      <c r="KZ425" s="23"/>
      <c r="LA425" s="23"/>
      <c r="LB425" s="23"/>
      <c r="LC425" s="23"/>
      <c r="LD425" s="23"/>
      <c r="LE425" s="23"/>
      <c r="LF425" s="23"/>
      <c r="LG425" s="23"/>
      <c r="LH425" s="23"/>
      <c r="LI425" s="23"/>
      <c r="LJ425" s="23"/>
      <c r="LK425" s="23"/>
      <c r="LL425" s="23"/>
      <c r="LM425" s="23"/>
      <c r="LN425" s="23"/>
      <c r="LO425" s="23"/>
    </row>
    <row r="426" spans="1:327">
      <c r="A426" s="390"/>
      <c r="B426" s="23"/>
      <c r="C426" s="391"/>
      <c r="D426" s="391"/>
      <c r="E426" s="23"/>
      <c r="F426" s="23"/>
      <c r="G426" s="392"/>
      <c r="H426" s="392"/>
      <c r="I426" s="392"/>
      <c r="J426" s="392"/>
      <c r="K426" s="392"/>
      <c r="L426" s="392"/>
      <c r="M426" s="392"/>
      <c r="N426" s="23"/>
      <c r="O426" s="39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  <c r="IL426" s="23"/>
      <c r="IM426" s="23"/>
      <c r="IN426" s="23"/>
      <c r="IO426" s="23"/>
      <c r="IP426" s="23"/>
      <c r="IQ426" s="23"/>
      <c r="IR426" s="23"/>
      <c r="IS426" s="23"/>
      <c r="IT426" s="23"/>
      <c r="IU426" s="23"/>
      <c r="IV426" s="23"/>
      <c r="IW426" s="23"/>
      <c r="IX426" s="23"/>
      <c r="IY426" s="23"/>
      <c r="IZ426" s="23"/>
      <c r="JA426" s="23"/>
      <c r="JB426" s="23"/>
      <c r="JC426" s="23"/>
      <c r="JD426" s="23"/>
      <c r="JE426" s="23"/>
      <c r="JF426" s="23"/>
      <c r="JG426" s="23"/>
      <c r="JH426" s="23"/>
      <c r="JI426" s="23"/>
      <c r="JJ426" s="23"/>
      <c r="JK426" s="23"/>
      <c r="JL426" s="23"/>
      <c r="JM426" s="23"/>
      <c r="JN426" s="23"/>
      <c r="JO426" s="23"/>
      <c r="JP426" s="23"/>
      <c r="JQ426" s="23"/>
      <c r="JR426" s="23"/>
      <c r="JS426" s="23"/>
      <c r="JT426" s="23"/>
      <c r="JU426" s="23"/>
      <c r="JV426" s="23"/>
      <c r="JW426" s="23"/>
      <c r="JX426" s="23"/>
      <c r="JY426" s="23"/>
      <c r="JZ426" s="23"/>
      <c r="KA426" s="23"/>
      <c r="KB426" s="23"/>
      <c r="KC426" s="23"/>
      <c r="KD426" s="23"/>
      <c r="KE426" s="23"/>
      <c r="KF426" s="23"/>
      <c r="KG426" s="23"/>
      <c r="KH426" s="23"/>
      <c r="KI426" s="23"/>
      <c r="KJ426" s="23"/>
      <c r="KK426" s="23"/>
      <c r="KL426" s="23"/>
      <c r="KM426" s="23"/>
      <c r="KN426" s="23"/>
      <c r="KO426" s="23"/>
      <c r="KP426" s="23"/>
      <c r="KQ426" s="23"/>
      <c r="KR426" s="23"/>
      <c r="KS426" s="23"/>
      <c r="KT426" s="23"/>
      <c r="KU426" s="23"/>
      <c r="KV426" s="23"/>
      <c r="KW426" s="23"/>
      <c r="KX426" s="23"/>
      <c r="KY426" s="23"/>
      <c r="KZ426" s="23"/>
      <c r="LA426" s="23"/>
      <c r="LB426" s="23"/>
      <c r="LC426" s="23"/>
      <c r="LD426" s="23"/>
      <c r="LE426" s="23"/>
      <c r="LF426" s="23"/>
      <c r="LG426" s="23"/>
      <c r="LH426" s="23"/>
      <c r="LI426" s="23"/>
      <c r="LJ426" s="23"/>
      <c r="LK426" s="23"/>
      <c r="LL426" s="23"/>
      <c r="LM426" s="23"/>
      <c r="LN426" s="23"/>
      <c r="LO426" s="23"/>
    </row>
    <row r="427" spans="1:327">
      <c r="A427" s="390"/>
      <c r="B427" s="23"/>
      <c r="C427" s="391"/>
      <c r="D427" s="391"/>
      <c r="E427" s="23"/>
      <c r="F427" s="23"/>
      <c r="G427" s="392"/>
      <c r="H427" s="392"/>
      <c r="I427" s="392"/>
      <c r="J427" s="392"/>
      <c r="K427" s="392"/>
      <c r="L427" s="392"/>
      <c r="M427" s="392"/>
      <c r="N427" s="23"/>
      <c r="O427" s="39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  <c r="IL427" s="23"/>
      <c r="IM427" s="23"/>
      <c r="IN427" s="23"/>
      <c r="IO427" s="23"/>
      <c r="IP427" s="23"/>
      <c r="IQ427" s="23"/>
      <c r="IR427" s="23"/>
      <c r="IS427" s="23"/>
      <c r="IT427" s="23"/>
      <c r="IU427" s="23"/>
      <c r="IV427" s="23"/>
      <c r="IW427" s="23"/>
      <c r="IX427" s="23"/>
      <c r="IY427" s="23"/>
      <c r="IZ427" s="23"/>
      <c r="JA427" s="23"/>
      <c r="JB427" s="23"/>
      <c r="JC427" s="23"/>
      <c r="JD427" s="23"/>
      <c r="JE427" s="23"/>
      <c r="JF427" s="23"/>
      <c r="JG427" s="23"/>
      <c r="JH427" s="23"/>
      <c r="JI427" s="23"/>
      <c r="JJ427" s="23"/>
      <c r="JK427" s="23"/>
      <c r="JL427" s="23"/>
      <c r="JM427" s="23"/>
      <c r="JN427" s="23"/>
      <c r="JO427" s="23"/>
      <c r="JP427" s="23"/>
      <c r="JQ427" s="23"/>
      <c r="JR427" s="23"/>
      <c r="JS427" s="23"/>
      <c r="JT427" s="23"/>
      <c r="JU427" s="23"/>
      <c r="JV427" s="23"/>
      <c r="JW427" s="23"/>
      <c r="JX427" s="23"/>
      <c r="JY427" s="23"/>
      <c r="JZ427" s="23"/>
      <c r="KA427" s="23"/>
      <c r="KB427" s="23"/>
      <c r="KC427" s="23"/>
      <c r="KD427" s="23"/>
      <c r="KE427" s="23"/>
      <c r="KF427" s="23"/>
      <c r="KG427" s="23"/>
      <c r="KH427" s="23"/>
      <c r="KI427" s="23"/>
      <c r="KJ427" s="23"/>
      <c r="KK427" s="23"/>
      <c r="KL427" s="23"/>
      <c r="KM427" s="23"/>
      <c r="KN427" s="23"/>
      <c r="KO427" s="23"/>
      <c r="KP427" s="23"/>
      <c r="KQ427" s="23"/>
      <c r="KR427" s="23"/>
      <c r="KS427" s="23"/>
      <c r="KT427" s="23"/>
      <c r="KU427" s="23"/>
      <c r="KV427" s="23"/>
      <c r="KW427" s="23"/>
      <c r="KX427" s="23"/>
      <c r="KY427" s="23"/>
      <c r="KZ427" s="23"/>
      <c r="LA427" s="23"/>
      <c r="LB427" s="23"/>
      <c r="LC427" s="23"/>
      <c r="LD427" s="23"/>
      <c r="LE427" s="23"/>
      <c r="LF427" s="23"/>
      <c r="LG427" s="23"/>
      <c r="LH427" s="23"/>
      <c r="LI427" s="23"/>
      <c r="LJ427" s="23"/>
      <c r="LK427" s="23"/>
      <c r="LL427" s="23"/>
      <c r="LM427" s="23"/>
      <c r="LN427" s="23"/>
      <c r="LO427" s="23"/>
    </row>
    <row r="428" spans="1:327">
      <c r="A428" s="390"/>
      <c r="B428" s="23"/>
      <c r="C428" s="391"/>
      <c r="D428" s="391"/>
      <c r="E428" s="23"/>
      <c r="F428" s="23"/>
      <c r="G428" s="392"/>
      <c r="H428" s="392"/>
      <c r="I428" s="392"/>
      <c r="J428" s="392"/>
      <c r="K428" s="392"/>
      <c r="L428" s="392"/>
      <c r="M428" s="392"/>
      <c r="N428" s="23"/>
      <c r="O428" s="39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  <c r="IL428" s="23"/>
      <c r="IM428" s="23"/>
      <c r="IN428" s="23"/>
      <c r="IO428" s="23"/>
      <c r="IP428" s="23"/>
      <c r="IQ428" s="23"/>
      <c r="IR428" s="23"/>
      <c r="IS428" s="23"/>
      <c r="IT428" s="23"/>
      <c r="IU428" s="23"/>
      <c r="IV428" s="23"/>
      <c r="IW428" s="23"/>
      <c r="IX428" s="23"/>
      <c r="IY428" s="23"/>
      <c r="IZ428" s="23"/>
      <c r="JA428" s="23"/>
      <c r="JB428" s="23"/>
      <c r="JC428" s="23"/>
      <c r="JD428" s="23"/>
      <c r="JE428" s="23"/>
      <c r="JF428" s="23"/>
      <c r="JG428" s="23"/>
      <c r="JH428" s="23"/>
      <c r="JI428" s="23"/>
      <c r="JJ428" s="23"/>
      <c r="JK428" s="23"/>
      <c r="JL428" s="23"/>
      <c r="JM428" s="23"/>
      <c r="JN428" s="23"/>
      <c r="JO428" s="23"/>
      <c r="JP428" s="23"/>
      <c r="JQ428" s="23"/>
      <c r="JR428" s="23"/>
      <c r="JS428" s="23"/>
      <c r="JT428" s="23"/>
      <c r="JU428" s="23"/>
      <c r="JV428" s="23"/>
      <c r="JW428" s="23"/>
      <c r="JX428" s="23"/>
      <c r="JY428" s="23"/>
      <c r="JZ428" s="23"/>
      <c r="KA428" s="23"/>
      <c r="KB428" s="23"/>
      <c r="KC428" s="23"/>
      <c r="KD428" s="23"/>
      <c r="KE428" s="23"/>
      <c r="KF428" s="23"/>
      <c r="KG428" s="23"/>
      <c r="KH428" s="23"/>
      <c r="KI428" s="23"/>
      <c r="KJ428" s="23"/>
      <c r="KK428" s="23"/>
      <c r="KL428" s="23"/>
      <c r="KM428" s="23"/>
      <c r="KN428" s="23"/>
      <c r="KO428" s="23"/>
      <c r="KP428" s="23"/>
      <c r="KQ428" s="23"/>
      <c r="KR428" s="23"/>
      <c r="KS428" s="23"/>
      <c r="KT428" s="23"/>
      <c r="KU428" s="23"/>
      <c r="KV428" s="23"/>
      <c r="KW428" s="23"/>
      <c r="KX428" s="23"/>
      <c r="KY428" s="23"/>
      <c r="KZ428" s="23"/>
      <c r="LA428" s="23"/>
      <c r="LB428" s="23"/>
      <c r="LC428" s="23"/>
      <c r="LD428" s="23"/>
      <c r="LE428" s="23"/>
      <c r="LF428" s="23"/>
      <c r="LG428" s="23"/>
      <c r="LH428" s="23"/>
      <c r="LI428" s="23"/>
      <c r="LJ428" s="23"/>
      <c r="LK428" s="23"/>
      <c r="LL428" s="23"/>
      <c r="LM428" s="23"/>
      <c r="LN428" s="23"/>
      <c r="LO428" s="23"/>
    </row>
    <row r="429" spans="1:327">
      <c r="A429" s="390"/>
      <c r="B429" s="23"/>
      <c r="C429" s="391"/>
      <c r="D429" s="391"/>
      <c r="E429" s="23"/>
      <c r="F429" s="23"/>
      <c r="G429" s="392"/>
      <c r="H429" s="392"/>
      <c r="I429" s="392"/>
      <c r="J429" s="392"/>
      <c r="K429" s="392"/>
      <c r="L429" s="392"/>
      <c r="M429" s="392"/>
      <c r="N429" s="23"/>
      <c r="O429" s="39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  <c r="IL429" s="23"/>
      <c r="IM429" s="23"/>
      <c r="IN429" s="23"/>
      <c r="IO429" s="23"/>
      <c r="IP429" s="23"/>
      <c r="IQ429" s="23"/>
      <c r="IR429" s="23"/>
      <c r="IS429" s="23"/>
      <c r="IT429" s="23"/>
      <c r="IU429" s="23"/>
      <c r="IV429" s="23"/>
      <c r="IW429" s="23"/>
      <c r="IX429" s="23"/>
      <c r="IY429" s="23"/>
      <c r="IZ429" s="23"/>
      <c r="JA429" s="23"/>
      <c r="JB429" s="23"/>
      <c r="JC429" s="23"/>
      <c r="JD429" s="23"/>
      <c r="JE429" s="23"/>
      <c r="JF429" s="23"/>
      <c r="JG429" s="23"/>
      <c r="JH429" s="23"/>
      <c r="JI429" s="23"/>
      <c r="JJ429" s="23"/>
      <c r="JK429" s="23"/>
      <c r="JL429" s="23"/>
      <c r="JM429" s="23"/>
      <c r="JN429" s="23"/>
      <c r="JO429" s="23"/>
      <c r="JP429" s="23"/>
      <c r="JQ429" s="23"/>
      <c r="JR429" s="23"/>
      <c r="JS429" s="23"/>
      <c r="JT429" s="23"/>
      <c r="JU429" s="23"/>
      <c r="JV429" s="23"/>
      <c r="JW429" s="23"/>
      <c r="JX429" s="23"/>
      <c r="JY429" s="23"/>
      <c r="JZ429" s="23"/>
      <c r="KA429" s="23"/>
      <c r="KB429" s="23"/>
      <c r="KC429" s="23"/>
      <c r="KD429" s="23"/>
      <c r="KE429" s="23"/>
      <c r="KF429" s="23"/>
      <c r="KG429" s="23"/>
      <c r="KH429" s="23"/>
      <c r="KI429" s="23"/>
      <c r="KJ429" s="23"/>
      <c r="KK429" s="23"/>
      <c r="KL429" s="23"/>
      <c r="KM429" s="23"/>
      <c r="KN429" s="23"/>
      <c r="KO429" s="23"/>
      <c r="KP429" s="23"/>
      <c r="KQ429" s="23"/>
      <c r="KR429" s="23"/>
      <c r="KS429" s="23"/>
      <c r="KT429" s="23"/>
      <c r="KU429" s="23"/>
      <c r="KV429" s="23"/>
      <c r="KW429" s="23"/>
      <c r="KX429" s="23"/>
      <c r="KY429" s="23"/>
      <c r="KZ429" s="23"/>
      <c r="LA429" s="23"/>
      <c r="LB429" s="23"/>
      <c r="LC429" s="23"/>
      <c r="LD429" s="23"/>
      <c r="LE429" s="23"/>
      <c r="LF429" s="23"/>
      <c r="LG429" s="23"/>
      <c r="LH429" s="23"/>
      <c r="LI429" s="23"/>
      <c r="LJ429" s="23"/>
      <c r="LK429" s="23"/>
      <c r="LL429" s="23"/>
      <c r="LM429" s="23"/>
      <c r="LN429" s="23"/>
      <c r="LO429" s="23"/>
    </row>
    <row r="430" spans="1:327">
      <c r="A430" s="390"/>
      <c r="B430" s="23"/>
      <c r="C430" s="391"/>
      <c r="D430" s="391"/>
      <c r="E430" s="23"/>
      <c r="F430" s="23"/>
      <c r="G430" s="392"/>
      <c r="H430" s="392"/>
      <c r="I430" s="392"/>
      <c r="J430" s="392"/>
      <c r="K430" s="392"/>
      <c r="L430" s="392"/>
      <c r="M430" s="392"/>
      <c r="N430" s="23"/>
      <c r="O430" s="39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  <c r="IL430" s="23"/>
      <c r="IM430" s="23"/>
      <c r="IN430" s="23"/>
      <c r="IO430" s="23"/>
      <c r="IP430" s="23"/>
      <c r="IQ430" s="23"/>
      <c r="IR430" s="23"/>
      <c r="IS430" s="23"/>
      <c r="IT430" s="23"/>
      <c r="IU430" s="23"/>
      <c r="IV430" s="23"/>
      <c r="IW430" s="23"/>
      <c r="IX430" s="23"/>
      <c r="IY430" s="23"/>
      <c r="IZ430" s="23"/>
      <c r="JA430" s="23"/>
      <c r="JB430" s="23"/>
      <c r="JC430" s="23"/>
      <c r="JD430" s="23"/>
      <c r="JE430" s="23"/>
      <c r="JF430" s="23"/>
      <c r="JG430" s="23"/>
      <c r="JH430" s="23"/>
      <c r="JI430" s="23"/>
      <c r="JJ430" s="23"/>
      <c r="JK430" s="23"/>
      <c r="JL430" s="23"/>
      <c r="JM430" s="23"/>
      <c r="JN430" s="23"/>
      <c r="JO430" s="23"/>
      <c r="JP430" s="23"/>
      <c r="JQ430" s="23"/>
      <c r="JR430" s="23"/>
      <c r="JS430" s="23"/>
      <c r="JT430" s="23"/>
      <c r="JU430" s="23"/>
      <c r="JV430" s="23"/>
      <c r="JW430" s="23"/>
      <c r="JX430" s="23"/>
      <c r="JY430" s="23"/>
      <c r="JZ430" s="23"/>
      <c r="KA430" s="23"/>
      <c r="KB430" s="23"/>
      <c r="KC430" s="23"/>
      <c r="KD430" s="23"/>
      <c r="KE430" s="23"/>
      <c r="KF430" s="23"/>
      <c r="KG430" s="23"/>
      <c r="KH430" s="23"/>
      <c r="KI430" s="23"/>
      <c r="KJ430" s="23"/>
      <c r="KK430" s="23"/>
      <c r="KL430" s="23"/>
      <c r="KM430" s="23"/>
      <c r="KN430" s="23"/>
      <c r="KO430" s="23"/>
      <c r="KP430" s="23"/>
      <c r="KQ430" s="23"/>
      <c r="KR430" s="23"/>
      <c r="KS430" s="23"/>
      <c r="KT430" s="23"/>
      <c r="KU430" s="23"/>
      <c r="KV430" s="23"/>
      <c r="KW430" s="23"/>
      <c r="KX430" s="23"/>
      <c r="KY430" s="23"/>
      <c r="KZ430" s="23"/>
      <c r="LA430" s="23"/>
      <c r="LB430" s="23"/>
      <c r="LC430" s="23"/>
      <c r="LD430" s="23"/>
      <c r="LE430" s="23"/>
      <c r="LF430" s="23"/>
      <c r="LG430" s="23"/>
      <c r="LH430" s="23"/>
      <c r="LI430" s="23"/>
      <c r="LJ430" s="23"/>
      <c r="LK430" s="23"/>
      <c r="LL430" s="23"/>
      <c r="LM430" s="23"/>
      <c r="LN430" s="23"/>
      <c r="LO430" s="23"/>
    </row>
    <row r="431" spans="1:327">
      <c r="A431" s="390"/>
      <c r="B431" s="23"/>
      <c r="C431" s="391"/>
      <c r="D431" s="391"/>
      <c r="E431" s="23"/>
      <c r="F431" s="23"/>
      <c r="G431" s="392"/>
      <c r="H431" s="392"/>
      <c r="I431" s="392"/>
      <c r="J431" s="392"/>
      <c r="K431" s="392"/>
      <c r="L431" s="392"/>
      <c r="M431" s="392"/>
      <c r="N431" s="23"/>
      <c r="O431" s="39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  <c r="IL431" s="23"/>
      <c r="IM431" s="23"/>
      <c r="IN431" s="23"/>
      <c r="IO431" s="23"/>
      <c r="IP431" s="23"/>
      <c r="IQ431" s="23"/>
      <c r="IR431" s="23"/>
      <c r="IS431" s="23"/>
      <c r="IT431" s="23"/>
      <c r="IU431" s="23"/>
      <c r="IV431" s="23"/>
      <c r="IW431" s="23"/>
      <c r="IX431" s="23"/>
      <c r="IY431" s="23"/>
      <c r="IZ431" s="23"/>
      <c r="JA431" s="23"/>
      <c r="JB431" s="23"/>
      <c r="JC431" s="23"/>
      <c r="JD431" s="23"/>
      <c r="JE431" s="23"/>
      <c r="JF431" s="23"/>
      <c r="JG431" s="23"/>
      <c r="JH431" s="23"/>
      <c r="JI431" s="23"/>
      <c r="JJ431" s="23"/>
      <c r="JK431" s="23"/>
      <c r="JL431" s="23"/>
      <c r="JM431" s="23"/>
      <c r="JN431" s="23"/>
      <c r="JO431" s="23"/>
      <c r="JP431" s="23"/>
      <c r="JQ431" s="23"/>
      <c r="JR431" s="23"/>
      <c r="JS431" s="23"/>
      <c r="JT431" s="23"/>
      <c r="JU431" s="23"/>
      <c r="JV431" s="23"/>
      <c r="JW431" s="23"/>
      <c r="JX431" s="23"/>
      <c r="JY431" s="23"/>
      <c r="JZ431" s="23"/>
      <c r="KA431" s="23"/>
      <c r="KB431" s="23"/>
      <c r="KC431" s="23"/>
      <c r="KD431" s="23"/>
      <c r="KE431" s="23"/>
      <c r="KF431" s="23"/>
      <c r="KG431" s="23"/>
      <c r="KH431" s="23"/>
      <c r="KI431" s="23"/>
      <c r="KJ431" s="23"/>
      <c r="KK431" s="23"/>
      <c r="KL431" s="23"/>
      <c r="KM431" s="23"/>
      <c r="KN431" s="23"/>
      <c r="KO431" s="23"/>
      <c r="KP431" s="23"/>
      <c r="KQ431" s="23"/>
      <c r="KR431" s="23"/>
      <c r="KS431" s="23"/>
      <c r="KT431" s="23"/>
      <c r="KU431" s="23"/>
      <c r="KV431" s="23"/>
      <c r="KW431" s="23"/>
      <c r="KX431" s="23"/>
      <c r="KY431" s="23"/>
      <c r="KZ431" s="23"/>
      <c r="LA431" s="23"/>
      <c r="LB431" s="23"/>
      <c r="LC431" s="23"/>
      <c r="LD431" s="23"/>
      <c r="LE431" s="23"/>
      <c r="LF431" s="23"/>
      <c r="LG431" s="23"/>
      <c r="LH431" s="23"/>
      <c r="LI431" s="23"/>
      <c r="LJ431" s="23"/>
      <c r="LK431" s="23"/>
      <c r="LL431" s="23"/>
      <c r="LM431" s="23"/>
      <c r="LN431" s="23"/>
      <c r="LO431" s="23"/>
    </row>
    <row r="432" spans="1:327">
      <c r="A432" s="390"/>
      <c r="B432" s="23"/>
      <c r="C432" s="391"/>
      <c r="D432" s="391"/>
      <c r="E432" s="23"/>
      <c r="F432" s="23"/>
      <c r="G432" s="392"/>
      <c r="H432" s="392"/>
      <c r="I432" s="392"/>
      <c r="J432" s="392"/>
      <c r="K432" s="392"/>
      <c r="L432" s="392"/>
      <c r="M432" s="392"/>
      <c r="N432" s="23"/>
      <c r="O432" s="39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  <c r="IL432" s="23"/>
      <c r="IM432" s="23"/>
      <c r="IN432" s="23"/>
      <c r="IO432" s="23"/>
      <c r="IP432" s="23"/>
      <c r="IQ432" s="23"/>
      <c r="IR432" s="23"/>
      <c r="IS432" s="23"/>
      <c r="IT432" s="23"/>
      <c r="IU432" s="23"/>
      <c r="IV432" s="23"/>
      <c r="IW432" s="23"/>
      <c r="IX432" s="23"/>
      <c r="IY432" s="23"/>
      <c r="IZ432" s="23"/>
      <c r="JA432" s="23"/>
      <c r="JB432" s="23"/>
      <c r="JC432" s="23"/>
      <c r="JD432" s="23"/>
      <c r="JE432" s="23"/>
      <c r="JF432" s="23"/>
      <c r="JG432" s="23"/>
      <c r="JH432" s="23"/>
      <c r="JI432" s="23"/>
      <c r="JJ432" s="23"/>
      <c r="JK432" s="23"/>
      <c r="JL432" s="23"/>
      <c r="JM432" s="23"/>
      <c r="JN432" s="23"/>
      <c r="JO432" s="23"/>
      <c r="JP432" s="23"/>
      <c r="JQ432" s="23"/>
      <c r="JR432" s="23"/>
      <c r="JS432" s="23"/>
      <c r="JT432" s="23"/>
      <c r="JU432" s="23"/>
      <c r="JV432" s="23"/>
      <c r="JW432" s="23"/>
      <c r="JX432" s="23"/>
      <c r="JY432" s="23"/>
      <c r="JZ432" s="23"/>
      <c r="KA432" s="23"/>
      <c r="KB432" s="23"/>
      <c r="KC432" s="23"/>
      <c r="KD432" s="23"/>
      <c r="KE432" s="23"/>
      <c r="KF432" s="23"/>
      <c r="KG432" s="23"/>
      <c r="KH432" s="23"/>
      <c r="KI432" s="23"/>
      <c r="KJ432" s="23"/>
      <c r="KK432" s="23"/>
      <c r="KL432" s="23"/>
      <c r="KM432" s="23"/>
      <c r="KN432" s="23"/>
      <c r="KO432" s="23"/>
      <c r="KP432" s="23"/>
      <c r="KQ432" s="23"/>
      <c r="KR432" s="23"/>
      <c r="KS432" s="23"/>
      <c r="KT432" s="23"/>
      <c r="KU432" s="23"/>
      <c r="KV432" s="23"/>
      <c r="KW432" s="23"/>
      <c r="KX432" s="23"/>
      <c r="KY432" s="23"/>
      <c r="KZ432" s="23"/>
      <c r="LA432" s="23"/>
      <c r="LB432" s="23"/>
      <c r="LC432" s="23"/>
      <c r="LD432" s="23"/>
      <c r="LE432" s="23"/>
      <c r="LF432" s="23"/>
      <c r="LG432" s="23"/>
      <c r="LH432" s="23"/>
      <c r="LI432" s="23"/>
      <c r="LJ432" s="23"/>
      <c r="LK432" s="23"/>
      <c r="LL432" s="23"/>
      <c r="LM432" s="23"/>
      <c r="LN432" s="23"/>
      <c r="LO432" s="23"/>
    </row>
    <row r="433" spans="1:327">
      <c r="A433" s="390"/>
      <c r="B433" s="23"/>
      <c r="C433" s="391"/>
      <c r="D433" s="391"/>
      <c r="E433" s="23"/>
      <c r="F433" s="23"/>
      <c r="G433" s="392"/>
      <c r="H433" s="392"/>
      <c r="I433" s="392"/>
      <c r="J433" s="392"/>
      <c r="K433" s="392"/>
      <c r="L433" s="392"/>
      <c r="M433" s="392"/>
      <c r="N433" s="23"/>
      <c r="O433" s="39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  <c r="IL433" s="23"/>
      <c r="IM433" s="23"/>
      <c r="IN433" s="23"/>
      <c r="IO433" s="23"/>
      <c r="IP433" s="23"/>
      <c r="IQ433" s="23"/>
      <c r="IR433" s="23"/>
      <c r="IS433" s="23"/>
      <c r="IT433" s="23"/>
      <c r="IU433" s="23"/>
      <c r="IV433" s="23"/>
      <c r="IW433" s="23"/>
      <c r="IX433" s="23"/>
      <c r="IY433" s="23"/>
      <c r="IZ433" s="23"/>
      <c r="JA433" s="23"/>
      <c r="JB433" s="23"/>
      <c r="JC433" s="23"/>
      <c r="JD433" s="23"/>
      <c r="JE433" s="23"/>
      <c r="JF433" s="23"/>
      <c r="JG433" s="23"/>
      <c r="JH433" s="23"/>
      <c r="JI433" s="23"/>
      <c r="JJ433" s="23"/>
      <c r="JK433" s="23"/>
      <c r="JL433" s="23"/>
      <c r="JM433" s="23"/>
      <c r="JN433" s="23"/>
      <c r="JO433" s="23"/>
      <c r="JP433" s="23"/>
      <c r="JQ433" s="23"/>
      <c r="JR433" s="23"/>
      <c r="JS433" s="23"/>
      <c r="JT433" s="23"/>
      <c r="JU433" s="23"/>
      <c r="JV433" s="23"/>
      <c r="JW433" s="23"/>
      <c r="JX433" s="23"/>
      <c r="JY433" s="23"/>
      <c r="JZ433" s="23"/>
      <c r="KA433" s="23"/>
      <c r="KB433" s="23"/>
      <c r="KC433" s="23"/>
      <c r="KD433" s="23"/>
      <c r="KE433" s="23"/>
      <c r="KF433" s="23"/>
      <c r="KG433" s="23"/>
      <c r="KH433" s="23"/>
      <c r="KI433" s="23"/>
      <c r="KJ433" s="23"/>
      <c r="KK433" s="23"/>
      <c r="KL433" s="23"/>
      <c r="KM433" s="23"/>
      <c r="KN433" s="23"/>
      <c r="KO433" s="23"/>
      <c r="KP433" s="23"/>
      <c r="KQ433" s="23"/>
      <c r="KR433" s="23"/>
      <c r="KS433" s="23"/>
      <c r="KT433" s="23"/>
      <c r="KU433" s="23"/>
      <c r="KV433" s="23"/>
      <c r="KW433" s="23"/>
      <c r="KX433" s="23"/>
      <c r="KY433" s="23"/>
      <c r="KZ433" s="23"/>
      <c r="LA433" s="23"/>
      <c r="LB433" s="23"/>
      <c r="LC433" s="23"/>
      <c r="LD433" s="23"/>
      <c r="LE433" s="23"/>
      <c r="LF433" s="23"/>
      <c r="LG433" s="23"/>
      <c r="LH433" s="23"/>
      <c r="LI433" s="23"/>
      <c r="LJ433" s="23"/>
      <c r="LK433" s="23"/>
      <c r="LL433" s="23"/>
      <c r="LM433" s="23"/>
      <c r="LN433" s="23"/>
      <c r="LO433" s="23"/>
    </row>
    <row r="434" spans="1:327">
      <c r="A434" s="390"/>
      <c r="B434" s="23"/>
      <c r="C434" s="391"/>
      <c r="D434" s="391"/>
      <c r="E434" s="23"/>
      <c r="F434" s="23"/>
      <c r="G434" s="392"/>
      <c r="H434" s="392"/>
      <c r="I434" s="392"/>
      <c r="J434" s="392"/>
      <c r="K434" s="392"/>
      <c r="L434" s="392"/>
      <c r="M434" s="392"/>
      <c r="N434" s="23"/>
      <c r="O434" s="39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  <c r="IL434" s="23"/>
      <c r="IM434" s="23"/>
      <c r="IN434" s="23"/>
      <c r="IO434" s="23"/>
      <c r="IP434" s="23"/>
      <c r="IQ434" s="23"/>
      <c r="IR434" s="23"/>
      <c r="IS434" s="23"/>
      <c r="IT434" s="23"/>
      <c r="IU434" s="23"/>
      <c r="IV434" s="23"/>
      <c r="IW434" s="23"/>
      <c r="IX434" s="23"/>
      <c r="IY434" s="23"/>
      <c r="IZ434" s="23"/>
      <c r="JA434" s="23"/>
      <c r="JB434" s="23"/>
      <c r="JC434" s="23"/>
      <c r="JD434" s="23"/>
      <c r="JE434" s="23"/>
      <c r="JF434" s="23"/>
      <c r="JG434" s="23"/>
      <c r="JH434" s="23"/>
      <c r="JI434" s="23"/>
      <c r="JJ434" s="23"/>
      <c r="JK434" s="23"/>
      <c r="JL434" s="23"/>
      <c r="JM434" s="23"/>
      <c r="JN434" s="23"/>
      <c r="JO434" s="23"/>
      <c r="JP434" s="23"/>
      <c r="JQ434" s="23"/>
      <c r="JR434" s="23"/>
      <c r="JS434" s="23"/>
      <c r="JT434" s="23"/>
      <c r="JU434" s="23"/>
      <c r="JV434" s="23"/>
      <c r="JW434" s="23"/>
      <c r="JX434" s="23"/>
      <c r="JY434" s="23"/>
      <c r="JZ434" s="23"/>
      <c r="KA434" s="23"/>
      <c r="KB434" s="23"/>
      <c r="KC434" s="23"/>
      <c r="KD434" s="23"/>
      <c r="KE434" s="23"/>
      <c r="KF434" s="23"/>
      <c r="KG434" s="23"/>
      <c r="KH434" s="23"/>
      <c r="KI434" s="23"/>
      <c r="KJ434" s="23"/>
      <c r="KK434" s="23"/>
      <c r="KL434" s="23"/>
      <c r="KM434" s="23"/>
      <c r="KN434" s="23"/>
      <c r="KO434" s="23"/>
      <c r="KP434" s="23"/>
      <c r="KQ434" s="23"/>
      <c r="KR434" s="23"/>
      <c r="KS434" s="23"/>
      <c r="KT434" s="23"/>
      <c r="KU434" s="23"/>
      <c r="KV434" s="23"/>
      <c r="KW434" s="23"/>
      <c r="KX434" s="23"/>
      <c r="KY434" s="23"/>
      <c r="KZ434" s="23"/>
      <c r="LA434" s="23"/>
      <c r="LB434" s="23"/>
      <c r="LC434" s="23"/>
      <c r="LD434" s="23"/>
      <c r="LE434" s="23"/>
      <c r="LF434" s="23"/>
      <c r="LG434" s="23"/>
      <c r="LH434" s="23"/>
      <c r="LI434" s="23"/>
      <c r="LJ434" s="23"/>
      <c r="LK434" s="23"/>
      <c r="LL434" s="23"/>
      <c r="LM434" s="23"/>
      <c r="LN434" s="23"/>
      <c r="LO434" s="23"/>
    </row>
    <row r="435" spans="1:327">
      <c r="A435" s="390"/>
      <c r="B435" s="23"/>
      <c r="C435" s="391"/>
      <c r="D435" s="391"/>
      <c r="E435" s="23"/>
      <c r="F435" s="23"/>
      <c r="G435" s="392"/>
      <c r="H435" s="392"/>
      <c r="I435" s="392"/>
      <c r="J435" s="392"/>
      <c r="K435" s="392"/>
      <c r="L435" s="392"/>
      <c r="M435" s="392"/>
      <c r="N435" s="23"/>
      <c r="O435" s="39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  <c r="IL435" s="23"/>
      <c r="IM435" s="23"/>
      <c r="IN435" s="23"/>
      <c r="IO435" s="23"/>
      <c r="IP435" s="23"/>
      <c r="IQ435" s="23"/>
      <c r="IR435" s="23"/>
      <c r="IS435" s="23"/>
      <c r="IT435" s="23"/>
      <c r="IU435" s="23"/>
      <c r="IV435" s="23"/>
      <c r="IW435" s="23"/>
      <c r="IX435" s="23"/>
      <c r="IY435" s="23"/>
      <c r="IZ435" s="23"/>
      <c r="JA435" s="23"/>
      <c r="JB435" s="23"/>
      <c r="JC435" s="23"/>
      <c r="JD435" s="23"/>
      <c r="JE435" s="23"/>
      <c r="JF435" s="23"/>
      <c r="JG435" s="23"/>
      <c r="JH435" s="23"/>
      <c r="JI435" s="23"/>
      <c r="JJ435" s="23"/>
      <c r="JK435" s="23"/>
      <c r="JL435" s="23"/>
      <c r="JM435" s="23"/>
      <c r="JN435" s="23"/>
      <c r="JO435" s="23"/>
      <c r="JP435" s="23"/>
      <c r="JQ435" s="23"/>
      <c r="JR435" s="23"/>
      <c r="JS435" s="23"/>
      <c r="JT435" s="23"/>
      <c r="JU435" s="23"/>
      <c r="JV435" s="23"/>
      <c r="JW435" s="23"/>
      <c r="JX435" s="23"/>
      <c r="JY435" s="23"/>
      <c r="JZ435" s="23"/>
      <c r="KA435" s="23"/>
      <c r="KB435" s="23"/>
      <c r="KC435" s="23"/>
      <c r="KD435" s="23"/>
      <c r="KE435" s="23"/>
      <c r="KF435" s="23"/>
      <c r="KG435" s="23"/>
      <c r="KH435" s="23"/>
      <c r="KI435" s="23"/>
      <c r="KJ435" s="23"/>
      <c r="KK435" s="23"/>
      <c r="KL435" s="23"/>
      <c r="KM435" s="23"/>
      <c r="KN435" s="23"/>
      <c r="KO435" s="23"/>
      <c r="KP435" s="23"/>
      <c r="KQ435" s="23"/>
      <c r="KR435" s="23"/>
      <c r="KS435" s="23"/>
      <c r="KT435" s="23"/>
      <c r="KU435" s="23"/>
      <c r="KV435" s="23"/>
      <c r="KW435" s="23"/>
      <c r="KX435" s="23"/>
      <c r="KY435" s="23"/>
      <c r="KZ435" s="23"/>
      <c r="LA435" s="23"/>
      <c r="LB435" s="23"/>
      <c r="LC435" s="23"/>
      <c r="LD435" s="23"/>
      <c r="LE435" s="23"/>
      <c r="LF435" s="23"/>
      <c r="LG435" s="23"/>
      <c r="LH435" s="23"/>
      <c r="LI435" s="23"/>
      <c r="LJ435" s="23"/>
      <c r="LK435" s="23"/>
      <c r="LL435" s="23"/>
      <c r="LM435" s="23"/>
      <c r="LN435" s="23"/>
      <c r="LO435" s="23"/>
    </row>
    <row r="436" spans="1:327">
      <c r="A436" s="390"/>
      <c r="B436" s="23"/>
      <c r="C436" s="391"/>
      <c r="D436" s="391"/>
      <c r="E436" s="23"/>
      <c r="F436" s="23"/>
      <c r="G436" s="392"/>
      <c r="H436" s="392"/>
      <c r="I436" s="392"/>
      <c r="J436" s="392"/>
      <c r="K436" s="392"/>
      <c r="L436" s="392"/>
      <c r="M436" s="392"/>
      <c r="N436" s="23"/>
      <c r="O436" s="39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  <c r="IL436" s="23"/>
      <c r="IM436" s="23"/>
      <c r="IN436" s="23"/>
      <c r="IO436" s="23"/>
      <c r="IP436" s="23"/>
      <c r="IQ436" s="23"/>
      <c r="IR436" s="23"/>
      <c r="IS436" s="23"/>
      <c r="IT436" s="23"/>
      <c r="IU436" s="23"/>
      <c r="IV436" s="23"/>
      <c r="IW436" s="23"/>
      <c r="IX436" s="23"/>
      <c r="IY436" s="23"/>
      <c r="IZ436" s="23"/>
      <c r="JA436" s="23"/>
      <c r="JB436" s="23"/>
      <c r="JC436" s="23"/>
      <c r="JD436" s="23"/>
      <c r="JE436" s="23"/>
      <c r="JF436" s="23"/>
      <c r="JG436" s="23"/>
      <c r="JH436" s="23"/>
      <c r="JI436" s="23"/>
      <c r="JJ436" s="23"/>
      <c r="JK436" s="23"/>
      <c r="JL436" s="23"/>
      <c r="JM436" s="23"/>
      <c r="JN436" s="23"/>
      <c r="JO436" s="23"/>
      <c r="JP436" s="23"/>
      <c r="JQ436" s="23"/>
      <c r="JR436" s="23"/>
      <c r="JS436" s="23"/>
      <c r="JT436" s="23"/>
      <c r="JU436" s="23"/>
      <c r="JV436" s="23"/>
      <c r="JW436" s="23"/>
      <c r="JX436" s="23"/>
      <c r="JY436" s="23"/>
      <c r="JZ436" s="23"/>
      <c r="KA436" s="23"/>
      <c r="KB436" s="23"/>
      <c r="KC436" s="23"/>
      <c r="KD436" s="23"/>
      <c r="KE436" s="23"/>
      <c r="KF436" s="23"/>
      <c r="KG436" s="23"/>
      <c r="KH436" s="23"/>
      <c r="KI436" s="23"/>
      <c r="KJ436" s="23"/>
      <c r="KK436" s="23"/>
      <c r="KL436" s="23"/>
      <c r="KM436" s="23"/>
      <c r="KN436" s="23"/>
      <c r="KO436" s="23"/>
      <c r="KP436" s="23"/>
      <c r="KQ436" s="23"/>
      <c r="KR436" s="23"/>
      <c r="KS436" s="23"/>
      <c r="KT436" s="23"/>
      <c r="KU436" s="23"/>
      <c r="KV436" s="23"/>
      <c r="KW436" s="23"/>
      <c r="KX436" s="23"/>
      <c r="KY436" s="23"/>
      <c r="KZ436" s="23"/>
      <c r="LA436" s="23"/>
      <c r="LB436" s="23"/>
      <c r="LC436" s="23"/>
      <c r="LD436" s="23"/>
      <c r="LE436" s="23"/>
      <c r="LF436" s="23"/>
      <c r="LG436" s="23"/>
      <c r="LH436" s="23"/>
      <c r="LI436" s="23"/>
      <c r="LJ436" s="23"/>
      <c r="LK436" s="23"/>
      <c r="LL436" s="23"/>
      <c r="LM436" s="23"/>
      <c r="LN436" s="23"/>
      <c r="LO436" s="23"/>
    </row>
    <row r="437" spans="1:327">
      <c r="A437" s="390"/>
      <c r="B437" s="23"/>
      <c r="C437" s="391"/>
      <c r="D437" s="391"/>
      <c r="E437" s="23"/>
      <c r="F437" s="23"/>
      <c r="G437" s="392"/>
      <c r="H437" s="392"/>
      <c r="I437" s="392"/>
      <c r="J437" s="392"/>
      <c r="K437" s="392"/>
      <c r="L437" s="392"/>
      <c r="M437" s="392"/>
      <c r="N437" s="23"/>
      <c r="O437" s="39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  <c r="IL437" s="23"/>
      <c r="IM437" s="23"/>
      <c r="IN437" s="23"/>
      <c r="IO437" s="23"/>
      <c r="IP437" s="23"/>
      <c r="IQ437" s="23"/>
      <c r="IR437" s="23"/>
      <c r="IS437" s="23"/>
      <c r="IT437" s="23"/>
      <c r="IU437" s="23"/>
      <c r="IV437" s="23"/>
      <c r="IW437" s="23"/>
      <c r="IX437" s="23"/>
      <c r="IY437" s="23"/>
      <c r="IZ437" s="23"/>
      <c r="JA437" s="23"/>
      <c r="JB437" s="23"/>
      <c r="JC437" s="23"/>
      <c r="JD437" s="23"/>
      <c r="JE437" s="23"/>
      <c r="JF437" s="23"/>
      <c r="JG437" s="23"/>
      <c r="JH437" s="23"/>
      <c r="JI437" s="23"/>
      <c r="JJ437" s="23"/>
      <c r="JK437" s="23"/>
      <c r="JL437" s="23"/>
      <c r="JM437" s="23"/>
      <c r="JN437" s="23"/>
      <c r="JO437" s="23"/>
      <c r="JP437" s="23"/>
      <c r="JQ437" s="23"/>
      <c r="JR437" s="23"/>
      <c r="JS437" s="23"/>
      <c r="JT437" s="23"/>
      <c r="JU437" s="23"/>
      <c r="JV437" s="23"/>
      <c r="JW437" s="23"/>
      <c r="JX437" s="23"/>
      <c r="JY437" s="23"/>
      <c r="JZ437" s="23"/>
      <c r="KA437" s="23"/>
      <c r="KB437" s="23"/>
      <c r="KC437" s="23"/>
      <c r="KD437" s="23"/>
      <c r="KE437" s="23"/>
      <c r="KF437" s="23"/>
      <c r="KG437" s="23"/>
      <c r="KH437" s="23"/>
      <c r="KI437" s="23"/>
      <c r="KJ437" s="23"/>
      <c r="KK437" s="23"/>
      <c r="KL437" s="23"/>
      <c r="KM437" s="23"/>
      <c r="KN437" s="23"/>
      <c r="KO437" s="23"/>
      <c r="KP437" s="23"/>
      <c r="KQ437" s="23"/>
      <c r="KR437" s="23"/>
      <c r="KS437" s="23"/>
      <c r="KT437" s="23"/>
      <c r="KU437" s="23"/>
      <c r="KV437" s="23"/>
      <c r="KW437" s="23"/>
      <c r="KX437" s="23"/>
      <c r="KY437" s="23"/>
      <c r="KZ437" s="23"/>
      <c r="LA437" s="23"/>
      <c r="LB437" s="23"/>
      <c r="LC437" s="23"/>
      <c r="LD437" s="23"/>
      <c r="LE437" s="23"/>
      <c r="LF437" s="23"/>
      <c r="LG437" s="23"/>
      <c r="LH437" s="23"/>
      <c r="LI437" s="23"/>
      <c r="LJ437" s="23"/>
      <c r="LK437" s="23"/>
      <c r="LL437" s="23"/>
      <c r="LM437" s="23"/>
      <c r="LN437" s="23"/>
      <c r="LO437" s="23"/>
    </row>
    <row r="438" spans="1:327">
      <c r="A438" s="390"/>
      <c r="B438" s="23"/>
      <c r="C438" s="391"/>
      <c r="D438" s="391"/>
      <c r="E438" s="23"/>
      <c r="F438" s="23"/>
      <c r="G438" s="392"/>
      <c r="H438" s="392"/>
      <c r="I438" s="392"/>
      <c r="J438" s="392"/>
      <c r="K438" s="392"/>
      <c r="L438" s="392"/>
      <c r="M438" s="392"/>
      <c r="N438" s="23"/>
      <c r="O438" s="39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  <c r="IL438" s="23"/>
      <c r="IM438" s="23"/>
      <c r="IN438" s="23"/>
      <c r="IO438" s="23"/>
      <c r="IP438" s="23"/>
      <c r="IQ438" s="23"/>
      <c r="IR438" s="23"/>
      <c r="IS438" s="23"/>
      <c r="IT438" s="23"/>
      <c r="IU438" s="23"/>
      <c r="IV438" s="23"/>
      <c r="IW438" s="23"/>
      <c r="IX438" s="23"/>
      <c r="IY438" s="23"/>
      <c r="IZ438" s="23"/>
      <c r="JA438" s="23"/>
      <c r="JB438" s="23"/>
      <c r="JC438" s="23"/>
      <c r="JD438" s="23"/>
      <c r="JE438" s="23"/>
      <c r="JF438" s="23"/>
      <c r="JG438" s="23"/>
      <c r="JH438" s="23"/>
      <c r="JI438" s="23"/>
      <c r="JJ438" s="23"/>
      <c r="JK438" s="23"/>
      <c r="JL438" s="23"/>
      <c r="JM438" s="23"/>
      <c r="JN438" s="23"/>
      <c r="JO438" s="23"/>
      <c r="JP438" s="23"/>
      <c r="JQ438" s="23"/>
      <c r="JR438" s="23"/>
      <c r="JS438" s="23"/>
      <c r="JT438" s="23"/>
      <c r="JU438" s="23"/>
      <c r="JV438" s="23"/>
      <c r="JW438" s="23"/>
      <c r="JX438" s="23"/>
      <c r="JY438" s="23"/>
      <c r="JZ438" s="23"/>
      <c r="KA438" s="23"/>
      <c r="KB438" s="23"/>
      <c r="KC438" s="23"/>
      <c r="KD438" s="23"/>
      <c r="KE438" s="23"/>
      <c r="KF438" s="23"/>
      <c r="KG438" s="23"/>
      <c r="KH438" s="23"/>
      <c r="KI438" s="23"/>
      <c r="KJ438" s="23"/>
      <c r="KK438" s="23"/>
      <c r="KL438" s="23"/>
      <c r="KM438" s="23"/>
      <c r="KN438" s="23"/>
      <c r="KO438" s="23"/>
      <c r="KP438" s="23"/>
      <c r="KQ438" s="23"/>
      <c r="KR438" s="23"/>
      <c r="KS438" s="23"/>
      <c r="KT438" s="23"/>
      <c r="KU438" s="23"/>
      <c r="KV438" s="23"/>
      <c r="KW438" s="23"/>
      <c r="KX438" s="23"/>
      <c r="KY438" s="23"/>
      <c r="KZ438" s="23"/>
      <c r="LA438" s="23"/>
      <c r="LB438" s="23"/>
      <c r="LC438" s="23"/>
      <c r="LD438" s="23"/>
      <c r="LE438" s="23"/>
      <c r="LF438" s="23"/>
      <c r="LG438" s="23"/>
      <c r="LH438" s="23"/>
      <c r="LI438" s="23"/>
      <c r="LJ438" s="23"/>
      <c r="LK438" s="23"/>
      <c r="LL438" s="23"/>
      <c r="LM438" s="23"/>
      <c r="LN438" s="23"/>
      <c r="LO438" s="23"/>
    </row>
    <row r="439" spans="1:327">
      <c r="A439" s="390"/>
      <c r="B439" s="23"/>
      <c r="C439" s="391"/>
      <c r="D439" s="391"/>
      <c r="E439" s="23"/>
      <c r="F439" s="23"/>
      <c r="G439" s="392"/>
      <c r="H439" s="392"/>
      <c r="I439" s="392"/>
      <c r="J439" s="392"/>
      <c r="K439" s="392"/>
      <c r="L439" s="392"/>
      <c r="M439" s="392"/>
      <c r="N439" s="23"/>
      <c r="O439" s="39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  <c r="IL439" s="23"/>
      <c r="IM439" s="23"/>
      <c r="IN439" s="23"/>
      <c r="IO439" s="23"/>
      <c r="IP439" s="23"/>
      <c r="IQ439" s="23"/>
      <c r="IR439" s="23"/>
      <c r="IS439" s="23"/>
      <c r="IT439" s="23"/>
      <c r="IU439" s="23"/>
      <c r="IV439" s="23"/>
      <c r="IW439" s="23"/>
      <c r="IX439" s="23"/>
      <c r="IY439" s="23"/>
      <c r="IZ439" s="23"/>
      <c r="JA439" s="23"/>
      <c r="JB439" s="23"/>
      <c r="JC439" s="23"/>
      <c r="JD439" s="23"/>
      <c r="JE439" s="23"/>
      <c r="JF439" s="23"/>
      <c r="JG439" s="23"/>
      <c r="JH439" s="23"/>
      <c r="JI439" s="23"/>
      <c r="JJ439" s="23"/>
      <c r="JK439" s="23"/>
      <c r="JL439" s="23"/>
      <c r="JM439" s="23"/>
      <c r="JN439" s="23"/>
      <c r="JO439" s="23"/>
      <c r="JP439" s="23"/>
      <c r="JQ439" s="23"/>
      <c r="JR439" s="23"/>
      <c r="JS439" s="23"/>
      <c r="JT439" s="23"/>
      <c r="JU439" s="23"/>
      <c r="JV439" s="23"/>
      <c r="JW439" s="23"/>
      <c r="JX439" s="23"/>
      <c r="JY439" s="23"/>
      <c r="JZ439" s="23"/>
      <c r="KA439" s="23"/>
      <c r="KB439" s="23"/>
      <c r="KC439" s="23"/>
      <c r="KD439" s="23"/>
      <c r="KE439" s="23"/>
      <c r="KF439" s="23"/>
      <c r="KG439" s="23"/>
      <c r="KH439" s="23"/>
      <c r="KI439" s="23"/>
      <c r="KJ439" s="23"/>
      <c r="KK439" s="23"/>
      <c r="KL439" s="23"/>
      <c r="KM439" s="23"/>
      <c r="KN439" s="23"/>
      <c r="KO439" s="23"/>
      <c r="KP439" s="23"/>
      <c r="KQ439" s="23"/>
      <c r="KR439" s="23"/>
      <c r="KS439" s="23"/>
      <c r="KT439" s="23"/>
      <c r="KU439" s="23"/>
      <c r="KV439" s="23"/>
      <c r="KW439" s="23"/>
      <c r="KX439" s="23"/>
      <c r="KY439" s="23"/>
      <c r="KZ439" s="23"/>
      <c r="LA439" s="23"/>
      <c r="LB439" s="23"/>
      <c r="LC439" s="23"/>
      <c r="LD439" s="23"/>
      <c r="LE439" s="23"/>
      <c r="LF439" s="23"/>
      <c r="LG439" s="23"/>
      <c r="LH439" s="23"/>
      <c r="LI439" s="23"/>
      <c r="LJ439" s="23"/>
      <c r="LK439" s="23"/>
      <c r="LL439" s="23"/>
      <c r="LM439" s="23"/>
      <c r="LN439" s="23"/>
      <c r="LO439" s="23"/>
    </row>
    <row r="440" spans="1:327">
      <c r="A440" s="390"/>
      <c r="B440" s="23"/>
      <c r="C440" s="391"/>
      <c r="D440" s="391"/>
      <c r="E440" s="23"/>
      <c r="F440" s="23"/>
      <c r="G440" s="392"/>
      <c r="H440" s="392"/>
      <c r="I440" s="392"/>
      <c r="J440" s="392"/>
      <c r="K440" s="392"/>
      <c r="L440" s="392"/>
      <c r="M440" s="392"/>
      <c r="N440" s="23"/>
      <c r="O440" s="39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  <c r="IL440" s="23"/>
      <c r="IM440" s="23"/>
      <c r="IN440" s="23"/>
      <c r="IO440" s="23"/>
      <c r="IP440" s="23"/>
      <c r="IQ440" s="23"/>
      <c r="IR440" s="23"/>
      <c r="IS440" s="23"/>
      <c r="IT440" s="23"/>
      <c r="IU440" s="23"/>
      <c r="IV440" s="23"/>
      <c r="IW440" s="23"/>
      <c r="IX440" s="23"/>
      <c r="IY440" s="23"/>
      <c r="IZ440" s="23"/>
      <c r="JA440" s="23"/>
      <c r="JB440" s="23"/>
      <c r="JC440" s="23"/>
      <c r="JD440" s="23"/>
      <c r="JE440" s="23"/>
      <c r="JF440" s="23"/>
      <c r="JG440" s="23"/>
      <c r="JH440" s="23"/>
      <c r="JI440" s="23"/>
      <c r="JJ440" s="23"/>
      <c r="JK440" s="23"/>
      <c r="JL440" s="23"/>
      <c r="JM440" s="23"/>
      <c r="JN440" s="23"/>
      <c r="JO440" s="23"/>
      <c r="JP440" s="23"/>
      <c r="JQ440" s="23"/>
      <c r="JR440" s="23"/>
      <c r="JS440" s="23"/>
      <c r="JT440" s="23"/>
      <c r="JU440" s="23"/>
      <c r="JV440" s="23"/>
      <c r="JW440" s="23"/>
      <c r="JX440" s="23"/>
      <c r="JY440" s="23"/>
      <c r="JZ440" s="23"/>
      <c r="KA440" s="23"/>
      <c r="KB440" s="23"/>
      <c r="KC440" s="23"/>
      <c r="KD440" s="23"/>
      <c r="KE440" s="23"/>
      <c r="KF440" s="23"/>
      <c r="KG440" s="23"/>
      <c r="KH440" s="23"/>
      <c r="KI440" s="23"/>
      <c r="KJ440" s="23"/>
      <c r="KK440" s="23"/>
      <c r="KL440" s="23"/>
      <c r="KM440" s="23"/>
      <c r="KN440" s="23"/>
      <c r="KO440" s="23"/>
      <c r="KP440" s="23"/>
      <c r="KQ440" s="23"/>
      <c r="KR440" s="23"/>
      <c r="KS440" s="23"/>
      <c r="KT440" s="23"/>
      <c r="KU440" s="23"/>
      <c r="KV440" s="23"/>
      <c r="KW440" s="23"/>
      <c r="KX440" s="23"/>
      <c r="KY440" s="23"/>
      <c r="KZ440" s="23"/>
      <c r="LA440" s="23"/>
      <c r="LB440" s="23"/>
      <c r="LC440" s="23"/>
      <c r="LD440" s="23"/>
      <c r="LE440" s="23"/>
      <c r="LF440" s="23"/>
      <c r="LG440" s="23"/>
      <c r="LH440" s="23"/>
      <c r="LI440" s="23"/>
      <c r="LJ440" s="23"/>
      <c r="LK440" s="23"/>
      <c r="LL440" s="23"/>
      <c r="LM440" s="23"/>
      <c r="LN440" s="23"/>
      <c r="LO440" s="23"/>
    </row>
    <row r="441" spans="1:327">
      <c r="A441" s="390"/>
      <c r="B441" s="23"/>
      <c r="C441" s="391"/>
      <c r="D441" s="391"/>
      <c r="E441" s="23"/>
      <c r="F441" s="23"/>
      <c r="G441" s="392"/>
      <c r="H441" s="392"/>
      <c r="I441" s="392"/>
      <c r="J441" s="392"/>
      <c r="K441" s="392"/>
      <c r="L441" s="392"/>
      <c r="M441" s="392"/>
      <c r="N441" s="23"/>
      <c r="O441" s="39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  <c r="IL441" s="23"/>
      <c r="IM441" s="23"/>
      <c r="IN441" s="23"/>
      <c r="IO441" s="23"/>
      <c r="IP441" s="23"/>
      <c r="IQ441" s="23"/>
      <c r="IR441" s="23"/>
      <c r="IS441" s="23"/>
      <c r="IT441" s="23"/>
      <c r="IU441" s="23"/>
      <c r="IV441" s="23"/>
      <c r="IW441" s="23"/>
      <c r="IX441" s="23"/>
      <c r="IY441" s="23"/>
      <c r="IZ441" s="23"/>
      <c r="JA441" s="23"/>
      <c r="JB441" s="23"/>
      <c r="JC441" s="23"/>
      <c r="JD441" s="23"/>
      <c r="JE441" s="23"/>
      <c r="JF441" s="23"/>
      <c r="JG441" s="23"/>
      <c r="JH441" s="23"/>
      <c r="JI441" s="23"/>
      <c r="JJ441" s="23"/>
      <c r="JK441" s="23"/>
      <c r="JL441" s="23"/>
      <c r="JM441" s="23"/>
      <c r="JN441" s="23"/>
      <c r="JO441" s="23"/>
      <c r="JP441" s="23"/>
      <c r="JQ441" s="23"/>
      <c r="JR441" s="23"/>
      <c r="JS441" s="23"/>
      <c r="JT441" s="23"/>
      <c r="JU441" s="23"/>
      <c r="JV441" s="23"/>
      <c r="JW441" s="23"/>
      <c r="JX441" s="23"/>
      <c r="JY441" s="23"/>
      <c r="JZ441" s="23"/>
      <c r="KA441" s="23"/>
      <c r="KB441" s="23"/>
      <c r="KC441" s="23"/>
      <c r="KD441" s="23"/>
      <c r="KE441" s="23"/>
      <c r="KF441" s="23"/>
      <c r="KG441" s="23"/>
      <c r="KH441" s="23"/>
      <c r="KI441" s="23"/>
      <c r="KJ441" s="23"/>
      <c r="KK441" s="23"/>
      <c r="KL441" s="23"/>
      <c r="KM441" s="23"/>
      <c r="KN441" s="23"/>
      <c r="KO441" s="23"/>
      <c r="KP441" s="23"/>
      <c r="KQ441" s="23"/>
      <c r="KR441" s="23"/>
      <c r="KS441" s="23"/>
      <c r="KT441" s="23"/>
      <c r="KU441" s="23"/>
      <c r="KV441" s="23"/>
      <c r="KW441" s="23"/>
      <c r="KX441" s="23"/>
      <c r="KY441" s="23"/>
      <c r="KZ441" s="23"/>
      <c r="LA441" s="23"/>
      <c r="LB441" s="23"/>
      <c r="LC441" s="23"/>
      <c r="LD441" s="23"/>
      <c r="LE441" s="23"/>
      <c r="LF441" s="23"/>
      <c r="LG441" s="23"/>
      <c r="LH441" s="23"/>
      <c r="LI441" s="23"/>
      <c r="LJ441" s="23"/>
      <c r="LK441" s="23"/>
      <c r="LL441" s="23"/>
      <c r="LM441" s="23"/>
      <c r="LN441" s="23"/>
      <c r="LO441" s="23"/>
    </row>
    <row r="442" spans="1:327">
      <c r="A442" s="390"/>
      <c r="B442" s="23"/>
      <c r="C442" s="391"/>
      <c r="D442" s="391"/>
      <c r="E442" s="23"/>
      <c r="F442" s="23"/>
      <c r="G442" s="392"/>
      <c r="H442" s="392"/>
      <c r="I442" s="392"/>
      <c r="J442" s="392"/>
      <c r="K442" s="392"/>
      <c r="L442" s="392"/>
      <c r="M442" s="392"/>
      <c r="N442" s="23"/>
      <c r="O442" s="39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  <c r="IL442" s="23"/>
      <c r="IM442" s="23"/>
      <c r="IN442" s="23"/>
      <c r="IO442" s="23"/>
      <c r="IP442" s="23"/>
      <c r="IQ442" s="23"/>
      <c r="IR442" s="23"/>
      <c r="IS442" s="23"/>
      <c r="IT442" s="23"/>
      <c r="IU442" s="23"/>
      <c r="IV442" s="23"/>
      <c r="IW442" s="23"/>
      <c r="IX442" s="23"/>
      <c r="IY442" s="23"/>
      <c r="IZ442" s="23"/>
      <c r="JA442" s="23"/>
      <c r="JB442" s="23"/>
      <c r="JC442" s="23"/>
      <c r="JD442" s="23"/>
      <c r="JE442" s="23"/>
      <c r="JF442" s="23"/>
      <c r="JG442" s="23"/>
      <c r="JH442" s="23"/>
      <c r="JI442" s="23"/>
      <c r="JJ442" s="23"/>
      <c r="JK442" s="23"/>
      <c r="JL442" s="23"/>
      <c r="JM442" s="23"/>
      <c r="JN442" s="23"/>
      <c r="JO442" s="23"/>
      <c r="JP442" s="23"/>
      <c r="JQ442" s="23"/>
      <c r="JR442" s="23"/>
      <c r="JS442" s="23"/>
      <c r="JT442" s="23"/>
      <c r="JU442" s="23"/>
      <c r="JV442" s="23"/>
      <c r="JW442" s="23"/>
      <c r="JX442" s="23"/>
      <c r="JY442" s="23"/>
      <c r="JZ442" s="23"/>
      <c r="KA442" s="23"/>
      <c r="KB442" s="23"/>
      <c r="KC442" s="23"/>
      <c r="KD442" s="23"/>
      <c r="KE442" s="23"/>
      <c r="KF442" s="23"/>
      <c r="KG442" s="23"/>
      <c r="KH442" s="23"/>
      <c r="KI442" s="23"/>
      <c r="KJ442" s="23"/>
      <c r="KK442" s="23"/>
      <c r="KL442" s="23"/>
      <c r="KM442" s="23"/>
      <c r="KN442" s="23"/>
      <c r="KO442" s="23"/>
      <c r="KP442" s="23"/>
      <c r="KQ442" s="23"/>
      <c r="KR442" s="23"/>
      <c r="KS442" s="23"/>
      <c r="KT442" s="23"/>
      <c r="KU442" s="23"/>
      <c r="KV442" s="23"/>
      <c r="KW442" s="23"/>
      <c r="KX442" s="23"/>
      <c r="KY442" s="23"/>
      <c r="KZ442" s="23"/>
      <c r="LA442" s="23"/>
      <c r="LB442" s="23"/>
      <c r="LC442" s="23"/>
      <c r="LD442" s="23"/>
      <c r="LE442" s="23"/>
      <c r="LF442" s="23"/>
      <c r="LG442" s="23"/>
      <c r="LH442" s="23"/>
      <c r="LI442" s="23"/>
      <c r="LJ442" s="23"/>
      <c r="LK442" s="23"/>
      <c r="LL442" s="23"/>
      <c r="LM442" s="23"/>
      <c r="LN442" s="23"/>
      <c r="LO442" s="23"/>
    </row>
    <row r="443" spans="1:327">
      <c r="A443" s="390"/>
      <c r="B443" s="23"/>
      <c r="C443" s="391"/>
      <c r="D443" s="391"/>
      <c r="E443" s="23"/>
      <c r="F443" s="23"/>
      <c r="G443" s="392"/>
      <c r="H443" s="392"/>
      <c r="I443" s="392"/>
      <c r="J443" s="392"/>
      <c r="K443" s="392"/>
      <c r="L443" s="392"/>
      <c r="M443" s="392"/>
      <c r="N443" s="23"/>
      <c r="O443" s="39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  <c r="IL443" s="23"/>
      <c r="IM443" s="23"/>
      <c r="IN443" s="23"/>
      <c r="IO443" s="23"/>
      <c r="IP443" s="23"/>
      <c r="IQ443" s="23"/>
      <c r="IR443" s="23"/>
      <c r="IS443" s="23"/>
      <c r="IT443" s="23"/>
      <c r="IU443" s="23"/>
      <c r="IV443" s="23"/>
      <c r="IW443" s="23"/>
      <c r="IX443" s="23"/>
      <c r="IY443" s="23"/>
      <c r="IZ443" s="23"/>
      <c r="JA443" s="23"/>
      <c r="JB443" s="23"/>
      <c r="JC443" s="23"/>
      <c r="JD443" s="23"/>
      <c r="JE443" s="23"/>
      <c r="JF443" s="23"/>
      <c r="JG443" s="23"/>
      <c r="JH443" s="23"/>
      <c r="JI443" s="23"/>
      <c r="JJ443" s="23"/>
      <c r="JK443" s="23"/>
      <c r="JL443" s="23"/>
      <c r="JM443" s="23"/>
      <c r="JN443" s="23"/>
      <c r="JO443" s="23"/>
      <c r="JP443" s="23"/>
      <c r="JQ443" s="23"/>
      <c r="JR443" s="23"/>
      <c r="JS443" s="23"/>
      <c r="JT443" s="23"/>
      <c r="JU443" s="23"/>
      <c r="JV443" s="23"/>
      <c r="JW443" s="23"/>
      <c r="JX443" s="23"/>
      <c r="JY443" s="23"/>
      <c r="JZ443" s="23"/>
      <c r="KA443" s="23"/>
      <c r="KB443" s="23"/>
      <c r="KC443" s="23"/>
      <c r="KD443" s="23"/>
      <c r="KE443" s="23"/>
      <c r="KF443" s="23"/>
      <c r="KG443" s="23"/>
      <c r="KH443" s="23"/>
      <c r="KI443" s="23"/>
      <c r="KJ443" s="23"/>
      <c r="KK443" s="23"/>
      <c r="KL443" s="23"/>
      <c r="KM443" s="23"/>
      <c r="KN443" s="23"/>
      <c r="KO443" s="23"/>
      <c r="KP443" s="23"/>
      <c r="KQ443" s="23"/>
      <c r="KR443" s="23"/>
      <c r="KS443" s="23"/>
      <c r="KT443" s="23"/>
      <c r="KU443" s="23"/>
      <c r="KV443" s="23"/>
      <c r="KW443" s="23"/>
      <c r="KX443" s="23"/>
      <c r="KY443" s="23"/>
      <c r="KZ443" s="23"/>
      <c r="LA443" s="23"/>
      <c r="LB443" s="23"/>
      <c r="LC443" s="23"/>
      <c r="LD443" s="23"/>
      <c r="LE443" s="23"/>
      <c r="LF443" s="23"/>
      <c r="LG443" s="23"/>
      <c r="LH443" s="23"/>
      <c r="LI443" s="23"/>
      <c r="LJ443" s="23"/>
      <c r="LK443" s="23"/>
      <c r="LL443" s="23"/>
      <c r="LM443" s="23"/>
      <c r="LN443" s="23"/>
      <c r="LO443" s="23"/>
    </row>
    <row r="444" spans="1:327">
      <c r="A444" s="390"/>
      <c r="B444" s="23"/>
      <c r="C444" s="391"/>
      <c r="D444" s="391"/>
      <c r="E444" s="23"/>
      <c r="F444" s="23"/>
      <c r="G444" s="392"/>
      <c r="H444" s="392"/>
      <c r="I444" s="392"/>
      <c r="J444" s="392"/>
      <c r="K444" s="392"/>
      <c r="L444" s="392"/>
      <c r="M444" s="392"/>
      <c r="N444" s="23"/>
      <c r="O444" s="39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  <c r="IL444" s="23"/>
      <c r="IM444" s="23"/>
      <c r="IN444" s="23"/>
      <c r="IO444" s="23"/>
      <c r="IP444" s="23"/>
      <c r="IQ444" s="23"/>
      <c r="IR444" s="23"/>
      <c r="IS444" s="23"/>
      <c r="IT444" s="23"/>
      <c r="IU444" s="23"/>
      <c r="IV444" s="23"/>
      <c r="IW444" s="23"/>
      <c r="IX444" s="23"/>
      <c r="IY444" s="23"/>
      <c r="IZ444" s="23"/>
      <c r="JA444" s="23"/>
      <c r="JB444" s="23"/>
      <c r="JC444" s="23"/>
      <c r="JD444" s="23"/>
      <c r="JE444" s="23"/>
      <c r="JF444" s="23"/>
      <c r="JG444" s="23"/>
      <c r="JH444" s="23"/>
      <c r="JI444" s="23"/>
      <c r="JJ444" s="23"/>
      <c r="JK444" s="23"/>
      <c r="JL444" s="23"/>
      <c r="JM444" s="23"/>
      <c r="JN444" s="23"/>
      <c r="JO444" s="23"/>
      <c r="JP444" s="23"/>
      <c r="JQ444" s="23"/>
      <c r="JR444" s="23"/>
      <c r="JS444" s="23"/>
      <c r="JT444" s="23"/>
      <c r="JU444" s="23"/>
      <c r="JV444" s="23"/>
      <c r="JW444" s="23"/>
      <c r="JX444" s="23"/>
      <c r="JY444" s="23"/>
      <c r="JZ444" s="23"/>
      <c r="KA444" s="23"/>
      <c r="KB444" s="23"/>
      <c r="KC444" s="23"/>
      <c r="KD444" s="23"/>
      <c r="KE444" s="23"/>
      <c r="KF444" s="23"/>
      <c r="KG444" s="23"/>
      <c r="KH444" s="23"/>
      <c r="KI444" s="23"/>
      <c r="KJ444" s="23"/>
      <c r="KK444" s="23"/>
      <c r="KL444" s="23"/>
      <c r="KM444" s="23"/>
      <c r="KN444" s="23"/>
      <c r="KO444" s="23"/>
      <c r="KP444" s="23"/>
      <c r="KQ444" s="23"/>
      <c r="KR444" s="23"/>
      <c r="KS444" s="23"/>
      <c r="KT444" s="23"/>
      <c r="KU444" s="23"/>
      <c r="KV444" s="23"/>
      <c r="KW444" s="23"/>
      <c r="KX444" s="23"/>
      <c r="KY444" s="23"/>
      <c r="KZ444" s="23"/>
      <c r="LA444" s="23"/>
      <c r="LB444" s="23"/>
      <c r="LC444" s="23"/>
      <c r="LD444" s="23"/>
      <c r="LE444" s="23"/>
      <c r="LF444" s="23"/>
      <c r="LG444" s="23"/>
      <c r="LH444" s="23"/>
      <c r="LI444" s="23"/>
      <c r="LJ444" s="23"/>
      <c r="LK444" s="23"/>
      <c r="LL444" s="23"/>
      <c r="LM444" s="23"/>
      <c r="LN444" s="23"/>
      <c r="LO444" s="23"/>
    </row>
    <row r="445" spans="1:327">
      <c r="A445" s="390"/>
      <c r="B445" s="23"/>
      <c r="C445" s="391"/>
      <c r="D445" s="391"/>
      <c r="E445" s="23"/>
      <c r="F445" s="23"/>
      <c r="G445" s="392"/>
      <c r="H445" s="392"/>
      <c r="I445" s="392"/>
      <c r="J445" s="392"/>
      <c r="K445" s="392"/>
      <c r="L445" s="392"/>
      <c r="M445" s="392"/>
      <c r="N445" s="23"/>
      <c r="O445" s="39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  <c r="IL445" s="23"/>
      <c r="IM445" s="23"/>
      <c r="IN445" s="23"/>
      <c r="IO445" s="23"/>
      <c r="IP445" s="23"/>
      <c r="IQ445" s="23"/>
      <c r="IR445" s="23"/>
      <c r="IS445" s="23"/>
      <c r="IT445" s="23"/>
      <c r="IU445" s="23"/>
      <c r="IV445" s="23"/>
      <c r="IW445" s="23"/>
      <c r="IX445" s="23"/>
      <c r="IY445" s="23"/>
      <c r="IZ445" s="23"/>
      <c r="JA445" s="23"/>
      <c r="JB445" s="23"/>
      <c r="JC445" s="23"/>
      <c r="JD445" s="23"/>
      <c r="JE445" s="23"/>
      <c r="JF445" s="23"/>
      <c r="JG445" s="23"/>
      <c r="JH445" s="23"/>
      <c r="JI445" s="23"/>
      <c r="JJ445" s="23"/>
      <c r="JK445" s="23"/>
      <c r="JL445" s="23"/>
      <c r="JM445" s="23"/>
      <c r="JN445" s="23"/>
      <c r="JO445" s="23"/>
      <c r="JP445" s="23"/>
      <c r="JQ445" s="23"/>
      <c r="JR445" s="23"/>
      <c r="JS445" s="23"/>
      <c r="JT445" s="23"/>
      <c r="JU445" s="23"/>
      <c r="JV445" s="23"/>
      <c r="JW445" s="23"/>
      <c r="JX445" s="23"/>
      <c r="JY445" s="23"/>
      <c r="JZ445" s="23"/>
      <c r="KA445" s="23"/>
      <c r="KB445" s="23"/>
      <c r="KC445" s="23"/>
      <c r="KD445" s="23"/>
      <c r="KE445" s="23"/>
      <c r="KF445" s="23"/>
      <c r="KG445" s="23"/>
      <c r="KH445" s="23"/>
      <c r="KI445" s="23"/>
      <c r="KJ445" s="23"/>
      <c r="KK445" s="23"/>
      <c r="KL445" s="23"/>
      <c r="KM445" s="23"/>
      <c r="KN445" s="23"/>
      <c r="KO445" s="23"/>
      <c r="KP445" s="23"/>
      <c r="KQ445" s="23"/>
      <c r="KR445" s="23"/>
      <c r="KS445" s="23"/>
      <c r="KT445" s="23"/>
      <c r="KU445" s="23"/>
      <c r="KV445" s="23"/>
      <c r="KW445" s="23"/>
      <c r="KX445" s="23"/>
      <c r="KY445" s="23"/>
      <c r="KZ445" s="23"/>
      <c r="LA445" s="23"/>
      <c r="LB445" s="23"/>
      <c r="LC445" s="23"/>
      <c r="LD445" s="23"/>
      <c r="LE445" s="23"/>
      <c r="LF445" s="23"/>
      <c r="LG445" s="23"/>
      <c r="LH445" s="23"/>
      <c r="LI445" s="23"/>
      <c r="LJ445" s="23"/>
      <c r="LK445" s="23"/>
      <c r="LL445" s="23"/>
      <c r="LM445" s="23"/>
      <c r="LN445" s="23"/>
      <c r="LO445" s="23"/>
    </row>
    <row r="446" spans="1:327">
      <c r="A446" s="390"/>
      <c r="B446" s="23"/>
      <c r="C446" s="391"/>
      <c r="D446" s="391"/>
      <c r="E446" s="23"/>
      <c r="F446" s="23"/>
      <c r="G446" s="392"/>
      <c r="H446" s="392"/>
      <c r="I446" s="392"/>
      <c r="J446" s="392"/>
      <c r="K446" s="392"/>
      <c r="L446" s="392"/>
      <c r="M446" s="392"/>
      <c r="N446" s="23"/>
      <c r="O446" s="39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  <c r="IL446" s="23"/>
      <c r="IM446" s="23"/>
      <c r="IN446" s="23"/>
      <c r="IO446" s="23"/>
      <c r="IP446" s="23"/>
      <c r="IQ446" s="23"/>
      <c r="IR446" s="23"/>
      <c r="IS446" s="23"/>
      <c r="IT446" s="23"/>
      <c r="IU446" s="23"/>
      <c r="IV446" s="23"/>
      <c r="IW446" s="23"/>
      <c r="IX446" s="23"/>
      <c r="IY446" s="23"/>
      <c r="IZ446" s="23"/>
      <c r="JA446" s="23"/>
      <c r="JB446" s="23"/>
      <c r="JC446" s="23"/>
      <c r="JD446" s="23"/>
      <c r="JE446" s="23"/>
      <c r="JF446" s="23"/>
      <c r="JG446" s="23"/>
      <c r="JH446" s="23"/>
      <c r="JI446" s="23"/>
      <c r="JJ446" s="23"/>
      <c r="JK446" s="23"/>
      <c r="JL446" s="23"/>
      <c r="JM446" s="23"/>
      <c r="JN446" s="23"/>
      <c r="JO446" s="23"/>
      <c r="JP446" s="23"/>
      <c r="JQ446" s="23"/>
      <c r="JR446" s="23"/>
      <c r="JS446" s="23"/>
      <c r="JT446" s="23"/>
      <c r="JU446" s="23"/>
      <c r="JV446" s="23"/>
      <c r="JW446" s="23"/>
      <c r="JX446" s="23"/>
      <c r="JY446" s="23"/>
      <c r="JZ446" s="23"/>
      <c r="KA446" s="23"/>
      <c r="KB446" s="23"/>
      <c r="KC446" s="23"/>
      <c r="KD446" s="23"/>
      <c r="KE446" s="23"/>
      <c r="KF446" s="23"/>
      <c r="KG446" s="23"/>
      <c r="KH446" s="23"/>
      <c r="KI446" s="23"/>
      <c r="KJ446" s="23"/>
      <c r="KK446" s="23"/>
      <c r="KL446" s="23"/>
      <c r="KM446" s="23"/>
      <c r="KN446" s="23"/>
      <c r="KO446" s="23"/>
      <c r="KP446" s="23"/>
      <c r="KQ446" s="23"/>
      <c r="KR446" s="23"/>
      <c r="KS446" s="23"/>
      <c r="KT446" s="23"/>
      <c r="KU446" s="23"/>
      <c r="KV446" s="23"/>
      <c r="KW446" s="23"/>
      <c r="KX446" s="23"/>
      <c r="KY446" s="23"/>
      <c r="KZ446" s="23"/>
      <c r="LA446" s="23"/>
      <c r="LB446" s="23"/>
      <c r="LC446" s="23"/>
      <c r="LD446" s="23"/>
      <c r="LE446" s="23"/>
      <c r="LF446" s="23"/>
      <c r="LG446" s="23"/>
      <c r="LH446" s="23"/>
      <c r="LI446" s="23"/>
      <c r="LJ446" s="23"/>
      <c r="LK446" s="23"/>
      <c r="LL446" s="23"/>
      <c r="LM446" s="23"/>
      <c r="LN446" s="23"/>
      <c r="LO446" s="23"/>
    </row>
    <row r="447" spans="1:327">
      <c r="A447" s="390"/>
      <c r="B447" s="23"/>
      <c r="C447" s="391"/>
      <c r="D447" s="391"/>
      <c r="E447" s="23"/>
      <c r="F447" s="23"/>
      <c r="G447" s="392"/>
      <c r="H447" s="392"/>
      <c r="I447" s="392"/>
      <c r="J447" s="392"/>
      <c r="K447" s="392"/>
      <c r="L447" s="392"/>
      <c r="M447" s="392"/>
      <c r="N447" s="23"/>
      <c r="O447" s="39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  <c r="IL447" s="23"/>
      <c r="IM447" s="23"/>
      <c r="IN447" s="23"/>
      <c r="IO447" s="23"/>
      <c r="IP447" s="23"/>
      <c r="IQ447" s="23"/>
      <c r="IR447" s="23"/>
      <c r="IS447" s="23"/>
      <c r="IT447" s="23"/>
      <c r="IU447" s="23"/>
      <c r="IV447" s="23"/>
      <c r="IW447" s="23"/>
      <c r="IX447" s="23"/>
      <c r="IY447" s="23"/>
      <c r="IZ447" s="23"/>
      <c r="JA447" s="23"/>
      <c r="JB447" s="23"/>
      <c r="JC447" s="23"/>
      <c r="JD447" s="23"/>
      <c r="JE447" s="23"/>
      <c r="JF447" s="23"/>
      <c r="JG447" s="23"/>
      <c r="JH447" s="23"/>
      <c r="JI447" s="23"/>
      <c r="JJ447" s="23"/>
      <c r="JK447" s="23"/>
      <c r="JL447" s="23"/>
      <c r="JM447" s="23"/>
      <c r="JN447" s="23"/>
      <c r="JO447" s="23"/>
      <c r="JP447" s="23"/>
      <c r="JQ447" s="23"/>
      <c r="JR447" s="23"/>
      <c r="JS447" s="23"/>
      <c r="JT447" s="23"/>
      <c r="JU447" s="23"/>
      <c r="JV447" s="23"/>
      <c r="JW447" s="23"/>
      <c r="JX447" s="23"/>
      <c r="JY447" s="23"/>
      <c r="JZ447" s="23"/>
      <c r="KA447" s="23"/>
      <c r="KB447" s="23"/>
      <c r="KC447" s="23"/>
      <c r="KD447" s="23"/>
      <c r="KE447" s="23"/>
      <c r="KF447" s="23"/>
      <c r="KG447" s="23"/>
      <c r="KH447" s="23"/>
      <c r="KI447" s="23"/>
      <c r="KJ447" s="23"/>
      <c r="KK447" s="23"/>
      <c r="KL447" s="23"/>
      <c r="KM447" s="23"/>
      <c r="KN447" s="23"/>
      <c r="KO447" s="23"/>
      <c r="KP447" s="23"/>
      <c r="KQ447" s="23"/>
      <c r="KR447" s="23"/>
      <c r="KS447" s="23"/>
      <c r="KT447" s="23"/>
      <c r="KU447" s="23"/>
      <c r="KV447" s="23"/>
      <c r="KW447" s="23"/>
      <c r="KX447" s="23"/>
      <c r="KY447" s="23"/>
      <c r="KZ447" s="23"/>
      <c r="LA447" s="23"/>
      <c r="LB447" s="23"/>
      <c r="LC447" s="23"/>
      <c r="LD447" s="23"/>
      <c r="LE447" s="23"/>
      <c r="LF447" s="23"/>
      <c r="LG447" s="23"/>
      <c r="LH447" s="23"/>
      <c r="LI447" s="23"/>
      <c r="LJ447" s="23"/>
      <c r="LK447" s="23"/>
      <c r="LL447" s="23"/>
      <c r="LM447" s="23"/>
      <c r="LN447" s="23"/>
      <c r="LO447" s="23"/>
    </row>
    <row r="448" spans="1:327">
      <c r="A448" s="390"/>
      <c r="B448" s="23"/>
      <c r="C448" s="391"/>
      <c r="D448" s="391"/>
      <c r="E448" s="23"/>
      <c r="F448" s="23"/>
      <c r="G448" s="392"/>
      <c r="H448" s="392"/>
      <c r="I448" s="392"/>
      <c r="J448" s="392"/>
      <c r="K448" s="392"/>
      <c r="L448" s="392"/>
      <c r="M448" s="392"/>
      <c r="N448" s="23"/>
      <c r="O448" s="39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  <c r="IL448" s="23"/>
      <c r="IM448" s="23"/>
      <c r="IN448" s="23"/>
      <c r="IO448" s="23"/>
      <c r="IP448" s="23"/>
      <c r="IQ448" s="23"/>
      <c r="IR448" s="23"/>
      <c r="IS448" s="23"/>
      <c r="IT448" s="23"/>
      <c r="IU448" s="23"/>
      <c r="IV448" s="23"/>
      <c r="IW448" s="23"/>
      <c r="IX448" s="23"/>
      <c r="IY448" s="23"/>
      <c r="IZ448" s="23"/>
      <c r="JA448" s="23"/>
      <c r="JB448" s="23"/>
      <c r="JC448" s="23"/>
      <c r="JD448" s="23"/>
      <c r="JE448" s="23"/>
      <c r="JF448" s="23"/>
      <c r="JG448" s="23"/>
      <c r="JH448" s="23"/>
      <c r="JI448" s="23"/>
      <c r="JJ448" s="23"/>
      <c r="JK448" s="23"/>
      <c r="JL448" s="23"/>
      <c r="JM448" s="23"/>
      <c r="JN448" s="23"/>
      <c r="JO448" s="23"/>
      <c r="JP448" s="23"/>
      <c r="JQ448" s="23"/>
      <c r="JR448" s="23"/>
      <c r="JS448" s="23"/>
      <c r="JT448" s="23"/>
      <c r="JU448" s="23"/>
      <c r="JV448" s="23"/>
      <c r="JW448" s="23"/>
      <c r="JX448" s="23"/>
      <c r="JY448" s="23"/>
      <c r="JZ448" s="23"/>
      <c r="KA448" s="23"/>
      <c r="KB448" s="23"/>
      <c r="KC448" s="23"/>
      <c r="KD448" s="23"/>
      <c r="KE448" s="23"/>
      <c r="KF448" s="23"/>
      <c r="KG448" s="23"/>
      <c r="KH448" s="23"/>
      <c r="KI448" s="23"/>
      <c r="KJ448" s="23"/>
      <c r="KK448" s="23"/>
      <c r="KL448" s="23"/>
      <c r="KM448" s="23"/>
      <c r="KN448" s="23"/>
      <c r="KO448" s="23"/>
      <c r="KP448" s="23"/>
      <c r="KQ448" s="23"/>
      <c r="KR448" s="23"/>
      <c r="KS448" s="23"/>
      <c r="KT448" s="23"/>
      <c r="KU448" s="23"/>
      <c r="KV448" s="23"/>
      <c r="KW448" s="23"/>
      <c r="KX448" s="23"/>
      <c r="KY448" s="23"/>
      <c r="KZ448" s="23"/>
      <c r="LA448" s="23"/>
      <c r="LB448" s="23"/>
      <c r="LC448" s="23"/>
      <c r="LD448" s="23"/>
      <c r="LE448" s="23"/>
      <c r="LF448" s="23"/>
      <c r="LG448" s="23"/>
      <c r="LH448" s="23"/>
      <c r="LI448" s="23"/>
      <c r="LJ448" s="23"/>
      <c r="LK448" s="23"/>
      <c r="LL448" s="23"/>
      <c r="LM448" s="23"/>
      <c r="LN448" s="23"/>
      <c r="LO448" s="23"/>
    </row>
    <row r="449" spans="1:327">
      <c r="A449" s="390"/>
      <c r="B449" s="23"/>
      <c r="C449" s="391"/>
      <c r="D449" s="391"/>
      <c r="E449" s="23"/>
      <c r="F449" s="23"/>
      <c r="G449" s="392"/>
      <c r="H449" s="392"/>
      <c r="I449" s="392"/>
      <c r="J449" s="392"/>
      <c r="K449" s="392"/>
      <c r="L449" s="392"/>
      <c r="M449" s="392"/>
      <c r="N449" s="23"/>
      <c r="O449" s="39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  <c r="IL449" s="23"/>
      <c r="IM449" s="23"/>
      <c r="IN449" s="23"/>
      <c r="IO449" s="23"/>
      <c r="IP449" s="23"/>
      <c r="IQ449" s="23"/>
      <c r="IR449" s="23"/>
      <c r="IS449" s="23"/>
      <c r="IT449" s="23"/>
      <c r="IU449" s="23"/>
      <c r="IV449" s="23"/>
      <c r="IW449" s="23"/>
      <c r="IX449" s="23"/>
      <c r="IY449" s="23"/>
      <c r="IZ449" s="23"/>
      <c r="JA449" s="23"/>
      <c r="JB449" s="23"/>
      <c r="JC449" s="23"/>
      <c r="JD449" s="23"/>
      <c r="JE449" s="23"/>
      <c r="JF449" s="23"/>
      <c r="JG449" s="23"/>
      <c r="JH449" s="23"/>
      <c r="JI449" s="23"/>
      <c r="JJ449" s="23"/>
      <c r="JK449" s="23"/>
      <c r="JL449" s="23"/>
      <c r="JM449" s="23"/>
      <c r="JN449" s="23"/>
      <c r="JO449" s="23"/>
      <c r="JP449" s="23"/>
      <c r="JQ449" s="23"/>
      <c r="JR449" s="23"/>
      <c r="JS449" s="23"/>
      <c r="JT449" s="23"/>
      <c r="JU449" s="23"/>
      <c r="JV449" s="23"/>
      <c r="JW449" s="23"/>
      <c r="JX449" s="23"/>
      <c r="JY449" s="23"/>
      <c r="JZ449" s="23"/>
      <c r="KA449" s="23"/>
      <c r="KB449" s="23"/>
      <c r="KC449" s="23"/>
      <c r="KD449" s="23"/>
      <c r="KE449" s="23"/>
      <c r="KF449" s="23"/>
      <c r="KG449" s="23"/>
      <c r="KH449" s="23"/>
      <c r="KI449" s="23"/>
      <c r="KJ449" s="23"/>
      <c r="KK449" s="23"/>
      <c r="KL449" s="23"/>
      <c r="KM449" s="23"/>
      <c r="KN449" s="23"/>
      <c r="KO449" s="23"/>
      <c r="KP449" s="23"/>
      <c r="KQ449" s="23"/>
      <c r="KR449" s="23"/>
      <c r="KS449" s="23"/>
      <c r="KT449" s="23"/>
      <c r="KU449" s="23"/>
      <c r="KV449" s="23"/>
      <c r="KW449" s="23"/>
      <c r="KX449" s="23"/>
      <c r="KY449" s="23"/>
      <c r="KZ449" s="23"/>
      <c r="LA449" s="23"/>
      <c r="LB449" s="23"/>
      <c r="LC449" s="23"/>
      <c r="LD449" s="23"/>
      <c r="LE449" s="23"/>
      <c r="LF449" s="23"/>
      <c r="LG449" s="23"/>
      <c r="LH449" s="23"/>
      <c r="LI449" s="23"/>
      <c r="LJ449" s="23"/>
      <c r="LK449" s="23"/>
      <c r="LL449" s="23"/>
      <c r="LM449" s="23"/>
      <c r="LN449" s="23"/>
      <c r="LO449" s="23"/>
    </row>
    <row r="450" spans="1:327">
      <c r="A450" s="390"/>
      <c r="B450" s="23"/>
      <c r="C450" s="391"/>
      <c r="D450" s="391"/>
      <c r="E450" s="23"/>
      <c r="F450" s="23"/>
      <c r="G450" s="392"/>
      <c r="H450" s="392"/>
      <c r="I450" s="392"/>
      <c r="J450" s="392"/>
      <c r="K450" s="392"/>
      <c r="L450" s="392"/>
      <c r="M450" s="392"/>
      <c r="N450" s="23"/>
      <c r="O450" s="39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  <c r="IL450" s="23"/>
      <c r="IM450" s="23"/>
      <c r="IN450" s="23"/>
      <c r="IO450" s="23"/>
      <c r="IP450" s="23"/>
      <c r="IQ450" s="23"/>
      <c r="IR450" s="23"/>
      <c r="IS450" s="23"/>
      <c r="IT450" s="23"/>
      <c r="IU450" s="23"/>
      <c r="IV450" s="23"/>
      <c r="IW450" s="23"/>
      <c r="IX450" s="23"/>
      <c r="IY450" s="23"/>
      <c r="IZ450" s="23"/>
      <c r="JA450" s="23"/>
      <c r="JB450" s="23"/>
      <c r="JC450" s="23"/>
      <c r="JD450" s="23"/>
      <c r="JE450" s="23"/>
      <c r="JF450" s="23"/>
      <c r="JG450" s="23"/>
      <c r="JH450" s="23"/>
      <c r="JI450" s="23"/>
      <c r="JJ450" s="23"/>
      <c r="JK450" s="23"/>
      <c r="JL450" s="23"/>
      <c r="JM450" s="23"/>
      <c r="JN450" s="23"/>
      <c r="JO450" s="23"/>
      <c r="JP450" s="23"/>
      <c r="JQ450" s="23"/>
      <c r="JR450" s="23"/>
      <c r="JS450" s="23"/>
      <c r="JT450" s="23"/>
      <c r="JU450" s="23"/>
      <c r="JV450" s="23"/>
      <c r="JW450" s="23"/>
      <c r="JX450" s="23"/>
      <c r="JY450" s="23"/>
      <c r="JZ450" s="23"/>
      <c r="KA450" s="23"/>
      <c r="KB450" s="23"/>
      <c r="KC450" s="23"/>
      <c r="KD450" s="23"/>
      <c r="KE450" s="23"/>
      <c r="KF450" s="23"/>
      <c r="KG450" s="23"/>
      <c r="KH450" s="23"/>
      <c r="KI450" s="23"/>
      <c r="KJ450" s="23"/>
      <c r="KK450" s="23"/>
      <c r="KL450" s="23"/>
      <c r="KM450" s="23"/>
      <c r="KN450" s="23"/>
      <c r="KO450" s="23"/>
      <c r="KP450" s="23"/>
      <c r="KQ450" s="23"/>
      <c r="KR450" s="23"/>
      <c r="KS450" s="23"/>
      <c r="KT450" s="23"/>
      <c r="KU450" s="23"/>
      <c r="KV450" s="23"/>
      <c r="KW450" s="23"/>
      <c r="KX450" s="23"/>
      <c r="KY450" s="23"/>
      <c r="KZ450" s="23"/>
      <c r="LA450" s="23"/>
      <c r="LB450" s="23"/>
      <c r="LC450" s="23"/>
      <c r="LD450" s="23"/>
      <c r="LE450" s="23"/>
      <c r="LF450" s="23"/>
      <c r="LG450" s="23"/>
      <c r="LH450" s="23"/>
      <c r="LI450" s="23"/>
      <c r="LJ450" s="23"/>
      <c r="LK450" s="23"/>
      <c r="LL450" s="23"/>
      <c r="LM450" s="23"/>
      <c r="LN450" s="23"/>
      <c r="LO450" s="23"/>
    </row>
    <row r="451" spans="1:327">
      <c r="A451" s="390"/>
      <c r="B451" s="23"/>
      <c r="C451" s="391"/>
      <c r="D451" s="391"/>
      <c r="E451" s="23"/>
      <c r="F451" s="23"/>
      <c r="G451" s="392"/>
      <c r="H451" s="392"/>
      <c r="I451" s="392"/>
      <c r="J451" s="392"/>
      <c r="K451" s="392"/>
      <c r="L451" s="392"/>
      <c r="M451" s="392"/>
      <c r="N451" s="23"/>
      <c r="O451" s="39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  <c r="IL451" s="23"/>
      <c r="IM451" s="23"/>
      <c r="IN451" s="23"/>
      <c r="IO451" s="23"/>
      <c r="IP451" s="23"/>
      <c r="IQ451" s="23"/>
      <c r="IR451" s="23"/>
      <c r="IS451" s="23"/>
      <c r="IT451" s="23"/>
      <c r="IU451" s="23"/>
      <c r="IV451" s="23"/>
      <c r="IW451" s="23"/>
      <c r="IX451" s="23"/>
      <c r="IY451" s="23"/>
      <c r="IZ451" s="23"/>
      <c r="JA451" s="23"/>
      <c r="JB451" s="23"/>
      <c r="JC451" s="23"/>
      <c r="JD451" s="23"/>
      <c r="JE451" s="23"/>
      <c r="JF451" s="23"/>
      <c r="JG451" s="23"/>
      <c r="JH451" s="23"/>
      <c r="JI451" s="23"/>
      <c r="JJ451" s="23"/>
      <c r="JK451" s="23"/>
      <c r="JL451" s="23"/>
      <c r="JM451" s="23"/>
      <c r="JN451" s="23"/>
      <c r="JO451" s="23"/>
      <c r="JP451" s="23"/>
      <c r="JQ451" s="23"/>
      <c r="JR451" s="23"/>
      <c r="JS451" s="23"/>
      <c r="JT451" s="23"/>
      <c r="JU451" s="23"/>
      <c r="JV451" s="23"/>
      <c r="JW451" s="23"/>
      <c r="JX451" s="23"/>
      <c r="JY451" s="23"/>
      <c r="JZ451" s="23"/>
      <c r="KA451" s="23"/>
      <c r="KB451" s="23"/>
      <c r="KC451" s="23"/>
      <c r="KD451" s="23"/>
      <c r="KE451" s="23"/>
      <c r="KF451" s="23"/>
      <c r="KG451" s="23"/>
      <c r="KH451" s="23"/>
      <c r="KI451" s="23"/>
      <c r="KJ451" s="23"/>
      <c r="KK451" s="23"/>
      <c r="KL451" s="23"/>
      <c r="KM451" s="23"/>
      <c r="KN451" s="23"/>
      <c r="KO451" s="23"/>
      <c r="KP451" s="23"/>
      <c r="KQ451" s="23"/>
      <c r="KR451" s="23"/>
      <c r="KS451" s="23"/>
      <c r="KT451" s="23"/>
      <c r="KU451" s="23"/>
      <c r="KV451" s="23"/>
      <c r="KW451" s="23"/>
      <c r="KX451" s="23"/>
      <c r="KY451" s="23"/>
      <c r="KZ451" s="23"/>
      <c r="LA451" s="23"/>
      <c r="LB451" s="23"/>
      <c r="LC451" s="23"/>
      <c r="LD451" s="23"/>
      <c r="LE451" s="23"/>
      <c r="LF451" s="23"/>
      <c r="LG451" s="23"/>
      <c r="LH451" s="23"/>
      <c r="LI451" s="23"/>
      <c r="LJ451" s="23"/>
      <c r="LK451" s="23"/>
      <c r="LL451" s="23"/>
      <c r="LM451" s="23"/>
      <c r="LN451" s="23"/>
      <c r="LO451" s="23"/>
    </row>
    <row r="452" spans="1:327">
      <c r="A452" s="390"/>
      <c r="B452" s="23"/>
      <c r="C452" s="391"/>
      <c r="D452" s="391"/>
      <c r="E452" s="23"/>
      <c r="F452" s="23"/>
      <c r="G452" s="392"/>
      <c r="H452" s="392"/>
      <c r="I452" s="392"/>
      <c r="J452" s="392"/>
      <c r="K452" s="392"/>
      <c r="L452" s="392"/>
      <c r="M452" s="392"/>
      <c r="N452" s="23"/>
      <c r="O452" s="39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  <c r="IL452" s="23"/>
      <c r="IM452" s="23"/>
      <c r="IN452" s="23"/>
      <c r="IO452" s="23"/>
      <c r="IP452" s="23"/>
      <c r="IQ452" s="23"/>
      <c r="IR452" s="23"/>
      <c r="IS452" s="23"/>
      <c r="IT452" s="23"/>
      <c r="IU452" s="23"/>
      <c r="IV452" s="23"/>
      <c r="IW452" s="23"/>
      <c r="IX452" s="23"/>
      <c r="IY452" s="23"/>
      <c r="IZ452" s="23"/>
      <c r="JA452" s="23"/>
      <c r="JB452" s="23"/>
      <c r="JC452" s="23"/>
      <c r="JD452" s="23"/>
      <c r="JE452" s="23"/>
      <c r="JF452" s="23"/>
      <c r="JG452" s="23"/>
      <c r="JH452" s="23"/>
      <c r="JI452" s="23"/>
      <c r="JJ452" s="23"/>
      <c r="JK452" s="23"/>
      <c r="JL452" s="23"/>
      <c r="JM452" s="23"/>
      <c r="JN452" s="23"/>
      <c r="JO452" s="23"/>
      <c r="JP452" s="23"/>
      <c r="JQ452" s="23"/>
      <c r="JR452" s="23"/>
      <c r="JS452" s="23"/>
      <c r="JT452" s="23"/>
      <c r="JU452" s="23"/>
      <c r="JV452" s="23"/>
      <c r="JW452" s="23"/>
      <c r="JX452" s="23"/>
      <c r="JY452" s="23"/>
      <c r="JZ452" s="23"/>
      <c r="KA452" s="23"/>
      <c r="KB452" s="23"/>
      <c r="KC452" s="23"/>
      <c r="KD452" s="23"/>
      <c r="KE452" s="23"/>
      <c r="KF452" s="23"/>
      <c r="KG452" s="23"/>
      <c r="KH452" s="23"/>
      <c r="KI452" s="23"/>
      <c r="KJ452" s="23"/>
      <c r="KK452" s="23"/>
      <c r="KL452" s="23"/>
      <c r="KM452" s="23"/>
      <c r="KN452" s="23"/>
      <c r="KO452" s="23"/>
      <c r="KP452" s="23"/>
      <c r="KQ452" s="23"/>
      <c r="KR452" s="23"/>
      <c r="KS452" s="23"/>
      <c r="KT452" s="23"/>
      <c r="KU452" s="23"/>
      <c r="KV452" s="23"/>
      <c r="KW452" s="23"/>
      <c r="KX452" s="23"/>
      <c r="KY452" s="23"/>
      <c r="KZ452" s="23"/>
      <c r="LA452" s="23"/>
      <c r="LB452" s="23"/>
      <c r="LC452" s="23"/>
      <c r="LD452" s="23"/>
      <c r="LE452" s="23"/>
      <c r="LF452" s="23"/>
      <c r="LG452" s="23"/>
      <c r="LH452" s="23"/>
      <c r="LI452" s="23"/>
      <c r="LJ452" s="23"/>
      <c r="LK452" s="23"/>
      <c r="LL452" s="23"/>
      <c r="LM452" s="23"/>
      <c r="LN452" s="23"/>
      <c r="LO452" s="23"/>
    </row>
    <row r="453" spans="1:327">
      <c r="A453" s="390"/>
      <c r="B453" s="23"/>
      <c r="C453" s="391"/>
      <c r="D453" s="391"/>
      <c r="E453" s="23"/>
      <c r="F453" s="23"/>
      <c r="G453" s="392"/>
      <c r="H453" s="392"/>
      <c r="I453" s="392"/>
      <c r="J453" s="392"/>
      <c r="K453" s="392"/>
      <c r="L453" s="392"/>
      <c r="M453" s="392"/>
      <c r="N453" s="23"/>
      <c r="O453" s="39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  <c r="IL453" s="23"/>
      <c r="IM453" s="23"/>
      <c r="IN453" s="23"/>
      <c r="IO453" s="23"/>
      <c r="IP453" s="23"/>
      <c r="IQ453" s="23"/>
      <c r="IR453" s="23"/>
      <c r="IS453" s="23"/>
      <c r="IT453" s="23"/>
      <c r="IU453" s="23"/>
      <c r="IV453" s="23"/>
      <c r="IW453" s="23"/>
      <c r="IX453" s="23"/>
      <c r="IY453" s="23"/>
      <c r="IZ453" s="23"/>
      <c r="JA453" s="23"/>
      <c r="JB453" s="23"/>
      <c r="JC453" s="23"/>
      <c r="JD453" s="23"/>
      <c r="JE453" s="23"/>
      <c r="JF453" s="23"/>
      <c r="JG453" s="23"/>
      <c r="JH453" s="23"/>
      <c r="JI453" s="23"/>
      <c r="JJ453" s="23"/>
      <c r="JK453" s="23"/>
      <c r="JL453" s="23"/>
      <c r="JM453" s="23"/>
      <c r="JN453" s="23"/>
      <c r="JO453" s="23"/>
      <c r="JP453" s="23"/>
      <c r="JQ453" s="23"/>
      <c r="JR453" s="23"/>
      <c r="JS453" s="23"/>
      <c r="JT453" s="23"/>
      <c r="JU453" s="23"/>
      <c r="JV453" s="23"/>
      <c r="JW453" s="23"/>
      <c r="JX453" s="23"/>
      <c r="JY453" s="23"/>
      <c r="JZ453" s="23"/>
      <c r="KA453" s="23"/>
      <c r="KB453" s="23"/>
      <c r="KC453" s="23"/>
      <c r="KD453" s="23"/>
      <c r="KE453" s="23"/>
      <c r="KF453" s="23"/>
      <c r="KG453" s="23"/>
      <c r="KH453" s="23"/>
      <c r="KI453" s="23"/>
      <c r="KJ453" s="23"/>
      <c r="KK453" s="23"/>
      <c r="KL453" s="23"/>
      <c r="KM453" s="23"/>
      <c r="KN453" s="23"/>
      <c r="KO453" s="23"/>
      <c r="KP453" s="23"/>
      <c r="KQ453" s="23"/>
      <c r="KR453" s="23"/>
      <c r="KS453" s="23"/>
      <c r="KT453" s="23"/>
      <c r="KU453" s="23"/>
      <c r="KV453" s="23"/>
      <c r="KW453" s="23"/>
      <c r="KX453" s="23"/>
      <c r="KY453" s="23"/>
      <c r="KZ453" s="23"/>
      <c r="LA453" s="23"/>
      <c r="LB453" s="23"/>
      <c r="LC453" s="23"/>
      <c r="LD453" s="23"/>
      <c r="LE453" s="23"/>
      <c r="LF453" s="23"/>
      <c r="LG453" s="23"/>
      <c r="LH453" s="23"/>
      <c r="LI453" s="23"/>
      <c r="LJ453" s="23"/>
      <c r="LK453" s="23"/>
      <c r="LL453" s="23"/>
      <c r="LM453" s="23"/>
      <c r="LN453" s="23"/>
      <c r="LO453" s="23"/>
    </row>
    <row r="454" spans="1:327">
      <c r="A454" s="390"/>
      <c r="B454" s="23"/>
      <c r="C454" s="391"/>
      <c r="D454" s="391"/>
      <c r="E454" s="23"/>
      <c r="F454" s="23"/>
      <c r="G454" s="392"/>
      <c r="H454" s="392"/>
      <c r="I454" s="392"/>
      <c r="J454" s="392"/>
      <c r="K454" s="392"/>
      <c r="L454" s="392"/>
      <c r="M454" s="392"/>
      <c r="N454" s="23"/>
      <c r="O454" s="39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  <c r="IL454" s="23"/>
      <c r="IM454" s="23"/>
      <c r="IN454" s="23"/>
      <c r="IO454" s="23"/>
      <c r="IP454" s="23"/>
      <c r="IQ454" s="23"/>
      <c r="IR454" s="23"/>
      <c r="IS454" s="23"/>
      <c r="IT454" s="23"/>
      <c r="IU454" s="23"/>
      <c r="IV454" s="23"/>
      <c r="IW454" s="23"/>
      <c r="IX454" s="23"/>
      <c r="IY454" s="23"/>
      <c r="IZ454" s="23"/>
      <c r="JA454" s="23"/>
      <c r="JB454" s="23"/>
      <c r="JC454" s="23"/>
      <c r="JD454" s="23"/>
      <c r="JE454" s="23"/>
      <c r="JF454" s="23"/>
      <c r="JG454" s="23"/>
      <c r="JH454" s="23"/>
      <c r="JI454" s="23"/>
      <c r="JJ454" s="23"/>
      <c r="JK454" s="23"/>
      <c r="JL454" s="23"/>
      <c r="JM454" s="23"/>
      <c r="JN454" s="23"/>
      <c r="JO454" s="23"/>
      <c r="JP454" s="23"/>
      <c r="JQ454" s="23"/>
      <c r="JR454" s="23"/>
      <c r="JS454" s="23"/>
      <c r="JT454" s="23"/>
      <c r="JU454" s="23"/>
      <c r="JV454" s="23"/>
      <c r="JW454" s="23"/>
      <c r="JX454" s="23"/>
      <c r="JY454" s="23"/>
      <c r="JZ454" s="23"/>
      <c r="KA454" s="23"/>
      <c r="KB454" s="23"/>
      <c r="KC454" s="23"/>
      <c r="KD454" s="23"/>
      <c r="KE454" s="23"/>
      <c r="KF454" s="23"/>
      <c r="KG454" s="23"/>
      <c r="KH454" s="23"/>
      <c r="KI454" s="23"/>
      <c r="KJ454" s="23"/>
      <c r="KK454" s="23"/>
      <c r="KL454" s="23"/>
      <c r="KM454" s="23"/>
      <c r="KN454" s="23"/>
      <c r="KO454" s="23"/>
      <c r="KP454" s="23"/>
      <c r="KQ454" s="23"/>
      <c r="KR454" s="23"/>
      <c r="KS454" s="23"/>
      <c r="KT454" s="23"/>
      <c r="KU454" s="23"/>
      <c r="KV454" s="23"/>
      <c r="KW454" s="23"/>
      <c r="KX454" s="23"/>
      <c r="KY454" s="23"/>
      <c r="KZ454" s="23"/>
      <c r="LA454" s="23"/>
      <c r="LB454" s="23"/>
      <c r="LC454" s="23"/>
      <c r="LD454" s="23"/>
      <c r="LE454" s="23"/>
      <c r="LF454" s="23"/>
      <c r="LG454" s="23"/>
      <c r="LH454" s="23"/>
      <c r="LI454" s="23"/>
      <c r="LJ454" s="23"/>
      <c r="LK454" s="23"/>
      <c r="LL454" s="23"/>
      <c r="LM454" s="23"/>
      <c r="LN454" s="23"/>
      <c r="LO454" s="23"/>
    </row>
    <row r="455" spans="1:327">
      <c r="A455" s="390"/>
      <c r="B455" s="23"/>
      <c r="C455" s="391"/>
      <c r="D455" s="391"/>
      <c r="E455" s="23"/>
      <c r="F455" s="23"/>
      <c r="G455" s="392"/>
      <c r="H455" s="392"/>
      <c r="I455" s="392"/>
      <c r="J455" s="392"/>
      <c r="K455" s="392"/>
      <c r="L455" s="392"/>
      <c r="M455" s="392"/>
      <c r="N455" s="23"/>
      <c r="O455" s="39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  <c r="IL455" s="23"/>
      <c r="IM455" s="23"/>
      <c r="IN455" s="23"/>
      <c r="IO455" s="23"/>
      <c r="IP455" s="23"/>
      <c r="IQ455" s="23"/>
      <c r="IR455" s="23"/>
      <c r="IS455" s="23"/>
      <c r="IT455" s="23"/>
      <c r="IU455" s="23"/>
      <c r="IV455" s="23"/>
      <c r="IW455" s="23"/>
      <c r="IX455" s="23"/>
      <c r="IY455" s="23"/>
      <c r="IZ455" s="23"/>
      <c r="JA455" s="23"/>
      <c r="JB455" s="23"/>
      <c r="JC455" s="23"/>
      <c r="JD455" s="23"/>
      <c r="JE455" s="23"/>
      <c r="JF455" s="23"/>
      <c r="JG455" s="23"/>
      <c r="JH455" s="23"/>
      <c r="JI455" s="23"/>
      <c r="JJ455" s="23"/>
      <c r="JK455" s="23"/>
      <c r="JL455" s="23"/>
      <c r="JM455" s="23"/>
      <c r="JN455" s="23"/>
      <c r="JO455" s="23"/>
      <c r="JP455" s="23"/>
      <c r="JQ455" s="23"/>
      <c r="JR455" s="23"/>
      <c r="JS455" s="23"/>
      <c r="JT455" s="23"/>
      <c r="JU455" s="23"/>
      <c r="JV455" s="23"/>
      <c r="JW455" s="23"/>
      <c r="JX455" s="23"/>
      <c r="JY455" s="23"/>
      <c r="JZ455" s="23"/>
      <c r="KA455" s="23"/>
      <c r="KB455" s="23"/>
      <c r="KC455" s="23"/>
      <c r="KD455" s="23"/>
      <c r="KE455" s="23"/>
      <c r="KF455" s="23"/>
      <c r="KG455" s="23"/>
      <c r="KH455" s="23"/>
      <c r="KI455" s="23"/>
      <c r="KJ455" s="23"/>
      <c r="KK455" s="23"/>
      <c r="KL455" s="23"/>
      <c r="KM455" s="23"/>
      <c r="KN455" s="23"/>
      <c r="KO455" s="23"/>
      <c r="KP455" s="23"/>
      <c r="KQ455" s="23"/>
      <c r="KR455" s="23"/>
      <c r="KS455" s="23"/>
      <c r="KT455" s="23"/>
      <c r="KU455" s="23"/>
      <c r="KV455" s="23"/>
      <c r="KW455" s="23"/>
      <c r="KX455" s="23"/>
      <c r="KY455" s="23"/>
      <c r="KZ455" s="23"/>
      <c r="LA455" s="23"/>
      <c r="LB455" s="23"/>
      <c r="LC455" s="23"/>
      <c r="LD455" s="23"/>
      <c r="LE455" s="23"/>
      <c r="LF455" s="23"/>
      <c r="LG455" s="23"/>
      <c r="LH455" s="23"/>
      <c r="LI455" s="23"/>
      <c r="LJ455" s="23"/>
      <c r="LK455" s="23"/>
      <c r="LL455" s="23"/>
      <c r="LM455" s="23"/>
      <c r="LN455" s="23"/>
      <c r="LO455" s="23"/>
    </row>
    <row r="456" spans="1:327">
      <c r="A456" s="390"/>
      <c r="B456" s="23"/>
      <c r="C456" s="391"/>
      <c r="D456" s="391"/>
      <c r="E456" s="23"/>
      <c r="F456" s="23"/>
      <c r="G456" s="392"/>
      <c r="H456" s="392"/>
      <c r="I456" s="392"/>
      <c r="J456" s="392"/>
      <c r="K456" s="392"/>
      <c r="L456" s="392"/>
      <c r="M456" s="392"/>
      <c r="N456" s="23"/>
      <c r="O456" s="39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  <c r="IL456" s="23"/>
      <c r="IM456" s="23"/>
      <c r="IN456" s="23"/>
      <c r="IO456" s="23"/>
      <c r="IP456" s="23"/>
      <c r="IQ456" s="23"/>
      <c r="IR456" s="23"/>
      <c r="IS456" s="23"/>
      <c r="IT456" s="23"/>
      <c r="IU456" s="23"/>
      <c r="IV456" s="23"/>
      <c r="IW456" s="23"/>
      <c r="IX456" s="23"/>
      <c r="IY456" s="23"/>
      <c r="IZ456" s="23"/>
      <c r="JA456" s="23"/>
      <c r="JB456" s="23"/>
      <c r="JC456" s="23"/>
      <c r="JD456" s="23"/>
      <c r="JE456" s="23"/>
      <c r="JF456" s="23"/>
      <c r="JG456" s="23"/>
      <c r="JH456" s="23"/>
      <c r="JI456" s="23"/>
      <c r="JJ456" s="23"/>
      <c r="JK456" s="23"/>
      <c r="JL456" s="23"/>
      <c r="JM456" s="23"/>
      <c r="JN456" s="23"/>
      <c r="JO456" s="23"/>
      <c r="JP456" s="23"/>
      <c r="JQ456" s="23"/>
      <c r="JR456" s="23"/>
      <c r="JS456" s="23"/>
      <c r="JT456" s="23"/>
      <c r="JU456" s="23"/>
      <c r="JV456" s="23"/>
      <c r="JW456" s="23"/>
      <c r="JX456" s="23"/>
      <c r="JY456" s="23"/>
      <c r="JZ456" s="23"/>
      <c r="KA456" s="23"/>
      <c r="KB456" s="23"/>
      <c r="KC456" s="23"/>
      <c r="KD456" s="23"/>
      <c r="KE456" s="23"/>
      <c r="KF456" s="23"/>
      <c r="KG456" s="23"/>
      <c r="KH456" s="23"/>
      <c r="KI456" s="23"/>
      <c r="KJ456" s="23"/>
      <c r="KK456" s="23"/>
      <c r="KL456" s="23"/>
      <c r="KM456" s="23"/>
      <c r="KN456" s="23"/>
      <c r="KO456" s="23"/>
      <c r="KP456" s="23"/>
      <c r="KQ456" s="23"/>
      <c r="KR456" s="23"/>
      <c r="KS456" s="23"/>
      <c r="KT456" s="23"/>
      <c r="KU456" s="23"/>
      <c r="KV456" s="23"/>
      <c r="KW456" s="23"/>
      <c r="KX456" s="23"/>
      <c r="KY456" s="23"/>
      <c r="KZ456" s="23"/>
      <c r="LA456" s="23"/>
      <c r="LB456" s="23"/>
      <c r="LC456" s="23"/>
      <c r="LD456" s="23"/>
      <c r="LE456" s="23"/>
      <c r="LF456" s="23"/>
      <c r="LG456" s="23"/>
      <c r="LH456" s="23"/>
      <c r="LI456" s="23"/>
      <c r="LJ456" s="23"/>
      <c r="LK456" s="23"/>
      <c r="LL456" s="23"/>
      <c r="LM456" s="23"/>
      <c r="LN456" s="23"/>
      <c r="LO456" s="23"/>
    </row>
    <row r="457" spans="1:327">
      <c r="A457" s="390"/>
      <c r="B457" s="23"/>
      <c r="C457" s="391"/>
      <c r="D457" s="391"/>
      <c r="E457" s="23"/>
      <c r="F457" s="23"/>
      <c r="G457" s="392"/>
      <c r="H457" s="392"/>
      <c r="I457" s="392"/>
      <c r="J457" s="392"/>
      <c r="K457" s="392"/>
      <c r="L457" s="392"/>
      <c r="M457" s="392"/>
      <c r="N457" s="23"/>
      <c r="O457" s="39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  <c r="IL457" s="23"/>
      <c r="IM457" s="23"/>
      <c r="IN457" s="23"/>
      <c r="IO457" s="23"/>
      <c r="IP457" s="23"/>
      <c r="IQ457" s="23"/>
      <c r="IR457" s="23"/>
      <c r="IS457" s="23"/>
      <c r="IT457" s="23"/>
      <c r="IU457" s="23"/>
      <c r="IV457" s="23"/>
      <c r="IW457" s="23"/>
      <c r="IX457" s="23"/>
      <c r="IY457" s="23"/>
      <c r="IZ457" s="23"/>
      <c r="JA457" s="23"/>
      <c r="JB457" s="23"/>
      <c r="JC457" s="23"/>
      <c r="JD457" s="23"/>
      <c r="JE457" s="23"/>
      <c r="JF457" s="23"/>
      <c r="JG457" s="23"/>
      <c r="JH457" s="23"/>
      <c r="JI457" s="23"/>
      <c r="JJ457" s="23"/>
      <c r="JK457" s="23"/>
      <c r="JL457" s="23"/>
      <c r="JM457" s="23"/>
      <c r="JN457" s="23"/>
      <c r="JO457" s="23"/>
      <c r="JP457" s="23"/>
      <c r="JQ457" s="23"/>
      <c r="JR457" s="23"/>
      <c r="JS457" s="23"/>
      <c r="JT457" s="23"/>
      <c r="JU457" s="23"/>
      <c r="JV457" s="23"/>
      <c r="JW457" s="23"/>
      <c r="JX457" s="23"/>
      <c r="JY457" s="23"/>
      <c r="JZ457" s="23"/>
      <c r="KA457" s="23"/>
      <c r="KB457" s="23"/>
      <c r="KC457" s="23"/>
      <c r="KD457" s="23"/>
      <c r="KE457" s="23"/>
      <c r="KF457" s="23"/>
      <c r="KG457" s="23"/>
      <c r="KH457" s="23"/>
      <c r="KI457" s="23"/>
      <c r="KJ457" s="23"/>
      <c r="KK457" s="23"/>
      <c r="KL457" s="23"/>
      <c r="KM457" s="23"/>
      <c r="KN457" s="23"/>
      <c r="KO457" s="23"/>
      <c r="KP457" s="23"/>
      <c r="KQ457" s="23"/>
      <c r="KR457" s="23"/>
      <c r="KS457" s="23"/>
      <c r="KT457" s="23"/>
      <c r="KU457" s="23"/>
      <c r="KV457" s="23"/>
      <c r="KW457" s="23"/>
      <c r="KX457" s="23"/>
      <c r="KY457" s="23"/>
      <c r="KZ457" s="23"/>
      <c r="LA457" s="23"/>
      <c r="LB457" s="23"/>
      <c r="LC457" s="23"/>
      <c r="LD457" s="23"/>
      <c r="LE457" s="23"/>
      <c r="LF457" s="23"/>
      <c r="LG457" s="23"/>
      <c r="LH457" s="23"/>
      <c r="LI457" s="23"/>
      <c r="LJ457" s="23"/>
      <c r="LK457" s="23"/>
      <c r="LL457" s="23"/>
      <c r="LM457" s="23"/>
      <c r="LN457" s="23"/>
      <c r="LO457" s="23"/>
    </row>
    <row r="458" spans="1:327">
      <c r="A458" s="390"/>
      <c r="B458" s="23"/>
      <c r="C458" s="391"/>
      <c r="D458" s="391"/>
      <c r="E458" s="23"/>
      <c r="F458" s="23"/>
      <c r="G458" s="392"/>
      <c r="H458" s="392"/>
      <c r="I458" s="392"/>
      <c r="J458" s="392"/>
      <c r="K458" s="392"/>
      <c r="L458" s="392"/>
      <c r="M458" s="392"/>
      <c r="N458" s="23"/>
      <c r="O458" s="39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  <c r="IL458" s="23"/>
      <c r="IM458" s="23"/>
      <c r="IN458" s="23"/>
      <c r="IO458" s="23"/>
      <c r="IP458" s="23"/>
      <c r="IQ458" s="23"/>
      <c r="IR458" s="23"/>
      <c r="IS458" s="23"/>
      <c r="IT458" s="23"/>
      <c r="IU458" s="23"/>
      <c r="IV458" s="23"/>
      <c r="IW458" s="23"/>
      <c r="IX458" s="23"/>
      <c r="IY458" s="23"/>
      <c r="IZ458" s="23"/>
      <c r="JA458" s="23"/>
      <c r="JB458" s="23"/>
      <c r="JC458" s="23"/>
      <c r="JD458" s="23"/>
      <c r="JE458" s="23"/>
      <c r="JF458" s="23"/>
      <c r="JG458" s="23"/>
      <c r="JH458" s="23"/>
      <c r="JI458" s="23"/>
      <c r="JJ458" s="23"/>
      <c r="JK458" s="23"/>
      <c r="JL458" s="23"/>
      <c r="JM458" s="23"/>
      <c r="JN458" s="23"/>
      <c r="JO458" s="23"/>
      <c r="JP458" s="23"/>
      <c r="JQ458" s="23"/>
      <c r="JR458" s="23"/>
      <c r="JS458" s="23"/>
      <c r="JT458" s="23"/>
      <c r="JU458" s="23"/>
      <c r="JV458" s="23"/>
      <c r="JW458" s="23"/>
      <c r="JX458" s="23"/>
      <c r="JY458" s="23"/>
      <c r="JZ458" s="23"/>
      <c r="KA458" s="23"/>
      <c r="KB458" s="23"/>
      <c r="KC458" s="23"/>
      <c r="KD458" s="23"/>
      <c r="KE458" s="23"/>
      <c r="KF458" s="23"/>
      <c r="KG458" s="23"/>
      <c r="KH458" s="23"/>
      <c r="KI458" s="23"/>
      <c r="KJ458" s="23"/>
      <c r="KK458" s="23"/>
      <c r="KL458" s="23"/>
      <c r="KM458" s="23"/>
      <c r="KN458" s="23"/>
      <c r="KO458" s="23"/>
      <c r="KP458" s="23"/>
      <c r="KQ458" s="23"/>
      <c r="KR458" s="23"/>
      <c r="KS458" s="23"/>
      <c r="KT458" s="23"/>
      <c r="KU458" s="23"/>
      <c r="KV458" s="23"/>
      <c r="KW458" s="23"/>
      <c r="KX458" s="23"/>
      <c r="KY458" s="23"/>
      <c r="KZ458" s="23"/>
      <c r="LA458" s="23"/>
      <c r="LB458" s="23"/>
      <c r="LC458" s="23"/>
      <c r="LD458" s="23"/>
      <c r="LE458" s="23"/>
      <c r="LF458" s="23"/>
      <c r="LG458" s="23"/>
      <c r="LH458" s="23"/>
      <c r="LI458" s="23"/>
      <c r="LJ458" s="23"/>
      <c r="LK458" s="23"/>
      <c r="LL458" s="23"/>
      <c r="LM458" s="23"/>
      <c r="LN458" s="23"/>
      <c r="LO458" s="23"/>
    </row>
    <row r="459" spans="1:327">
      <c r="A459" s="390"/>
      <c r="B459" s="23"/>
      <c r="C459" s="391"/>
      <c r="D459" s="391"/>
      <c r="E459" s="23"/>
      <c r="F459" s="23"/>
      <c r="G459" s="392"/>
      <c r="H459" s="392"/>
      <c r="I459" s="392"/>
      <c r="J459" s="392"/>
      <c r="K459" s="392"/>
      <c r="L459" s="392"/>
      <c r="M459" s="392"/>
      <c r="N459" s="23"/>
      <c r="O459" s="39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  <c r="IL459" s="23"/>
      <c r="IM459" s="23"/>
      <c r="IN459" s="23"/>
      <c r="IO459" s="23"/>
      <c r="IP459" s="23"/>
      <c r="IQ459" s="23"/>
      <c r="IR459" s="23"/>
      <c r="IS459" s="23"/>
      <c r="IT459" s="23"/>
      <c r="IU459" s="23"/>
      <c r="IV459" s="23"/>
      <c r="IW459" s="23"/>
      <c r="IX459" s="23"/>
      <c r="IY459" s="23"/>
      <c r="IZ459" s="23"/>
      <c r="JA459" s="23"/>
      <c r="JB459" s="23"/>
      <c r="JC459" s="23"/>
      <c r="JD459" s="23"/>
      <c r="JE459" s="23"/>
      <c r="JF459" s="23"/>
      <c r="JG459" s="23"/>
      <c r="JH459" s="23"/>
      <c r="JI459" s="23"/>
      <c r="JJ459" s="23"/>
      <c r="JK459" s="23"/>
      <c r="JL459" s="23"/>
      <c r="JM459" s="23"/>
      <c r="JN459" s="23"/>
      <c r="JO459" s="23"/>
      <c r="JP459" s="23"/>
      <c r="JQ459" s="23"/>
      <c r="JR459" s="23"/>
      <c r="JS459" s="23"/>
      <c r="JT459" s="23"/>
      <c r="JU459" s="23"/>
      <c r="JV459" s="23"/>
      <c r="JW459" s="23"/>
      <c r="JX459" s="23"/>
      <c r="JY459" s="23"/>
      <c r="JZ459" s="23"/>
      <c r="KA459" s="23"/>
      <c r="KB459" s="23"/>
      <c r="KC459" s="23"/>
      <c r="KD459" s="23"/>
      <c r="KE459" s="23"/>
      <c r="KF459" s="23"/>
      <c r="KG459" s="23"/>
      <c r="KH459" s="23"/>
      <c r="KI459" s="23"/>
      <c r="KJ459" s="23"/>
      <c r="KK459" s="23"/>
      <c r="KL459" s="23"/>
      <c r="KM459" s="23"/>
      <c r="KN459" s="23"/>
      <c r="KO459" s="23"/>
      <c r="KP459" s="23"/>
      <c r="KQ459" s="23"/>
      <c r="KR459" s="23"/>
      <c r="KS459" s="23"/>
      <c r="KT459" s="23"/>
      <c r="KU459" s="23"/>
      <c r="KV459" s="23"/>
      <c r="KW459" s="23"/>
      <c r="KX459" s="23"/>
      <c r="KY459" s="23"/>
      <c r="KZ459" s="23"/>
      <c r="LA459" s="23"/>
      <c r="LB459" s="23"/>
      <c r="LC459" s="23"/>
      <c r="LD459" s="23"/>
      <c r="LE459" s="23"/>
      <c r="LF459" s="23"/>
      <c r="LG459" s="23"/>
      <c r="LH459" s="23"/>
      <c r="LI459" s="23"/>
      <c r="LJ459" s="23"/>
      <c r="LK459" s="23"/>
      <c r="LL459" s="23"/>
      <c r="LM459" s="23"/>
      <c r="LN459" s="23"/>
      <c r="LO459" s="23"/>
    </row>
    <row r="460" spans="1:327">
      <c r="A460" s="390"/>
      <c r="B460" s="23"/>
      <c r="C460" s="391"/>
      <c r="D460" s="391"/>
      <c r="E460" s="23"/>
      <c r="F460" s="23"/>
      <c r="G460" s="392"/>
      <c r="H460" s="392"/>
      <c r="I460" s="392"/>
      <c r="J460" s="392"/>
      <c r="K460" s="392"/>
      <c r="L460" s="392"/>
      <c r="M460" s="392"/>
      <c r="N460" s="23"/>
      <c r="O460" s="39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  <c r="IL460" s="23"/>
      <c r="IM460" s="23"/>
      <c r="IN460" s="23"/>
      <c r="IO460" s="23"/>
      <c r="IP460" s="23"/>
      <c r="IQ460" s="23"/>
      <c r="IR460" s="23"/>
      <c r="IS460" s="23"/>
      <c r="IT460" s="23"/>
      <c r="IU460" s="23"/>
      <c r="IV460" s="23"/>
      <c r="IW460" s="23"/>
      <c r="IX460" s="23"/>
      <c r="IY460" s="23"/>
      <c r="IZ460" s="23"/>
      <c r="JA460" s="23"/>
      <c r="JB460" s="23"/>
      <c r="JC460" s="23"/>
      <c r="JD460" s="23"/>
      <c r="JE460" s="23"/>
      <c r="JF460" s="23"/>
      <c r="JG460" s="23"/>
      <c r="JH460" s="23"/>
      <c r="JI460" s="23"/>
      <c r="JJ460" s="23"/>
      <c r="JK460" s="23"/>
      <c r="JL460" s="23"/>
      <c r="JM460" s="23"/>
      <c r="JN460" s="23"/>
      <c r="JO460" s="23"/>
      <c r="JP460" s="23"/>
      <c r="JQ460" s="23"/>
      <c r="JR460" s="23"/>
      <c r="JS460" s="23"/>
      <c r="JT460" s="23"/>
      <c r="JU460" s="23"/>
      <c r="JV460" s="23"/>
      <c r="JW460" s="23"/>
      <c r="JX460" s="23"/>
      <c r="JY460" s="23"/>
      <c r="JZ460" s="23"/>
      <c r="KA460" s="23"/>
      <c r="KB460" s="23"/>
      <c r="KC460" s="23"/>
      <c r="KD460" s="23"/>
      <c r="KE460" s="23"/>
      <c r="KF460" s="23"/>
      <c r="KG460" s="23"/>
      <c r="KH460" s="23"/>
      <c r="KI460" s="23"/>
      <c r="KJ460" s="23"/>
      <c r="KK460" s="23"/>
      <c r="KL460" s="23"/>
      <c r="KM460" s="23"/>
      <c r="KN460" s="23"/>
      <c r="KO460" s="23"/>
      <c r="KP460" s="23"/>
      <c r="KQ460" s="23"/>
      <c r="KR460" s="23"/>
      <c r="KS460" s="23"/>
      <c r="KT460" s="23"/>
      <c r="KU460" s="23"/>
      <c r="KV460" s="23"/>
      <c r="KW460" s="23"/>
      <c r="KX460" s="23"/>
      <c r="KY460" s="23"/>
      <c r="KZ460" s="23"/>
      <c r="LA460" s="23"/>
      <c r="LB460" s="23"/>
      <c r="LC460" s="23"/>
      <c r="LD460" s="23"/>
      <c r="LE460" s="23"/>
      <c r="LF460" s="23"/>
      <c r="LG460" s="23"/>
      <c r="LH460" s="23"/>
      <c r="LI460" s="23"/>
      <c r="LJ460" s="23"/>
      <c r="LK460" s="23"/>
      <c r="LL460" s="23"/>
      <c r="LM460" s="23"/>
      <c r="LN460" s="23"/>
      <c r="LO460" s="23"/>
    </row>
    <row r="461" spans="1:327">
      <c r="A461" s="390"/>
      <c r="B461" s="23"/>
      <c r="C461" s="391"/>
      <c r="D461" s="391"/>
      <c r="E461" s="23"/>
      <c r="F461" s="23"/>
      <c r="G461" s="392"/>
      <c r="H461" s="392"/>
      <c r="I461" s="392"/>
      <c r="J461" s="392"/>
      <c r="K461" s="392"/>
      <c r="L461" s="392"/>
      <c r="M461" s="392"/>
      <c r="N461" s="23"/>
      <c r="O461" s="39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  <c r="IL461" s="23"/>
      <c r="IM461" s="23"/>
      <c r="IN461" s="23"/>
      <c r="IO461" s="23"/>
      <c r="IP461" s="23"/>
      <c r="IQ461" s="23"/>
      <c r="IR461" s="23"/>
      <c r="IS461" s="23"/>
      <c r="IT461" s="23"/>
      <c r="IU461" s="23"/>
      <c r="IV461" s="23"/>
      <c r="IW461" s="23"/>
      <c r="IX461" s="23"/>
      <c r="IY461" s="23"/>
      <c r="IZ461" s="23"/>
      <c r="JA461" s="23"/>
      <c r="JB461" s="23"/>
      <c r="JC461" s="23"/>
      <c r="JD461" s="23"/>
      <c r="JE461" s="23"/>
      <c r="JF461" s="23"/>
      <c r="JG461" s="23"/>
      <c r="JH461" s="23"/>
      <c r="JI461" s="23"/>
      <c r="JJ461" s="23"/>
      <c r="JK461" s="23"/>
      <c r="JL461" s="23"/>
      <c r="JM461" s="23"/>
      <c r="JN461" s="23"/>
      <c r="JO461" s="23"/>
      <c r="JP461" s="23"/>
      <c r="JQ461" s="23"/>
      <c r="JR461" s="23"/>
      <c r="JS461" s="23"/>
      <c r="JT461" s="23"/>
      <c r="JU461" s="23"/>
      <c r="JV461" s="23"/>
      <c r="JW461" s="23"/>
      <c r="JX461" s="23"/>
      <c r="JY461" s="23"/>
      <c r="JZ461" s="23"/>
      <c r="KA461" s="23"/>
      <c r="KB461" s="23"/>
      <c r="KC461" s="23"/>
      <c r="KD461" s="23"/>
      <c r="KE461" s="23"/>
      <c r="KF461" s="23"/>
      <c r="KG461" s="23"/>
      <c r="KH461" s="23"/>
      <c r="KI461" s="23"/>
      <c r="KJ461" s="23"/>
      <c r="KK461" s="23"/>
      <c r="KL461" s="23"/>
      <c r="KM461" s="23"/>
      <c r="KN461" s="23"/>
      <c r="KO461" s="23"/>
      <c r="KP461" s="23"/>
      <c r="KQ461" s="23"/>
      <c r="KR461" s="23"/>
      <c r="KS461" s="23"/>
      <c r="KT461" s="23"/>
      <c r="KU461" s="23"/>
      <c r="KV461" s="23"/>
      <c r="KW461" s="23"/>
      <c r="KX461" s="23"/>
      <c r="KY461" s="23"/>
      <c r="KZ461" s="23"/>
      <c r="LA461" s="23"/>
      <c r="LB461" s="23"/>
      <c r="LC461" s="23"/>
      <c r="LD461" s="23"/>
      <c r="LE461" s="23"/>
      <c r="LF461" s="23"/>
      <c r="LG461" s="23"/>
      <c r="LH461" s="23"/>
      <c r="LI461" s="23"/>
      <c r="LJ461" s="23"/>
      <c r="LK461" s="23"/>
      <c r="LL461" s="23"/>
      <c r="LM461" s="23"/>
      <c r="LN461" s="23"/>
      <c r="LO461" s="23"/>
    </row>
    <row r="462" spans="1:327">
      <c r="A462" s="390"/>
      <c r="B462" s="23"/>
      <c r="C462" s="391"/>
      <c r="D462" s="391"/>
      <c r="E462" s="23"/>
      <c r="F462" s="23"/>
      <c r="G462" s="392"/>
      <c r="H462" s="392"/>
      <c r="I462" s="392"/>
      <c r="J462" s="392"/>
      <c r="K462" s="392"/>
      <c r="L462" s="392"/>
      <c r="M462" s="392"/>
      <c r="N462" s="23"/>
      <c r="O462" s="39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  <c r="IL462" s="23"/>
      <c r="IM462" s="23"/>
      <c r="IN462" s="23"/>
      <c r="IO462" s="23"/>
      <c r="IP462" s="23"/>
      <c r="IQ462" s="23"/>
      <c r="IR462" s="23"/>
      <c r="IS462" s="23"/>
      <c r="IT462" s="23"/>
      <c r="IU462" s="23"/>
      <c r="IV462" s="23"/>
      <c r="IW462" s="23"/>
      <c r="IX462" s="23"/>
      <c r="IY462" s="23"/>
      <c r="IZ462" s="23"/>
      <c r="JA462" s="23"/>
      <c r="JB462" s="23"/>
      <c r="JC462" s="23"/>
      <c r="JD462" s="23"/>
      <c r="JE462" s="23"/>
      <c r="JF462" s="23"/>
      <c r="JG462" s="23"/>
      <c r="JH462" s="23"/>
      <c r="JI462" s="23"/>
      <c r="JJ462" s="23"/>
      <c r="JK462" s="23"/>
      <c r="JL462" s="23"/>
      <c r="JM462" s="23"/>
      <c r="JN462" s="23"/>
      <c r="JO462" s="23"/>
      <c r="JP462" s="23"/>
      <c r="JQ462" s="23"/>
      <c r="JR462" s="23"/>
      <c r="JS462" s="23"/>
      <c r="JT462" s="23"/>
      <c r="JU462" s="23"/>
      <c r="JV462" s="23"/>
      <c r="JW462" s="23"/>
      <c r="JX462" s="23"/>
      <c r="JY462" s="23"/>
      <c r="JZ462" s="23"/>
      <c r="KA462" s="23"/>
      <c r="KB462" s="23"/>
      <c r="KC462" s="23"/>
      <c r="KD462" s="23"/>
      <c r="KE462" s="23"/>
      <c r="KF462" s="23"/>
      <c r="KG462" s="23"/>
      <c r="KH462" s="23"/>
      <c r="KI462" s="23"/>
      <c r="KJ462" s="23"/>
      <c r="KK462" s="23"/>
      <c r="KL462" s="23"/>
      <c r="KM462" s="23"/>
      <c r="KN462" s="23"/>
      <c r="KO462" s="23"/>
      <c r="KP462" s="23"/>
      <c r="KQ462" s="23"/>
      <c r="KR462" s="23"/>
      <c r="KS462" s="23"/>
      <c r="KT462" s="23"/>
      <c r="KU462" s="23"/>
      <c r="KV462" s="23"/>
      <c r="KW462" s="23"/>
      <c r="KX462" s="23"/>
      <c r="KY462" s="23"/>
      <c r="KZ462" s="23"/>
      <c r="LA462" s="23"/>
      <c r="LB462" s="23"/>
      <c r="LC462" s="23"/>
      <c r="LD462" s="23"/>
      <c r="LE462" s="23"/>
      <c r="LF462" s="23"/>
      <c r="LG462" s="23"/>
      <c r="LH462" s="23"/>
      <c r="LI462" s="23"/>
      <c r="LJ462" s="23"/>
      <c r="LK462" s="23"/>
      <c r="LL462" s="23"/>
      <c r="LM462" s="23"/>
      <c r="LN462" s="23"/>
      <c r="LO462" s="23"/>
    </row>
    <row r="463" spans="1:327">
      <c r="A463" s="390"/>
      <c r="B463" s="23"/>
      <c r="C463" s="391"/>
      <c r="D463" s="391"/>
      <c r="E463" s="23"/>
      <c r="F463" s="23"/>
      <c r="G463" s="392"/>
      <c r="H463" s="392"/>
      <c r="I463" s="392"/>
      <c r="J463" s="392"/>
      <c r="K463" s="392"/>
      <c r="L463" s="392"/>
      <c r="M463" s="392"/>
      <c r="N463" s="23"/>
      <c r="O463" s="39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  <c r="IL463" s="23"/>
      <c r="IM463" s="23"/>
      <c r="IN463" s="23"/>
      <c r="IO463" s="23"/>
      <c r="IP463" s="23"/>
      <c r="IQ463" s="23"/>
      <c r="IR463" s="23"/>
      <c r="IS463" s="23"/>
      <c r="IT463" s="23"/>
      <c r="IU463" s="23"/>
      <c r="IV463" s="23"/>
      <c r="IW463" s="23"/>
      <c r="IX463" s="23"/>
      <c r="IY463" s="23"/>
      <c r="IZ463" s="23"/>
      <c r="JA463" s="23"/>
      <c r="JB463" s="23"/>
      <c r="JC463" s="23"/>
      <c r="JD463" s="23"/>
      <c r="JE463" s="23"/>
      <c r="JF463" s="23"/>
      <c r="JG463" s="23"/>
      <c r="JH463" s="23"/>
      <c r="JI463" s="23"/>
      <c r="JJ463" s="23"/>
      <c r="JK463" s="23"/>
      <c r="JL463" s="23"/>
      <c r="JM463" s="23"/>
      <c r="JN463" s="23"/>
      <c r="JO463" s="23"/>
      <c r="JP463" s="23"/>
      <c r="JQ463" s="23"/>
      <c r="JR463" s="23"/>
      <c r="JS463" s="23"/>
      <c r="JT463" s="23"/>
      <c r="JU463" s="23"/>
      <c r="JV463" s="23"/>
      <c r="JW463" s="23"/>
      <c r="JX463" s="23"/>
      <c r="JY463" s="23"/>
      <c r="JZ463" s="23"/>
      <c r="KA463" s="23"/>
      <c r="KB463" s="23"/>
      <c r="KC463" s="23"/>
      <c r="KD463" s="23"/>
      <c r="KE463" s="23"/>
      <c r="KF463" s="23"/>
      <c r="KG463" s="23"/>
      <c r="KH463" s="23"/>
      <c r="KI463" s="23"/>
      <c r="KJ463" s="23"/>
      <c r="KK463" s="23"/>
      <c r="KL463" s="23"/>
      <c r="KM463" s="23"/>
      <c r="KN463" s="23"/>
      <c r="KO463" s="23"/>
      <c r="KP463" s="23"/>
      <c r="KQ463" s="23"/>
      <c r="KR463" s="23"/>
      <c r="KS463" s="23"/>
      <c r="KT463" s="23"/>
      <c r="KU463" s="23"/>
      <c r="KV463" s="23"/>
      <c r="KW463" s="23"/>
      <c r="KX463" s="23"/>
      <c r="KY463" s="23"/>
      <c r="KZ463" s="23"/>
      <c r="LA463" s="23"/>
      <c r="LB463" s="23"/>
      <c r="LC463" s="23"/>
      <c r="LD463" s="23"/>
      <c r="LE463" s="23"/>
      <c r="LF463" s="23"/>
      <c r="LG463" s="23"/>
      <c r="LH463" s="23"/>
      <c r="LI463" s="23"/>
      <c r="LJ463" s="23"/>
      <c r="LK463" s="23"/>
      <c r="LL463" s="23"/>
      <c r="LM463" s="23"/>
      <c r="LN463" s="23"/>
      <c r="LO463" s="23"/>
    </row>
    <row r="464" spans="1:327">
      <c r="A464" s="390"/>
      <c r="B464" s="23"/>
      <c r="C464" s="391"/>
      <c r="D464" s="391"/>
      <c r="E464" s="23"/>
      <c r="F464" s="23"/>
      <c r="G464" s="392"/>
      <c r="H464" s="392"/>
      <c r="I464" s="392"/>
      <c r="J464" s="392"/>
      <c r="K464" s="392"/>
      <c r="L464" s="392"/>
      <c r="M464" s="392"/>
      <c r="N464" s="23"/>
      <c r="O464" s="39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  <c r="IL464" s="23"/>
      <c r="IM464" s="23"/>
      <c r="IN464" s="23"/>
      <c r="IO464" s="23"/>
      <c r="IP464" s="23"/>
      <c r="IQ464" s="23"/>
      <c r="IR464" s="23"/>
      <c r="IS464" s="23"/>
      <c r="IT464" s="23"/>
      <c r="IU464" s="23"/>
      <c r="IV464" s="23"/>
      <c r="IW464" s="23"/>
      <c r="IX464" s="23"/>
      <c r="IY464" s="23"/>
      <c r="IZ464" s="23"/>
      <c r="JA464" s="23"/>
      <c r="JB464" s="23"/>
      <c r="JC464" s="23"/>
      <c r="JD464" s="23"/>
      <c r="JE464" s="23"/>
      <c r="JF464" s="23"/>
      <c r="JG464" s="23"/>
      <c r="JH464" s="23"/>
      <c r="JI464" s="23"/>
      <c r="JJ464" s="23"/>
      <c r="JK464" s="23"/>
      <c r="JL464" s="23"/>
      <c r="JM464" s="23"/>
      <c r="JN464" s="23"/>
      <c r="JO464" s="23"/>
      <c r="JP464" s="23"/>
      <c r="JQ464" s="23"/>
      <c r="JR464" s="23"/>
      <c r="JS464" s="23"/>
      <c r="JT464" s="23"/>
      <c r="JU464" s="23"/>
      <c r="JV464" s="23"/>
      <c r="JW464" s="23"/>
      <c r="JX464" s="23"/>
      <c r="JY464" s="23"/>
      <c r="JZ464" s="23"/>
      <c r="KA464" s="23"/>
      <c r="KB464" s="23"/>
      <c r="KC464" s="23"/>
      <c r="KD464" s="23"/>
      <c r="KE464" s="23"/>
      <c r="KF464" s="23"/>
      <c r="KG464" s="23"/>
      <c r="KH464" s="23"/>
      <c r="KI464" s="23"/>
      <c r="KJ464" s="23"/>
      <c r="KK464" s="23"/>
      <c r="KL464" s="23"/>
      <c r="KM464" s="23"/>
      <c r="KN464" s="23"/>
      <c r="KO464" s="23"/>
      <c r="KP464" s="23"/>
      <c r="KQ464" s="23"/>
      <c r="KR464" s="23"/>
      <c r="KS464" s="23"/>
      <c r="KT464" s="23"/>
      <c r="KU464" s="23"/>
      <c r="KV464" s="23"/>
      <c r="KW464" s="23"/>
      <c r="KX464" s="23"/>
      <c r="KY464" s="23"/>
      <c r="KZ464" s="23"/>
      <c r="LA464" s="23"/>
      <c r="LB464" s="23"/>
      <c r="LC464" s="23"/>
      <c r="LD464" s="23"/>
      <c r="LE464" s="23"/>
      <c r="LF464" s="23"/>
      <c r="LG464" s="23"/>
      <c r="LH464" s="23"/>
      <c r="LI464" s="23"/>
      <c r="LJ464" s="23"/>
      <c r="LK464" s="23"/>
      <c r="LL464" s="23"/>
      <c r="LM464" s="23"/>
      <c r="LN464" s="23"/>
      <c r="LO464" s="23"/>
    </row>
    <row r="465" spans="1:327">
      <c r="A465" s="390"/>
      <c r="B465" s="23"/>
      <c r="C465" s="391"/>
      <c r="D465" s="391"/>
      <c r="E465" s="23"/>
      <c r="F465" s="23"/>
      <c r="G465" s="392"/>
      <c r="H465" s="392"/>
      <c r="I465" s="392"/>
      <c r="J465" s="392"/>
      <c r="K465" s="392"/>
      <c r="L465" s="392"/>
      <c r="M465" s="392"/>
      <c r="N465" s="23"/>
      <c r="O465" s="39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  <c r="IL465" s="23"/>
      <c r="IM465" s="23"/>
      <c r="IN465" s="23"/>
      <c r="IO465" s="23"/>
      <c r="IP465" s="23"/>
      <c r="IQ465" s="23"/>
      <c r="IR465" s="23"/>
      <c r="IS465" s="23"/>
      <c r="IT465" s="23"/>
      <c r="IU465" s="23"/>
      <c r="IV465" s="23"/>
      <c r="IW465" s="23"/>
      <c r="IX465" s="23"/>
      <c r="IY465" s="23"/>
      <c r="IZ465" s="23"/>
      <c r="JA465" s="23"/>
      <c r="JB465" s="23"/>
      <c r="JC465" s="23"/>
      <c r="JD465" s="23"/>
      <c r="JE465" s="23"/>
      <c r="JF465" s="23"/>
      <c r="JG465" s="23"/>
      <c r="JH465" s="23"/>
      <c r="JI465" s="23"/>
      <c r="JJ465" s="23"/>
      <c r="JK465" s="23"/>
      <c r="JL465" s="23"/>
      <c r="JM465" s="23"/>
      <c r="JN465" s="23"/>
      <c r="JO465" s="23"/>
      <c r="JP465" s="23"/>
      <c r="JQ465" s="23"/>
      <c r="JR465" s="23"/>
      <c r="JS465" s="23"/>
      <c r="JT465" s="23"/>
      <c r="JU465" s="23"/>
      <c r="JV465" s="23"/>
      <c r="JW465" s="23"/>
      <c r="JX465" s="23"/>
      <c r="JY465" s="23"/>
      <c r="JZ465" s="23"/>
      <c r="KA465" s="23"/>
      <c r="KB465" s="23"/>
      <c r="KC465" s="23"/>
      <c r="KD465" s="23"/>
      <c r="KE465" s="23"/>
      <c r="KF465" s="23"/>
      <c r="KG465" s="23"/>
      <c r="KH465" s="23"/>
      <c r="KI465" s="23"/>
      <c r="KJ465" s="23"/>
      <c r="KK465" s="23"/>
      <c r="KL465" s="23"/>
      <c r="KM465" s="23"/>
      <c r="KN465" s="23"/>
      <c r="KO465" s="23"/>
      <c r="KP465" s="23"/>
      <c r="KQ465" s="23"/>
      <c r="KR465" s="23"/>
      <c r="KS465" s="23"/>
      <c r="KT465" s="23"/>
      <c r="KU465" s="23"/>
      <c r="KV465" s="23"/>
      <c r="KW465" s="23"/>
      <c r="KX465" s="23"/>
      <c r="KY465" s="23"/>
      <c r="KZ465" s="23"/>
      <c r="LA465" s="23"/>
      <c r="LB465" s="23"/>
      <c r="LC465" s="23"/>
      <c r="LD465" s="23"/>
      <c r="LE465" s="23"/>
      <c r="LF465" s="23"/>
      <c r="LG465" s="23"/>
      <c r="LH465" s="23"/>
      <c r="LI465" s="23"/>
      <c r="LJ465" s="23"/>
      <c r="LK465" s="23"/>
      <c r="LL465" s="23"/>
      <c r="LM465" s="23"/>
      <c r="LN465" s="23"/>
      <c r="LO465" s="23"/>
    </row>
    <row r="466" spans="1:327">
      <c r="A466" s="390"/>
      <c r="B466" s="23"/>
      <c r="C466" s="391"/>
      <c r="D466" s="391"/>
      <c r="E466" s="23"/>
      <c r="F466" s="23"/>
      <c r="G466" s="392"/>
      <c r="H466" s="392"/>
      <c r="I466" s="392"/>
      <c r="J466" s="392"/>
      <c r="K466" s="392"/>
      <c r="L466" s="392"/>
      <c r="M466" s="392"/>
      <c r="N466" s="23"/>
      <c r="O466" s="39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  <c r="IL466" s="23"/>
      <c r="IM466" s="23"/>
      <c r="IN466" s="23"/>
      <c r="IO466" s="23"/>
      <c r="IP466" s="23"/>
      <c r="IQ466" s="23"/>
      <c r="IR466" s="23"/>
      <c r="IS466" s="23"/>
      <c r="IT466" s="23"/>
      <c r="IU466" s="23"/>
      <c r="IV466" s="23"/>
      <c r="IW466" s="23"/>
      <c r="IX466" s="23"/>
      <c r="IY466" s="23"/>
      <c r="IZ466" s="23"/>
      <c r="JA466" s="23"/>
      <c r="JB466" s="23"/>
      <c r="JC466" s="23"/>
      <c r="JD466" s="23"/>
      <c r="JE466" s="23"/>
      <c r="JF466" s="23"/>
      <c r="JG466" s="23"/>
      <c r="JH466" s="23"/>
      <c r="JI466" s="23"/>
      <c r="JJ466" s="23"/>
      <c r="JK466" s="23"/>
      <c r="JL466" s="23"/>
      <c r="JM466" s="23"/>
      <c r="JN466" s="23"/>
      <c r="JO466" s="23"/>
      <c r="JP466" s="23"/>
      <c r="JQ466" s="23"/>
      <c r="JR466" s="23"/>
      <c r="JS466" s="23"/>
      <c r="JT466" s="23"/>
      <c r="JU466" s="23"/>
      <c r="JV466" s="23"/>
      <c r="JW466" s="23"/>
      <c r="JX466" s="23"/>
      <c r="JY466" s="23"/>
      <c r="JZ466" s="23"/>
      <c r="KA466" s="23"/>
      <c r="KB466" s="23"/>
      <c r="KC466" s="23"/>
      <c r="KD466" s="23"/>
      <c r="KE466" s="23"/>
      <c r="KF466" s="23"/>
      <c r="KG466" s="23"/>
      <c r="KH466" s="23"/>
      <c r="KI466" s="23"/>
      <c r="KJ466" s="23"/>
      <c r="KK466" s="23"/>
      <c r="KL466" s="23"/>
      <c r="KM466" s="23"/>
      <c r="KN466" s="23"/>
      <c r="KO466" s="23"/>
      <c r="KP466" s="23"/>
      <c r="KQ466" s="23"/>
      <c r="KR466" s="23"/>
      <c r="KS466" s="23"/>
      <c r="KT466" s="23"/>
      <c r="KU466" s="23"/>
      <c r="KV466" s="23"/>
      <c r="KW466" s="23"/>
      <c r="KX466" s="23"/>
      <c r="KY466" s="23"/>
      <c r="KZ466" s="23"/>
      <c r="LA466" s="23"/>
      <c r="LB466" s="23"/>
      <c r="LC466" s="23"/>
      <c r="LD466" s="23"/>
      <c r="LE466" s="23"/>
      <c r="LF466" s="23"/>
      <c r="LG466" s="23"/>
      <c r="LH466" s="23"/>
      <c r="LI466" s="23"/>
      <c r="LJ466" s="23"/>
      <c r="LK466" s="23"/>
      <c r="LL466" s="23"/>
      <c r="LM466" s="23"/>
      <c r="LN466" s="23"/>
      <c r="LO466" s="23"/>
    </row>
    <row r="467" spans="1:327">
      <c r="A467" s="390"/>
      <c r="B467" s="23"/>
      <c r="C467" s="391"/>
      <c r="D467" s="391"/>
      <c r="E467" s="23"/>
      <c r="F467" s="23"/>
      <c r="G467" s="392"/>
      <c r="H467" s="392"/>
      <c r="I467" s="392"/>
      <c r="J467" s="392"/>
      <c r="K467" s="392"/>
      <c r="L467" s="392"/>
      <c r="M467" s="392"/>
      <c r="N467" s="23"/>
      <c r="O467" s="39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  <c r="IL467" s="23"/>
      <c r="IM467" s="23"/>
      <c r="IN467" s="23"/>
      <c r="IO467" s="23"/>
      <c r="IP467" s="23"/>
      <c r="IQ467" s="23"/>
      <c r="IR467" s="23"/>
      <c r="IS467" s="23"/>
      <c r="IT467" s="23"/>
      <c r="IU467" s="23"/>
      <c r="IV467" s="23"/>
      <c r="IW467" s="23"/>
      <c r="IX467" s="23"/>
      <c r="IY467" s="23"/>
      <c r="IZ467" s="23"/>
      <c r="JA467" s="23"/>
      <c r="JB467" s="23"/>
      <c r="JC467" s="23"/>
      <c r="JD467" s="23"/>
      <c r="JE467" s="23"/>
      <c r="JF467" s="23"/>
      <c r="JG467" s="23"/>
      <c r="JH467" s="23"/>
      <c r="JI467" s="23"/>
      <c r="JJ467" s="23"/>
      <c r="JK467" s="23"/>
      <c r="JL467" s="23"/>
      <c r="JM467" s="23"/>
      <c r="JN467" s="23"/>
      <c r="JO467" s="23"/>
      <c r="JP467" s="23"/>
      <c r="JQ467" s="23"/>
      <c r="JR467" s="23"/>
      <c r="JS467" s="23"/>
      <c r="JT467" s="23"/>
      <c r="JU467" s="23"/>
      <c r="JV467" s="23"/>
      <c r="JW467" s="23"/>
      <c r="JX467" s="23"/>
      <c r="JY467" s="23"/>
      <c r="JZ467" s="23"/>
      <c r="KA467" s="23"/>
      <c r="KB467" s="23"/>
      <c r="KC467" s="23"/>
      <c r="KD467" s="23"/>
      <c r="KE467" s="23"/>
      <c r="KF467" s="23"/>
      <c r="KG467" s="23"/>
      <c r="KH467" s="23"/>
      <c r="KI467" s="23"/>
      <c r="KJ467" s="23"/>
      <c r="KK467" s="23"/>
      <c r="KL467" s="23"/>
      <c r="KM467" s="23"/>
      <c r="KN467" s="23"/>
      <c r="KO467" s="23"/>
      <c r="KP467" s="23"/>
      <c r="KQ467" s="23"/>
      <c r="KR467" s="23"/>
      <c r="KS467" s="23"/>
      <c r="KT467" s="23"/>
      <c r="KU467" s="23"/>
      <c r="KV467" s="23"/>
      <c r="KW467" s="23"/>
      <c r="KX467" s="23"/>
      <c r="KY467" s="23"/>
      <c r="KZ467" s="23"/>
      <c r="LA467" s="23"/>
      <c r="LB467" s="23"/>
      <c r="LC467" s="23"/>
      <c r="LD467" s="23"/>
      <c r="LE467" s="23"/>
      <c r="LF467" s="23"/>
      <c r="LG467" s="23"/>
      <c r="LH467" s="23"/>
      <c r="LI467" s="23"/>
      <c r="LJ467" s="23"/>
      <c r="LK467" s="23"/>
      <c r="LL467" s="23"/>
      <c r="LM467" s="23"/>
      <c r="LN467" s="23"/>
      <c r="LO467" s="23"/>
    </row>
    <row r="468" spans="1:327">
      <c r="A468" s="390"/>
      <c r="B468" s="23"/>
      <c r="C468" s="391"/>
      <c r="D468" s="391"/>
      <c r="E468" s="23"/>
      <c r="F468" s="23"/>
      <c r="G468" s="392"/>
      <c r="H468" s="392"/>
      <c r="I468" s="392"/>
      <c r="J468" s="392"/>
      <c r="K468" s="392"/>
      <c r="L468" s="392"/>
      <c r="M468" s="392"/>
      <c r="N468" s="23"/>
      <c r="O468" s="39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  <c r="IL468" s="23"/>
      <c r="IM468" s="23"/>
      <c r="IN468" s="23"/>
      <c r="IO468" s="23"/>
      <c r="IP468" s="23"/>
      <c r="IQ468" s="23"/>
      <c r="IR468" s="23"/>
      <c r="IS468" s="23"/>
      <c r="IT468" s="23"/>
      <c r="IU468" s="23"/>
      <c r="IV468" s="23"/>
      <c r="IW468" s="23"/>
      <c r="IX468" s="23"/>
      <c r="IY468" s="23"/>
      <c r="IZ468" s="23"/>
      <c r="JA468" s="23"/>
      <c r="JB468" s="23"/>
      <c r="JC468" s="23"/>
      <c r="JD468" s="23"/>
      <c r="JE468" s="23"/>
      <c r="JF468" s="23"/>
      <c r="JG468" s="23"/>
      <c r="JH468" s="23"/>
      <c r="JI468" s="23"/>
      <c r="JJ468" s="23"/>
      <c r="JK468" s="23"/>
      <c r="JL468" s="23"/>
      <c r="JM468" s="23"/>
      <c r="JN468" s="23"/>
      <c r="JO468" s="23"/>
      <c r="JP468" s="23"/>
      <c r="JQ468" s="23"/>
      <c r="JR468" s="23"/>
      <c r="JS468" s="23"/>
      <c r="JT468" s="23"/>
      <c r="JU468" s="23"/>
      <c r="JV468" s="23"/>
      <c r="JW468" s="23"/>
      <c r="JX468" s="23"/>
      <c r="JY468" s="23"/>
      <c r="JZ468" s="23"/>
      <c r="KA468" s="23"/>
      <c r="KB468" s="23"/>
      <c r="KC468" s="23"/>
      <c r="KD468" s="23"/>
      <c r="KE468" s="23"/>
      <c r="KF468" s="23"/>
      <c r="KG468" s="23"/>
      <c r="KH468" s="23"/>
      <c r="KI468" s="23"/>
      <c r="KJ468" s="23"/>
      <c r="KK468" s="23"/>
      <c r="KL468" s="23"/>
      <c r="KM468" s="23"/>
      <c r="KN468" s="23"/>
      <c r="KO468" s="23"/>
      <c r="KP468" s="23"/>
      <c r="KQ468" s="23"/>
      <c r="KR468" s="23"/>
      <c r="KS468" s="23"/>
      <c r="KT468" s="23"/>
      <c r="KU468" s="23"/>
      <c r="KV468" s="23"/>
      <c r="KW468" s="23"/>
      <c r="KX468" s="23"/>
      <c r="KY468" s="23"/>
      <c r="KZ468" s="23"/>
      <c r="LA468" s="23"/>
      <c r="LB468" s="23"/>
      <c r="LC468" s="23"/>
      <c r="LD468" s="23"/>
      <c r="LE468" s="23"/>
      <c r="LF468" s="23"/>
      <c r="LG468" s="23"/>
      <c r="LH468" s="23"/>
      <c r="LI468" s="23"/>
      <c r="LJ468" s="23"/>
      <c r="LK468" s="23"/>
      <c r="LL468" s="23"/>
      <c r="LM468" s="23"/>
      <c r="LN468" s="23"/>
      <c r="LO468" s="23"/>
    </row>
    <row r="469" spans="1:327">
      <c r="A469" s="390"/>
      <c r="B469" s="23"/>
      <c r="C469" s="391"/>
      <c r="D469" s="391"/>
      <c r="E469" s="23"/>
      <c r="F469" s="23"/>
      <c r="G469" s="392"/>
      <c r="H469" s="392"/>
      <c r="I469" s="392"/>
      <c r="J469" s="392"/>
      <c r="K469" s="392"/>
      <c r="L469" s="392"/>
      <c r="M469" s="392"/>
      <c r="N469" s="23"/>
      <c r="O469" s="39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  <c r="IL469" s="23"/>
      <c r="IM469" s="23"/>
      <c r="IN469" s="23"/>
      <c r="IO469" s="23"/>
      <c r="IP469" s="23"/>
      <c r="IQ469" s="23"/>
      <c r="IR469" s="23"/>
      <c r="IS469" s="23"/>
      <c r="IT469" s="23"/>
      <c r="IU469" s="23"/>
      <c r="IV469" s="23"/>
      <c r="IW469" s="23"/>
      <c r="IX469" s="23"/>
      <c r="IY469" s="23"/>
      <c r="IZ469" s="23"/>
      <c r="JA469" s="23"/>
      <c r="JB469" s="23"/>
      <c r="JC469" s="23"/>
      <c r="JD469" s="23"/>
      <c r="JE469" s="23"/>
      <c r="JF469" s="23"/>
      <c r="JG469" s="23"/>
      <c r="JH469" s="23"/>
      <c r="JI469" s="23"/>
      <c r="JJ469" s="23"/>
      <c r="JK469" s="23"/>
      <c r="JL469" s="23"/>
      <c r="JM469" s="23"/>
      <c r="JN469" s="23"/>
      <c r="JO469" s="23"/>
      <c r="JP469" s="23"/>
      <c r="JQ469" s="23"/>
      <c r="JR469" s="23"/>
      <c r="JS469" s="23"/>
      <c r="JT469" s="23"/>
      <c r="JU469" s="23"/>
      <c r="JV469" s="23"/>
      <c r="JW469" s="23"/>
      <c r="JX469" s="23"/>
      <c r="JY469" s="23"/>
      <c r="JZ469" s="23"/>
      <c r="KA469" s="23"/>
      <c r="KB469" s="23"/>
      <c r="KC469" s="23"/>
      <c r="KD469" s="23"/>
      <c r="KE469" s="23"/>
      <c r="KF469" s="23"/>
      <c r="KG469" s="23"/>
      <c r="KH469" s="23"/>
      <c r="KI469" s="23"/>
      <c r="KJ469" s="23"/>
      <c r="KK469" s="23"/>
      <c r="KL469" s="23"/>
      <c r="KM469" s="23"/>
      <c r="KN469" s="23"/>
      <c r="KO469" s="23"/>
      <c r="KP469" s="23"/>
      <c r="KQ469" s="23"/>
      <c r="KR469" s="23"/>
      <c r="KS469" s="23"/>
      <c r="KT469" s="23"/>
      <c r="KU469" s="23"/>
      <c r="KV469" s="23"/>
      <c r="KW469" s="23"/>
      <c r="KX469" s="23"/>
      <c r="KY469" s="23"/>
      <c r="KZ469" s="23"/>
      <c r="LA469" s="23"/>
      <c r="LB469" s="23"/>
      <c r="LC469" s="23"/>
      <c r="LD469" s="23"/>
      <c r="LE469" s="23"/>
      <c r="LF469" s="23"/>
      <c r="LG469" s="23"/>
      <c r="LH469" s="23"/>
      <c r="LI469" s="23"/>
      <c r="LJ469" s="23"/>
      <c r="LK469" s="23"/>
      <c r="LL469" s="23"/>
      <c r="LM469" s="23"/>
      <c r="LN469" s="23"/>
      <c r="LO469" s="23"/>
    </row>
    <row r="470" spans="1:327">
      <c r="A470" s="390"/>
      <c r="B470" s="23"/>
      <c r="C470" s="391"/>
      <c r="D470" s="391"/>
      <c r="E470" s="23"/>
      <c r="F470" s="23"/>
      <c r="G470" s="392"/>
      <c r="H470" s="392"/>
      <c r="I470" s="392"/>
      <c r="J470" s="392"/>
      <c r="K470" s="392"/>
      <c r="L470" s="392"/>
      <c r="M470" s="392"/>
      <c r="N470" s="23"/>
      <c r="O470" s="39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  <c r="IL470" s="23"/>
      <c r="IM470" s="23"/>
      <c r="IN470" s="23"/>
      <c r="IO470" s="23"/>
      <c r="IP470" s="23"/>
      <c r="IQ470" s="23"/>
      <c r="IR470" s="23"/>
      <c r="IS470" s="23"/>
      <c r="IT470" s="23"/>
      <c r="IU470" s="23"/>
      <c r="IV470" s="23"/>
      <c r="IW470" s="23"/>
      <c r="IX470" s="23"/>
      <c r="IY470" s="23"/>
      <c r="IZ470" s="23"/>
      <c r="JA470" s="23"/>
      <c r="JB470" s="23"/>
      <c r="JC470" s="23"/>
      <c r="JD470" s="23"/>
      <c r="JE470" s="23"/>
      <c r="JF470" s="23"/>
      <c r="JG470" s="23"/>
      <c r="JH470" s="23"/>
      <c r="JI470" s="23"/>
      <c r="JJ470" s="23"/>
      <c r="JK470" s="23"/>
      <c r="JL470" s="23"/>
      <c r="JM470" s="23"/>
      <c r="JN470" s="23"/>
      <c r="JO470" s="23"/>
      <c r="JP470" s="23"/>
      <c r="JQ470" s="23"/>
      <c r="JR470" s="23"/>
      <c r="JS470" s="23"/>
      <c r="JT470" s="23"/>
      <c r="JU470" s="23"/>
      <c r="JV470" s="23"/>
      <c r="JW470" s="23"/>
      <c r="JX470" s="23"/>
      <c r="JY470" s="23"/>
      <c r="JZ470" s="23"/>
      <c r="KA470" s="23"/>
      <c r="KB470" s="23"/>
      <c r="KC470" s="23"/>
      <c r="KD470" s="23"/>
      <c r="KE470" s="23"/>
      <c r="KF470" s="23"/>
      <c r="KG470" s="23"/>
      <c r="KH470" s="23"/>
      <c r="KI470" s="23"/>
      <c r="KJ470" s="23"/>
      <c r="KK470" s="23"/>
      <c r="KL470" s="23"/>
      <c r="KM470" s="23"/>
      <c r="KN470" s="23"/>
      <c r="KO470" s="23"/>
      <c r="KP470" s="23"/>
      <c r="KQ470" s="23"/>
      <c r="KR470" s="23"/>
      <c r="KS470" s="23"/>
      <c r="KT470" s="23"/>
      <c r="KU470" s="23"/>
      <c r="KV470" s="23"/>
      <c r="KW470" s="23"/>
      <c r="KX470" s="23"/>
      <c r="KY470" s="23"/>
      <c r="KZ470" s="23"/>
      <c r="LA470" s="23"/>
      <c r="LB470" s="23"/>
      <c r="LC470" s="23"/>
      <c r="LD470" s="23"/>
      <c r="LE470" s="23"/>
      <c r="LF470" s="23"/>
      <c r="LG470" s="23"/>
      <c r="LH470" s="23"/>
      <c r="LI470" s="23"/>
      <c r="LJ470" s="23"/>
      <c r="LK470" s="23"/>
      <c r="LL470" s="23"/>
      <c r="LM470" s="23"/>
      <c r="LN470" s="23"/>
      <c r="LO470" s="23"/>
    </row>
    <row r="471" spans="1:327">
      <c r="A471" s="390"/>
      <c r="B471" s="23"/>
      <c r="C471" s="391"/>
      <c r="D471" s="391"/>
      <c r="E471" s="23"/>
      <c r="F471" s="23"/>
      <c r="G471" s="392"/>
      <c r="H471" s="392"/>
      <c r="I471" s="392"/>
      <c r="J471" s="392"/>
      <c r="K471" s="392"/>
      <c r="L471" s="392"/>
      <c r="M471" s="392"/>
      <c r="N471" s="23"/>
      <c r="O471" s="39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  <c r="IL471" s="23"/>
      <c r="IM471" s="23"/>
      <c r="IN471" s="23"/>
      <c r="IO471" s="23"/>
      <c r="IP471" s="23"/>
      <c r="IQ471" s="23"/>
      <c r="IR471" s="23"/>
      <c r="IS471" s="23"/>
      <c r="IT471" s="23"/>
      <c r="IU471" s="23"/>
      <c r="IV471" s="23"/>
      <c r="IW471" s="23"/>
      <c r="IX471" s="23"/>
      <c r="IY471" s="23"/>
      <c r="IZ471" s="23"/>
      <c r="JA471" s="23"/>
      <c r="JB471" s="23"/>
      <c r="JC471" s="23"/>
      <c r="JD471" s="23"/>
      <c r="JE471" s="23"/>
      <c r="JF471" s="23"/>
      <c r="JG471" s="23"/>
      <c r="JH471" s="23"/>
      <c r="JI471" s="23"/>
      <c r="JJ471" s="23"/>
      <c r="JK471" s="23"/>
      <c r="JL471" s="23"/>
      <c r="JM471" s="23"/>
      <c r="JN471" s="23"/>
      <c r="JO471" s="23"/>
      <c r="JP471" s="23"/>
      <c r="JQ471" s="23"/>
      <c r="JR471" s="23"/>
      <c r="JS471" s="23"/>
      <c r="JT471" s="23"/>
      <c r="JU471" s="23"/>
      <c r="JV471" s="23"/>
      <c r="JW471" s="23"/>
      <c r="JX471" s="23"/>
      <c r="JY471" s="23"/>
      <c r="JZ471" s="23"/>
      <c r="KA471" s="23"/>
      <c r="KB471" s="23"/>
      <c r="KC471" s="23"/>
      <c r="KD471" s="23"/>
      <c r="KE471" s="23"/>
      <c r="KF471" s="23"/>
      <c r="KG471" s="23"/>
      <c r="KH471" s="23"/>
      <c r="KI471" s="23"/>
      <c r="KJ471" s="23"/>
      <c r="KK471" s="23"/>
      <c r="KL471" s="23"/>
      <c r="KM471" s="23"/>
      <c r="KN471" s="23"/>
      <c r="KO471" s="23"/>
      <c r="KP471" s="23"/>
      <c r="KQ471" s="23"/>
      <c r="KR471" s="23"/>
      <c r="KS471" s="23"/>
      <c r="KT471" s="23"/>
      <c r="KU471" s="23"/>
      <c r="KV471" s="23"/>
      <c r="KW471" s="23"/>
      <c r="KX471" s="23"/>
      <c r="KY471" s="23"/>
      <c r="KZ471" s="23"/>
      <c r="LA471" s="23"/>
      <c r="LB471" s="23"/>
      <c r="LC471" s="23"/>
      <c r="LD471" s="23"/>
      <c r="LE471" s="23"/>
      <c r="LF471" s="23"/>
      <c r="LG471" s="23"/>
      <c r="LH471" s="23"/>
      <c r="LI471" s="23"/>
      <c r="LJ471" s="23"/>
      <c r="LK471" s="23"/>
      <c r="LL471" s="23"/>
      <c r="LM471" s="23"/>
      <c r="LN471" s="23"/>
      <c r="LO471" s="23"/>
    </row>
    <row r="472" spans="1:327">
      <c r="A472" s="390"/>
      <c r="B472" s="23"/>
      <c r="C472" s="391"/>
      <c r="D472" s="391"/>
      <c r="E472" s="23"/>
      <c r="F472" s="23"/>
      <c r="G472" s="392"/>
      <c r="H472" s="392"/>
      <c r="I472" s="392"/>
      <c r="J472" s="392"/>
      <c r="K472" s="392"/>
      <c r="L472" s="392"/>
      <c r="M472" s="392"/>
      <c r="N472" s="23"/>
      <c r="O472" s="39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  <c r="IL472" s="23"/>
      <c r="IM472" s="23"/>
      <c r="IN472" s="23"/>
      <c r="IO472" s="23"/>
      <c r="IP472" s="23"/>
      <c r="IQ472" s="23"/>
      <c r="IR472" s="23"/>
      <c r="IS472" s="23"/>
      <c r="IT472" s="23"/>
      <c r="IU472" s="23"/>
      <c r="IV472" s="23"/>
      <c r="IW472" s="23"/>
      <c r="IX472" s="23"/>
      <c r="IY472" s="23"/>
      <c r="IZ472" s="23"/>
      <c r="JA472" s="23"/>
      <c r="JB472" s="23"/>
      <c r="JC472" s="23"/>
      <c r="JD472" s="23"/>
      <c r="JE472" s="23"/>
      <c r="JF472" s="23"/>
      <c r="JG472" s="23"/>
      <c r="JH472" s="23"/>
      <c r="JI472" s="23"/>
      <c r="JJ472" s="23"/>
      <c r="JK472" s="23"/>
      <c r="JL472" s="23"/>
      <c r="JM472" s="23"/>
      <c r="JN472" s="23"/>
      <c r="JO472" s="23"/>
      <c r="JP472" s="23"/>
      <c r="JQ472" s="23"/>
      <c r="JR472" s="23"/>
      <c r="JS472" s="23"/>
      <c r="JT472" s="23"/>
      <c r="JU472" s="23"/>
      <c r="JV472" s="23"/>
      <c r="JW472" s="23"/>
      <c r="JX472" s="23"/>
      <c r="JY472" s="23"/>
      <c r="JZ472" s="23"/>
      <c r="KA472" s="23"/>
      <c r="KB472" s="23"/>
      <c r="KC472" s="23"/>
      <c r="KD472" s="23"/>
      <c r="KE472" s="23"/>
      <c r="KF472" s="23"/>
      <c r="KG472" s="23"/>
      <c r="KH472" s="23"/>
      <c r="KI472" s="23"/>
      <c r="KJ472" s="23"/>
      <c r="KK472" s="23"/>
      <c r="KL472" s="23"/>
      <c r="KM472" s="23"/>
      <c r="KN472" s="23"/>
      <c r="KO472" s="23"/>
      <c r="KP472" s="23"/>
      <c r="KQ472" s="23"/>
      <c r="KR472" s="23"/>
      <c r="KS472" s="23"/>
      <c r="KT472" s="23"/>
      <c r="KU472" s="23"/>
      <c r="KV472" s="23"/>
      <c r="KW472" s="23"/>
      <c r="KX472" s="23"/>
      <c r="KY472" s="23"/>
      <c r="KZ472" s="23"/>
      <c r="LA472" s="23"/>
      <c r="LB472" s="23"/>
      <c r="LC472" s="23"/>
      <c r="LD472" s="23"/>
      <c r="LE472" s="23"/>
      <c r="LF472" s="23"/>
      <c r="LG472" s="23"/>
      <c r="LH472" s="23"/>
      <c r="LI472" s="23"/>
      <c r="LJ472" s="23"/>
      <c r="LK472" s="23"/>
      <c r="LL472" s="23"/>
      <c r="LM472" s="23"/>
      <c r="LN472" s="23"/>
      <c r="LO472" s="23"/>
    </row>
    <row r="473" spans="1:327">
      <c r="A473" s="390"/>
      <c r="B473" s="23"/>
      <c r="C473" s="391"/>
      <c r="D473" s="391"/>
      <c r="E473" s="23"/>
      <c r="F473" s="23"/>
      <c r="G473" s="392"/>
      <c r="H473" s="392"/>
      <c r="I473" s="392"/>
      <c r="J473" s="392"/>
      <c r="K473" s="392"/>
      <c r="L473" s="392"/>
      <c r="M473" s="392"/>
      <c r="N473" s="23"/>
      <c r="O473" s="39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  <c r="IL473" s="23"/>
      <c r="IM473" s="23"/>
      <c r="IN473" s="23"/>
      <c r="IO473" s="23"/>
      <c r="IP473" s="23"/>
      <c r="IQ473" s="23"/>
      <c r="IR473" s="23"/>
      <c r="IS473" s="23"/>
      <c r="IT473" s="23"/>
      <c r="IU473" s="23"/>
      <c r="IV473" s="23"/>
      <c r="IW473" s="23"/>
      <c r="IX473" s="23"/>
      <c r="IY473" s="23"/>
      <c r="IZ473" s="23"/>
      <c r="JA473" s="23"/>
      <c r="JB473" s="23"/>
      <c r="JC473" s="23"/>
      <c r="JD473" s="23"/>
      <c r="JE473" s="23"/>
      <c r="JF473" s="23"/>
      <c r="JG473" s="23"/>
      <c r="JH473" s="23"/>
      <c r="JI473" s="23"/>
      <c r="JJ473" s="23"/>
      <c r="JK473" s="23"/>
      <c r="JL473" s="23"/>
      <c r="JM473" s="23"/>
      <c r="JN473" s="23"/>
      <c r="JO473" s="23"/>
      <c r="JP473" s="23"/>
      <c r="JQ473" s="23"/>
      <c r="JR473" s="23"/>
      <c r="JS473" s="23"/>
      <c r="JT473" s="23"/>
      <c r="JU473" s="23"/>
      <c r="JV473" s="23"/>
      <c r="JW473" s="23"/>
      <c r="JX473" s="23"/>
      <c r="JY473" s="23"/>
      <c r="JZ473" s="23"/>
      <c r="KA473" s="23"/>
      <c r="KB473" s="23"/>
      <c r="KC473" s="23"/>
      <c r="KD473" s="23"/>
      <c r="KE473" s="23"/>
      <c r="KF473" s="23"/>
      <c r="KG473" s="23"/>
      <c r="KH473" s="23"/>
      <c r="KI473" s="23"/>
      <c r="KJ473" s="23"/>
      <c r="KK473" s="23"/>
      <c r="KL473" s="23"/>
      <c r="KM473" s="23"/>
      <c r="KN473" s="23"/>
      <c r="KO473" s="23"/>
      <c r="KP473" s="23"/>
      <c r="KQ473" s="23"/>
      <c r="KR473" s="23"/>
      <c r="KS473" s="23"/>
      <c r="KT473" s="23"/>
      <c r="KU473" s="23"/>
      <c r="KV473" s="23"/>
      <c r="KW473" s="23"/>
      <c r="KX473" s="23"/>
      <c r="KY473" s="23"/>
      <c r="KZ473" s="23"/>
      <c r="LA473" s="23"/>
      <c r="LB473" s="23"/>
      <c r="LC473" s="23"/>
      <c r="LD473" s="23"/>
      <c r="LE473" s="23"/>
      <c r="LF473" s="23"/>
      <c r="LG473" s="23"/>
      <c r="LH473" s="23"/>
      <c r="LI473" s="23"/>
      <c r="LJ473" s="23"/>
      <c r="LK473" s="23"/>
      <c r="LL473" s="23"/>
      <c r="LM473" s="23"/>
      <c r="LN473" s="23"/>
      <c r="LO473" s="23"/>
    </row>
    <row r="474" spans="1:327">
      <c r="A474" s="390"/>
      <c r="B474" s="23"/>
      <c r="C474" s="391"/>
      <c r="D474" s="391"/>
      <c r="E474" s="23"/>
      <c r="F474" s="23"/>
      <c r="G474" s="392"/>
      <c r="H474" s="392"/>
      <c r="I474" s="392"/>
      <c r="J474" s="392"/>
      <c r="K474" s="392"/>
      <c r="L474" s="392"/>
      <c r="M474" s="392"/>
      <c r="N474" s="23"/>
      <c r="O474" s="39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  <c r="IL474" s="23"/>
      <c r="IM474" s="23"/>
      <c r="IN474" s="23"/>
      <c r="IO474" s="23"/>
      <c r="IP474" s="23"/>
      <c r="IQ474" s="23"/>
      <c r="IR474" s="23"/>
      <c r="IS474" s="23"/>
      <c r="IT474" s="23"/>
      <c r="IU474" s="23"/>
      <c r="IV474" s="23"/>
      <c r="IW474" s="23"/>
      <c r="IX474" s="23"/>
      <c r="IY474" s="23"/>
      <c r="IZ474" s="23"/>
      <c r="JA474" s="23"/>
      <c r="JB474" s="23"/>
      <c r="JC474" s="23"/>
      <c r="JD474" s="23"/>
      <c r="JE474" s="23"/>
      <c r="JF474" s="23"/>
      <c r="JG474" s="23"/>
      <c r="JH474" s="23"/>
      <c r="JI474" s="23"/>
      <c r="JJ474" s="23"/>
      <c r="JK474" s="23"/>
      <c r="JL474" s="23"/>
      <c r="JM474" s="23"/>
      <c r="JN474" s="23"/>
      <c r="JO474" s="23"/>
      <c r="JP474" s="23"/>
      <c r="JQ474" s="23"/>
      <c r="JR474" s="23"/>
      <c r="JS474" s="23"/>
      <c r="JT474" s="23"/>
      <c r="JU474" s="23"/>
      <c r="JV474" s="23"/>
      <c r="JW474" s="23"/>
      <c r="JX474" s="23"/>
      <c r="JY474" s="23"/>
      <c r="JZ474" s="23"/>
      <c r="KA474" s="23"/>
      <c r="KB474" s="23"/>
      <c r="KC474" s="23"/>
      <c r="KD474" s="23"/>
      <c r="KE474" s="23"/>
      <c r="KF474" s="23"/>
      <c r="KG474" s="23"/>
      <c r="KH474" s="23"/>
      <c r="KI474" s="23"/>
      <c r="KJ474" s="23"/>
      <c r="KK474" s="23"/>
      <c r="KL474" s="23"/>
      <c r="KM474" s="23"/>
      <c r="KN474" s="23"/>
      <c r="KO474" s="23"/>
      <c r="KP474" s="23"/>
      <c r="KQ474" s="23"/>
      <c r="KR474" s="23"/>
      <c r="KS474" s="23"/>
      <c r="KT474" s="23"/>
      <c r="KU474" s="23"/>
      <c r="KV474" s="23"/>
      <c r="KW474" s="23"/>
      <c r="KX474" s="23"/>
      <c r="KY474" s="23"/>
      <c r="KZ474" s="23"/>
      <c r="LA474" s="23"/>
      <c r="LB474" s="23"/>
      <c r="LC474" s="23"/>
      <c r="LD474" s="23"/>
      <c r="LE474" s="23"/>
      <c r="LF474" s="23"/>
      <c r="LG474" s="23"/>
      <c r="LH474" s="23"/>
      <c r="LI474" s="23"/>
      <c r="LJ474" s="23"/>
      <c r="LK474" s="23"/>
      <c r="LL474" s="23"/>
      <c r="LM474" s="23"/>
      <c r="LN474" s="23"/>
      <c r="LO474" s="23"/>
    </row>
    <row r="475" spans="1:327">
      <c r="A475" s="390"/>
      <c r="B475" s="23"/>
      <c r="C475" s="391"/>
      <c r="D475" s="391"/>
      <c r="E475" s="23"/>
      <c r="F475" s="23"/>
      <c r="G475" s="392"/>
      <c r="H475" s="392"/>
      <c r="I475" s="392"/>
      <c r="J475" s="392"/>
      <c r="K475" s="392"/>
      <c r="L475" s="392"/>
      <c r="M475" s="392"/>
      <c r="N475" s="23"/>
      <c r="O475" s="39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  <c r="IL475" s="23"/>
      <c r="IM475" s="23"/>
      <c r="IN475" s="23"/>
      <c r="IO475" s="23"/>
      <c r="IP475" s="23"/>
      <c r="IQ475" s="23"/>
      <c r="IR475" s="23"/>
      <c r="IS475" s="23"/>
      <c r="IT475" s="23"/>
      <c r="IU475" s="23"/>
      <c r="IV475" s="23"/>
      <c r="IW475" s="23"/>
      <c r="IX475" s="23"/>
      <c r="IY475" s="23"/>
      <c r="IZ475" s="23"/>
      <c r="JA475" s="23"/>
      <c r="JB475" s="23"/>
      <c r="JC475" s="23"/>
      <c r="JD475" s="23"/>
      <c r="JE475" s="23"/>
      <c r="JF475" s="23"/>
      <c r="JG475" s="23"/>
      <c r="JH475" s="23"/>
      <c r="JI475" s="23"/>
      <c r="JJ475" s="23"/>
      <c r="JK475" s="23"/>
      <c r="JL475" s="23"/>
      <c r="JM475" s="23"/>
      <c r="JN475" s="23"/>
      <c r="JO475" s="23"/>
      <c r="JP475" s="23"/>
      <c r="JQ475" s="23"/>
      <c r="JR475" s="23"/>
      <c r="JS475" s="23"/>
      <c r="JT475" s="23"/>
      <c r="JU475" s="23"/>
      <c r="JV475" s="23"/>
      <c r="JW475" s="23"/>
      <c r="JX475" s="23"/>
      <c r="JY475" s="23"/>
      <c r="JZ475" s="23"/>
      <c r="KA475" s="23"/>
      <c r="KB475" s="23"/>
      <c r="KC475" s="23"/>
      <c r="KD475" s="23"/>
      <c r="KE475" s="23"/>
      <c r="KF475" s="23"/>
      <c r="KG475" s="23"/>
      <c r="KH475" s="23"/>
      <c r="KI475" s="23"/>
      <c r="KJ475" s="23"/>
      <c r="KK475" s="23"/>
      <c r="KL475" s="23"/>
      <c r="KM475" s="23"/>
      <c r="KN475" s="23"/>
      <c r="KO475" s="23"/>
      <c r="KP475" s="23"/>
      <c r="KQ475" s="23"/>
      <c r="KR475" s="23"/>
      <c r="KS475" s="23"/>
      <c r="KT475" s="23"/>
      <c r="KU475" s="23"/>
      <c r="KV475" s="23"/>
      <c r="KW475" s="23"/>
      <c r="KX475" s="23"/>
      <c r="KY475" s="23"/>
      <c r="KZ475" s="23"/>
      <c r="LA475" s="23"/>
      <c r="LB475" s="23"/>
      <c r="LC475" s="23"/>
      <c r="LD475" s="23"/>
      <c r="LE475" s="23"/>
      <c r="LF475" s="23"/>
      <c r="LG475" s="23"/>
      <c r="LH475" s="23"/>
      <c r="LI475" s="23"/>
      <c r="LJ475" s="23"/>
      <c r="LK475" s="23"/>
      <c r="LL475" s="23"/>
      <c r="LM475" s="23"/>
      <c r="LN475" s="23"/>
      <c r="LO475" s="23"/>
    </row>
    <row r="476" spans="1:327">
      <c r="A476" s="390"/>
      <c r="B476" s="23"/>
      <c r="C476" s="391"/>
      <c r="D476" s="391"/>
      <c r="E476" s="23"/>
      <c r="F476" s="23"/>
      <c r="G476" s="392"/>
      <c r="H476" s="392"/>
      <c r="I476" s="392"/>
      <c r="J476" s="392"/>
      <c r="K476" s="392"/>
      <c r="L476" s="392"/>
      <c r="M476" s="392"/>
      <c r="N476" s="23"/>
      <c r="O476" s="39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  <c r="IL476" s="23"/>
      <c r="IM476" s="23"/>
      <c r="IN476" s="23"/>
      <c r="IO476" s="23"/>
      <c r="IP476" s="23"/>
      <c r="IQ476" s="23"/>
      <c r="IR476" s="23"/>
      <c r="IS476" s="23"/>
      <c r="IT476" s="23"/>
      <c r="IU476" s="23"/>
      <c r="IV476" s="23"/>
      <c r="IW476" s="23"/>
      <c r="IX476" s="23"/>
      <c r="IY476" s="23"/>
      <c r="IZ476" s="23"/>
      <c r="JA476" s="23"/>
      <c r="JB476" s="23"/>
      <c r="JC476" s="23"/>
      <c r="JD476" s="23"/>
      <c r="JE476" s="23"/>
      <c r="JF476" s="23"/>
      <c r="JG476" s="23"/>
      <c r="JH476" s="23"/>
      <c r="JI476" s="23"/>
      <c r="JJ476" s="23"/>
      <c r="JK476" s="23"/>
      <c r="JL476" s="23"/>
      <c r="JM476" s="23"/>
      <c r="JN476" s="23"/>
      <c r="JO476" s="23"/>
      <c r="JP476" s="23"/>
      <c r="JQ476" s="23"/>
      <c r="JR476" s="23"/>
      <c r="JS476" s="23"/>
      <c r="JT476" s="23"/>
      <c r="JU476" s="23"/>
      <c r="JV476" s="23"/>
      <c r="JW476" s="23"/>
      <c r="JX476" s="23"/>
      <c r="JY476" s="23"/>
      <c r="JZ476" s="23"/>
      <c r="KA476" s="23"/>
      <c r="KB476" s="23"/>
      <c r="KC476" s="23"/>
      <c r="KD476" s="23"/>
      <c r="KE476" s="23"/>
      <c r="KF476" s="23"/>
      <c r="KG476" s="23"/>
      <c r="KH476" s="23"/>
      <c r="KI476" s="23"/>
      <c r="KJ476" s="23"/>
      <c r="KK476" s="23"/>
      <c r="KL476" s="23"/>
      <c r="KM476" s="23"/>
      <c r="KN476" s="23"/>
      <c r="KO476" s="23"/>
      <c r="KP476" s="23"/>
      <c r="KQ476" s="23"/>
      <c r="KR476" s="23"/>
      <c r="KS476" s="23"/>
      <c r="KT476" s="23"/>
      <c r="KU476" s="23"/>
      <c r="KV476" s="23"/>
      <c r="KW476" s="23"/>
      <c r="KX476" s="23"/>
      <c r="KY476" s="23"/>
      <c r="KZ476" s="23"/>
      <c r="LA476" s="23"/>
      <c r="LB476" s="23"/>
      <c r="LC476" s="23"/>
      <c r="LD476" s="23"/>
      <c r="LE476" s="23"/>
      <c r="LF476" s="23"/>
      <c r="LG476" s="23"/>
      <c r="LH476" s="23"/>
      <c r="LI476" s="23"/>
      <c r="LJ476" s="23"/>
      <c r="LK476" s="23"/>
      <c r="LL476" s="23"/>
      <c r="LM476" s="23"/>
      <c r="LN476" s="23"/>
      <c r="LO476" s="23"/>
    </row>
    <row r="477" spans="1:327">
      <c r="A477" s="390"/>
      <c r="B477" s="23"/>
      <c r="C477" s="391"/>
      <c r="D477" s="391"/>
      <c r="E477" s="23"/>
      <c r="F477" s="23"/>
      <c r="G477" s="392"/>
      <c r="H477" s="392"/>
      <c r="I477" s="392"/>
      <c r="J477" s="392"/>
      <c r="K477" s="392"/>
      <c r="L477" s="392"/>
      <c r="M477" s="392"/>
      <c r="N477" s="23"/>
      <c r="O477" s="39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  <c r="IL477" s="23"/>
      <c r="IM477" s="23"/>
      <c r="IN477" s="23"/>
      <c r="IO477" s="23"/>
      <c r="IP477" s="23"/>
      <c r="IQ477" s="23"/>
      <c r="IR477" s="23"/>
      <c r="IS477" s="23"/>
      <c r="IT477" s="23"/>
      <c r="IU477" s="23"/>
      <c r="IV477" s="23"/>
      <c r="IW477" s="23"/>
      <c r="IX477" s="23"/>
      <c r="IY477" s="23"/>
      <c r="IZ477" s="23"/>
      <c r="JA477" s="23"/>
      <c r="JB477" s="23"/>
      <c r="JC477" s="23"/>
      <c r="JD477" s="23"/>
      <c r="JE477" s="23"/>
      <c r="JF477" s="23"/>
      <c r="JG477" s="23"/>
      <c r="JH477" s="23"/>
      <c r="JI477" s="23"/>
      <c r="JJ477" s="23"/>
      <c r="JK477" s="23"/>
      <c r="JL477" s="23"/>
      <c r="JM477" s="23"/>
      <c r="JN477" s="23"/>
      <c r="JO477" s="23"/>
      <c r="JP477" s="23"/>
      <c r="JQ477" s="23"/>
      <c r="JR477" s="23"/>
      <c r="JS477" s="23"/>
      <c r="JT477" s="23"/>
      <c r="JU477" s="23"/>
      <c r="JV477" s="23"/>
      <c r="JW477" s="23"/>
      <c r="JX477" s="23"/>
      <c r="JY477" s="23"/>
      <c r="JZ477" s="23"/>
      <c r="KA477" s="23"/>
      <c r="KB477" s="23"/>
      <c r="KC477" s="23"/>
      <c r="KD477" s="23"/>
      <c r="KE477" s="23"/>
      <c r="KF477" s="23"/>
      <c r="KG477" s="23"/>
      <c r="KH477" s="23"/>
      <c r="KI477" s="23"/>
      <c r="KJ477" s="23"/>
      <c r="KK477" s="23"/>
      <c r="KL477" s="23"/>
      <c r="KM477" s="23"/>
      <c r="KN477" s="23"/>
      <c r="KO477" s="23"/>
      <c r="KP477" s="23"/>
      <c r="KQ477" s="23"/>
      <c r="KR477" s="23"/>
      <c r="KS477" s="23"/>
      <c r="KT477" s="23"/>
      <c r="KU477" s="23"/>
      <c r="KV477" s="23"/>
      <c r="KW477" s="23"/>
      <c r="KX477" s="23"/>
      <c r="KY477" s="23"/>
      <c r="KZ477" s="23"/>
      <c r="LA477" s="23"/>
      <c r="LB477" s="23"/>
      <c r="LC477" s="23"/>
      <c r="LD477" s="23"/>
      <c r="LE477" s="23"/>
      <c r="LF477" s="23"/>
      <c r="LG477" s="23"/>
      <c r="LH477" s="23"/>
      <c r="LI477" s="23"/>
      <c r="LJ477" s="23"/>
      <c r="LK477" s="23"/>
      <c r="LL477" s="23"/>
      <c r="LM477" s="23"/>
      <c r="LN477" s="23"/>
      <c r="LO477" s="23"/>
    </row>
    <row r="478" spans="1:327">
      <c r="A478" s="390"/>
      <c r="B478" s="23"/>
      <c r="C478" s="391"/>
      <c r="D478" s="391"/>
      <c r="E478" s="23"/>
      <c r="F478" s="23"/>
      <c r="G478" s="392"/>
      <c r="H478" s="392"/>
      <c r="I478" s="392"/>
      <c r="J478" s="392"/>
      <c r="K478" s="392"/>
      <c r="L478" s="392"/>
      <c r="M478" s="392"/>
      <c r="N478" s="23"/>
      <c r="O478" s="39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  <c r="IL478" s="23"/>
      <c r="IM478" s="23"/>
      <c r="IN478" s="23"/>
      <c r="IO478" s="23"/>
      <c r="IP478" s="23"/>
      <c r="IQ478" s="23"/>
      <c r="IR478" s="23"/>
      <c r="IS478" s="23"/>
      <c r="IT478" s="23"/>
      <c r="IU478" s="23"/>
      <c r="IV478" s="23"/>
      <c r="IW478" s="23"/>
      <c r="IX478" s="23"/>
      <c r="IY478" s="23"/>
      <c r="IZ478" s="23"/>
      <c r="JA478" s="23"/>
      <c r="JB478" s="23"/>
      <c r="JC478" s="23"/>
      <c r="JD478" s="23"/>
      <c r="JE478" s="23"/>
      <c r="JF478" s="23"/>
      <c r="JG478" s="23"/>
      <c r="JH478" s="23"/>
      <c r="JI478" s="23"/>
      <c r="JJ478" s="23"/>
      <c r="JK478" s="23"/>
      <c r="JL478" s="23"/>
      <c r="JM478" s="23"/>
      <c r="JN478" s="23"/>
      <c r="JO478" s="23"/>
      <c r="JP478" s="23"/>
      <c r="JQ478" s="23"/>
      <c r="JR478" s="23"/>
      <c r="JS478" s="23"/>
      <c r="JT478" s="23"/>
      <c r="JU478" s="23"/>
      <c r="JV478" s="23"/>
      <c r="JW478" s="23"/>
      <c r="JX478" s="23"/>
      <c r="JY478" s="23"/>
      <c r="JZ478" s="23"/>
      <c r="KA478" s="23"/>
      <c r="KB478" s="23"/>
      <c r="KC478" s="23"/>
      <c r="KD478" s="23"/>
      <c r="KE478" s="23"/>
      <c r="KF478" s="23"/>
      <c r="KG478" s="23"/>
      <c r="KH478" s="23"/>
      <c r="KI478" s="23"/>
      <c r="KJ478" s="23"/>
      <c r="KK478" s="23"/>
      <c r="KL478" s="23"/>
      <c r="KM478" s="23"/>
      <c r="KN478" s="23"/>
      <c r="KO478" s="23"/>
      <c r="KP478" s="23"/>
      <c r="KQ478" s="23"/>
      <c r="KR478" s="23"/>
      <c r="KS478" s="23"/>
      <c r="KT478" s="23"/>
      <c r="KU478" s="23"/>
      <c r="KV478" s="23"/>
      <c r="KW478" s="23"/>
      <c r="KX478" s="23"/>
      <c r="KY478" s="23"/>
      <c r="KZ478" s="23"/>
      <c r="LA478" s="23"/>
      <c r="LB478" s="23"/>
      <c r="LC478" s="23"/>
      <c r="LD478" s="23"/>
      <c r="LE478" s="23"/>
      <c r="LF478" s="23"/>
      <c r="LG478" s="23"/>
      <c r="LH478" s="23"/>
      <c r="LI478" s="23"/>
      <c r="LJ478" s="23"/>
      <c r="LK478" s="23"/>
      <c r="LL478" s="23"/>
      <c r="LM478" s="23"/>
      <c r="LN478" s="23"/>
      <c r="LO478" s="23"/>
    </row>
    <row r="479" spans="1:327">
      <c r="A479" s="390"/>
      <c r="B479" s="23"/>
      <c r="C479" s="391"/>
      <c r="D479" s="391"/>
      <c r="E479" s="23"/>
      <c r="F479" s="23"/>
      <c r="G479" s="392"/>
      <c r="H479" s="392"/>
      <c r="I479" s="392"/>
      <c r="J479" s="392"/>
      <c r="K479" s="392"/>
      <c r="L479" s="392"/>
      <c r="M479" s="392"/>
      <c r="N479" s="23"/>
      <c r="O479" s="39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  <c r="IL479" s="23"/>
      <c r="IM479" s="23"/>
      <c r="IN479" s="23"/>
      <c r="IO479" s="23"/>
      <c r="IP479" s="23"/>
      <c r="IQ479" s="23"/>
      <c r="IR479" s="23"/>
      <c r="IS479" s="23"/>
      <c r="IT479" s="23"/>
      <c r="IU479" s="23"/>
      <c r="IV479" s="23"/>
      <c r="IW479" s="23"/>
      <c r="IX479" s="23"/>
      <c r="IY479" s="23"/>
      <c r="IZ479" s="23"/>
      <c r="JA479" s="23"/>
      <c r="JB479" s="23"/>
      <c r="JC479" s="23"/>
      <c r="JD479" s="23"/>
      <c r="JE479" s="23"/>
      <c r="JF479" s="23"/>
      <c r="JG479" s="23"/>
      <c r="JH479" s="23"/>
      <c r="JI479" s="23"/>
      <c r="JJ479" s="23"/>
      <c r="JK479" s="23"/>
      <c r="JL479" s="23"/>
      <c r="JM479" s="23"/>
      <c r="JN479" s="23"/>
      <c r="JO479" s="23"/>
      <c r="JP479" s="23"/>
      <c r="JQ479" s="23"/>
      <c r="JR479" s="23"/>
      <c r="JS479" s="23"/>
      <c r="JT479" s="23"/>
      <c r="JU479" s="23"/>
      <c r="JV479" s="23"/>
      <c r="JW479" s="23"/>
      <c r="JX479" s="23"/>
      <c r="JY479" s="23"/>
      <c r="JZ479" s="23"/>
      <c r="KA479" s="23"/>
      <c r="KB479" s="23"/>
      <c r="KC479" s="23"/>
      <c r="KD479" s="23"/>
      <c r="KE479" s="23"/>
      <c r="KF479" s="23"/>
      <c r="KG479" s="23"/>
      <c r="KH479" s="23"/>
      <c r="KI479" s="23"/>
      <c r="KJ479" s="23"/>
      <c r="KK479" s="23"/>
      <c r="KL479" s="23"/>
      <c r="KM479" s="23"/>
      <c r="KN479" s="23"/>
      <c r="KO479" s="23"/>
      <c r="KP479" s="23"/>
      <c r="KQ479" s="23"/>
      <c r="KR479" s="23"/>
      <c r="KS479" s="23"/>
      <c r="KT479" s="23"/>
      <c r="KU479" s="23"/>
      <c r="KV479" s="23"/>
      <c r="KW479" s="23"/>
      <c r="KX479" s="23"/>
      <c r="KY479" s="23"/>
      <c r="KZ479" s="23"/>
      <c r="LA479" s="23"/>
      <c r="LB479" s="23"/>
      <c r="LC479" s="23"/>
      <c r="LD479" s="23"/>
      <c r="LE479" s="23"/>
      <c r="LF479" s="23"/>
      <c r="LG479" s="23"/>
      <c r="LH479" s="23"/>
      <c r="LI479" s="23"/>
      <c r="LJ479" s="23"/>
      <c r="LK479" s="23"/>
      <c r="LL479" s="23"/>
      <c r="LM479" s="23"/>
      <c r="LN479" s="23"/>
      <c r="LO479" s="23"/>
    </row>
    <row r="480" spans="1:327">
      <c r="A480" s="390"/>
      <c r="B480" s="23"/>
      <c r="C480" s="391"/>
      <c r="D480" s="391"/>
      <c r="E480" s="23"/>
      <c r="F480" s="23"/>
      <c r="G480" s="392"/>
      <c r="H480" s="392"/>
      <c r="I480" s="392"/>
      <c r="J480" s="392"/>
      <c r="K480" s="392"/>
      <c r="L480" s="392"/>
      <c r="M480" s="392"/>
      <c r="N480" s="23"/>
      <c r="O480" s="39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  <c r="IL480" s="23"/>
      <c r="IM480" s="23"/>
      <c r="IN480" s="23"/>
      <c r="IO480" s="23"/>
      <c r="IP480" s="23"/>
      <c r="IQ480" s="23"/>
      <c r="IR480" s="23"/>
      <c r="IS480" s="23"/>
      <c r="IT480" s="23"/>
      <c r="IU480" s="23"/>
      <c r="IV480" s="23"/>
      <c r="IW480" s="23"/>
      <c r="IX480" s="23"/>
      <c r="IY480" s="23"/>
      <c r="IZ480" s="23"/>
      <c r="JA480" s="23"/>
      <c r="JB480" s="23"/>
      <c r="JC480" s="23"/>
      <c r="JD480" s="23"/>
      <c r="JE480" s="23"/>
      <c r="JF480" s="23"/>
      <c r="JG480" s="23"/>
      <c r="JH480" s="23"/>
      <c r="JI480" s="23"/>
      <c r="JJ480" s="23"/>
      <c r="JK480" s="23"/>
      <c r="JL480" s="23"/>
      <c r="JM480" s="23"/>
      <c r="JN480" s="23"/>
      <c r="JO480" s="23"/>
      <c r="JP480" s="23"/>
      <c r="JQ480" s="23"/>
      <c r="JR480" s="23"/>
      <c r="JS480" s="23"/>
      <c r="JT480" s="23"/>
      <c r="JU480" s="23"/>
      <c r="JV480" s="23"/>
      <c r="JW480" s="23"/>
      <c r="JX480" s="23"/>
      <c r="JY480" s="23"/>
      <c r="JZ480" s="23"/>
      <c r="KA480" s="23"/>
      <c r="KB480" s="23"/>
      <c r="KC480" s="23"/>
      <c r="KD480" s="23"/>
      <c r="KE480" s="23"/>
      <c r="KF480" s="23"/>
      <c r="KG480" s="23"/>
      <c r="KH480" s="23"/>
      <c r="KI480" s="23"/>
      <c r="KJ480" s="23"/>
      <c r="KK480" s="23"/>
      <c r="KL480" s="23"/>
      <c r="KM480" s="23"/>
      <c r="KN480" s="23"/>
      <c r="KO480" s="23"/>
      <c r="KP480" s="23"/>
      <c r="KQ480" s="23"/>
      <c r="KR480" s="23"/>
      <c r="KS480" s="23"/>
      <c r="KT480" s="23"/>
      <c r="KU480" s="23"/>
      <c r="KV480" s="23"/>
      <c r="KW480" s="23"/>
      <c r="KX480" s="23"/>
      <c r="KY480" s="23"/>
      <c r="KZ480" s="23"/>
      <c r="LA480" s="23"/>
      <c r="LB480" s="23"/>
      <c r="LC480" s="23"/>
      <c r="LD480" s="23"/>
      <c r="LE480" s="23"/>
      <c r="LF480" s="23"/>
      <c r="LG480" s="23"/>
      <c r="LH480" s="23"/>
      <c r="LI480" s="23"/>
      <c r="LJ480" s="23"/>
      <c r="LK480" s="23"/>
      <c r="LL480" s="23"/>
      <c r="LM480" s="23"/>
      <c r="LN480" s="23"/>
      <c r="LO480" s="23"/>
    </row>
    <row r="481" spans="1:327">
      <c r="A481" s="390"/>
      <c r="B481" s="23"/>
      <c r="C481" s="391"/>
      <c r="D481" s="391"/>
      <c r="E481" s="23"/>
      <c r="F481" s="23"/>
      <c r="G481" s="392"/>
      <c r="H481" s="392"/>
      <c r="I481" s="392"/>
      <c r="J481" s="392"/>
      <c r="K481" s="392"/>
      <c r="L481" s="392"/>
      <c r="M481" s="392"/>
      <c r="N481" s="23"/>
      <c r="O481" s="39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  <c r="IL481" s="23"/>
      <c r="IM481" s="23"/>
      <c r="IN481" s="23"/>
      <c r="IO481" s="23"/>
      <c r="IP481" s="23"/>
      <c r="IQ481" s="23"/>
      <c r="IR481" s="23"/>
      <c r="IS481" s="23"/>
      <c r="IT481" s="23"/>
      <c r="IU481" s="23"/>
      <c r="IV481" s="23"/>
      <c r="IW481" s="23"/>
      <c r="IX481" s="23"/>
      <c r="IY481" s="23"/>
      <c r="IZ481" s="23"/>
      <c r="JA481" s="23"/>
      <c r="JB481" s="23"/>
      <c r="JC481" s="23"/>
      <c r="JD481" s="23"/>
      <c r="JE481" s="23"/>
      <c r="JF481" s="23"/>
      <c r="JG481" s="23"/>
      <c r="JH481" s="23"/>
      <c r="JI481" s="23"/>
      <c r="JJ481" s="23"/>
      <c r="JK481" s="23"/>
      <c r="JL481" s="23"/>
      <c r="JM481" s="23"/>
      <c r="JN481" s="23"/>
      <c r="JO481" s="23"/>
      <c r="JP481" s="23"/>
      <c r="JQ481" s="23"/>
      <c r="JR481" s="23"/>
      <c r="JS481" s="23"/>
      <c r="JT481" s="23"/>
      <c r="JU481" s="23"/>
      <c r="JV481" s="23"/>
      <c r="JW481" s="23"/>
      <c r="JX481" s="23"/>
      <c r="JY481" s="23"/>
      <c r="JZ481" s="23"/>
      <c r="KA481" s="23"/>
      <c r="KB481" s="23"/>
      <c r="KC481" s="23"/>
      <c r="KD481" s="23"/>
      <c r="KE481" s="23"/>
      <c r="KF481" s="23"/>
      <c r="KG481" s="23"/>
      <c r="KH481" s="23"/>
      <c r="KI481" s="23"/>
      <c r="KJ481" s="23"/>
      <c r="KK481" s="23"/>
      <c r="KL481" s="23"/>
      <c r="KM481" s="23"/>
      <c r="KN481" s="23"/>
      <c r="KO481" s="23"/>
      <c r="KP481" s="23"/>
      <c r="KQ481" s="23"/>
      <c r="KR481" s="23"/>
      <c r="KS481" s="23"/>
      <c r="KT481" s="23"/>
      <c r="KU481" s="23"/>
      <c r="KV481" s="23"/>
      <c r="KW481" s="23"/>
      <c r="KX481" s="23"/>
      <c r="KY481" s="23"/>
      <c r="KZ481" s="23"/>
      <c r="LA481" s="23"/>
      <c r="LB481" s="23"/>
      <c r="LC481" s="23"/>
      <c r="LD481" s="23"/>
      <c r="LE481" s="23"/>
      <c r="LF481" s="23"/>
      <c r="LG481" s="23"/>
      <c r="LH481" s="23"/>
      <c r="LI481" s="23"/>
      <c r="LJ481" s="23"/>
      <c r="LK481" s="23"/>
      <c r="LL481" s="23"/>
      <c r="LM481" s="23"/>
      <c r="LN481" s="23"/>
      <c r="LO481" s="23"/>
    </row>
    <row r="482" spans="1:327">
      <c r="A482" s="390"/>
      <c r="B482" s="23"/>
      <c r="C482" s="391"/>
      <c r="D482" s="391"/>
      <c r="E482" s="23"/>
      <c r="F482" s="23"/>
      <c r="G482" s="392"/>
      <c r="H482" s="392"/>
      <c r="I482" s="392"/>
      <c r="J482" s="392"/>
      <c r="K482" s="392"/>
      <c r="L482" s="392"/>
      <c r="M482" s="392"/>
      <c r="N482" s="23"/>
      <c r="O482" s="39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  <c r="IL482" s="23"/>
      <c r="IM482" s="23"/>
      <c r="IN482" s="23"/>
      <c r="IO482" s="23"/>
      <c r="IP482" s="23"/>
      <c r="IQ482" s="23"/>
      <c r="IR482" s="23"/>
      <c r="IS482" s="23"/>
      <c r="IT482" s="23"/>
      <c r="IU482" s="23"/>
      <c r="IV482" s="23"/>
      <c r="IW482" s="23"/>
      <c r="IX482" s="23"/>
      <c r="IY482" s="23"/>
      <c r="IZ482" s="23"/>
      <c r="JA482" s="23"/>
      <c r="JB482" s="23"/>
      <c r="JC482" s="23"/>
      <c r="JD482" s="23"/>
      <c r="JE482" s="23"/>
      <c r="JF482" s="23"/>
      <c r="JG482" s="23"/>
      <c r="JH482" s="23"/>
      <c r="JI482" s="23"/>
      <c r="JJ482" s="23"/>
      <c r="JK482" s="23"/>
      <c r="JL482" s="23"/>
      <c r="JM482" s="23"/>
      <c r="JN482" s="23"/>
      <c r="JO482" s="23"/>
      <c r="JP482" s="23"/>
      <c r="JQ482" s="23"/>
      <c r="JR482" s="23"/>
      <c r="JS482" s="23"/>
      <c r="JT482" s="23"/>
      <c r="JU482" s="23"/>
      <c r="JV482" s="23"/>
      <c r="JW482" s="23"/>
      <c r="JX482" s="23"/>
      <c r="JY482" s="23"/>
      <c r="JZ482" s="23"/>
      <c r="KA482" s="23"/>
      <c r="KB482" s="23"/>
      <c r="KC482" s="23"/>
      <c r="KD482" s="23"/>
      <c r="KE482" s="23"/>
      <c r="KF482" s="23"/>
      <c r="KG482" s="23"/>
      <c r="KH482" s="23"/>
      <c r="KI482" s="23"/>
      <c r="KJ482" s="23"/>
      <c r="KK482" s="23"/>
      <c r="KL482" s="23"/>
      <c r="KM482" s="23"/>
      <c r="KN482" s="23"/>
      <c r="KO482" s="23"/>
      <c r="KP482" s="23"/>
      <c r="KQ482" s="23"/>
      <c r="KR482" s="23"/>
      <c r="KS482" s="23"/>
      <c r="KT482" s="23"/>
      <c r="KU482" s="23"/>
      <c r="KV482" s="23"/>
      <c r="KW482" s="23"/>
      <c r="KX482" s="23"/>
      <c r="KY482" s="23"/>
      <c r="KZ482" s="23"/>
      <c r="LA482" s="23"/>
      <c r="LB482" s="23"/>
      <c r="LC482" s="23"/>
      <c r="LD482" s="23"/>
      <c r="LE482" s="23"/>
      <c r="LF482" s="23"/>
      <c r="LG482" s="23"/>
      <c r="LH482" s="23"/>
      <c r="LI482" s="23"/>
      <c r="LJ482" s="23"/>
      <c r="LK482" s="23"/>
      <c r="LL482" s="23"/>
      <c r="LM482" s="23"/>
      <c r="LN482" s="23"/>
      <c r="LO482" s="23"/>
    </row>
    <row r="483" spans="1:327">
      <c r="A483" s="390"/>
      <c r="B483" s="23"/>
      <c r="C483" s="391"/>
      <c r="D483" s="391"/>
      <c r="E483" s="23"/>
      <c r="F483" s="23"/>
      <c r="G483" s="392"/>
      <c r="H483" s="392"/>
      <c r="I483" s="392"/>
      <c r="J483" s="392"/>
      <c r="K483" s="392"/>
      <c r="L483" s="392"/>
      <c r="M483" s="392"/>
      <c r="N483" s="23"/>
      <c r="O483" s="39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  <c r="IL483" s="23"/>
      <c r="IM483" s="23"/>
      <c r="IN483" s="23"/>
      <c r="IO483" s="23"/>
      <c r="IP483" s="23"/>
      <c r="IQ483" s="23"/>
      <c r="IR483" s="23"/>
      <c r="IS483" s="23"/>
      <c r="IT483" s="23"/>
      <c r="IU483" s="23"/>
      <c r="IV483" s="23"/>
      <c r="IW483" s="23"/>
      <c r="IX483" s="23"/>
      <c r="IY483" s="23"/>
      <c r="IZ483" s="23"/>
      <c r="JA483" s="23"/>
      <c r="JB483" s="23"/>
      <c r="JC483" s="23"/>
      <c r="JD483" s="23"/>
      <c r="JE483" s="23"/>
      <c r="JF483" s="23"/>
      <c r="JG483" s="23"/>
      <c r="JH483" s="23"/>
      <c r="JI483" s="23"/>
      <c r="JJ483" s="23"/>
      <c r="JK483" s="23"/>
      <c r="JL483" s="23"/>
      <c r="JM483" s="23"/>
      <c r="JN483" s="23"/>
      <c r="JO483" s="23"/>
      <c r="JP483" s="23"/>
      <c r="JQ483" s="23"/>
      <c r="JR483" s="23"/>
      <c r="JS483" s="23"/>
      <c r="JT483" s="23"/>
      <c r="JU483" s="23"/>
      <c r="JV483" s="23"/>
      <c r="JW483" s="23"/>
      <c r="JX483" s="23"/>
      <c r="JY483" s="23"/>
      <c r="JZ483" s="23"/>
      <c r="KA483" s="23"/>
      <c r="KB483" s="23"/>
      <c r="KC483" s="23"/>
      <c r="KD483" s="23"/>
      <c r="KE483" s="23"/>
      <c r="KF483" s="23"/>
      <c r="KG483" s="23"/>
      <c r="KH483" s="23"/>
      <c r="KI483" s="23"/>
      <c r="KJ483" s="23"/>
      <c r="KK483" s="23"/>
      <c r="KL483" s="23"/>
      <c r="KM483" s="23"/>
      <c r="KN483" s="23"/>
      <c r="KO483" s="23"/>
      <c r="KP483" s="23"/>
      <c r="KQ483" s="23"/>
      <c r="KR483" s="23"/>
      <c r="KS483" s="23"/>
      <c r="KT483" s="23"/>
      <c r="KU483" s="23"/>
      <c r="KV483" s="23"/>
      <c r="KW483" s="23"/>
      <c r="KX483" s="23"/>
      <c r="KY483" s="23"/>
      <c r="KZ483" s="23"/>
      <c r="LA483" s="23"/>
      <c r="LB483" s="23"/>
      <c r="LC483" s="23"/>
      <c r="LD483" s="23"/>
      <c r="LE483" s="23"/>
      <c r="LF483" s="23"/>
      <c r="LG483" s="23"/>
      <c r="LH483" s="23"/>
      <c r="LI483" s="23"/>
      <c r="LJ483" s="23"/>
      <c r="LK483" s="23"/>
      <c r="LL483" s="23"/>
      <c r="LM483" s="23"/>
      <c r="LN483" s="23"/>
      <c r="LO483" s="23"/>
    </row>
    <row r="484" spans="1:327">
      <c r="A484" s="390"/>
      <c r="B484" s="23"/>
      <c r="C484" s="391"/>
      <c r="D484" s="391"/>
      <c r="E484" s="23"/>
      <c r="F484" s="23"/>
      <c r="G484" s="392"/>
      <c r="H484" s="392"/>
      <c r="I484" s="392"/>
      <c r="J484" s="392"/>
      <c r="K484" s="392"/>
      <c r="L484" s="392"/>
      <c r="M484" s="392"/>
      <c r="N484" s="23"/>
      <c r="O484" s="39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  <c r="IL484" s="23"/>
      <c r="IM484" s="23"/>
      <c r="IN484" s="23"/>
      <c r="IO484" s="23"/>
      <c r="IP484" s="23"/>
      <c r="IQ484" s="23"/>
      <c r="IR484" s="23"/>
      <c r="IS484" s="23"/>
      <c r="IT484" s="23"/>
      <c r="IU484" s="23"/>
      <c r="IV484" s="23"/>
      <c r="IW484" s="23"/>
      <c r="IX484" s="23"/>
      <c r="IY484" s="23"/>
      <c r="IZ484" s="23"/>
      <c r="JA484" s="23"/>
      <c r="JB484" s="23"/>
      <c r="JC484" s="23"/>
      <c r="JD484" s="23"/>
      <c r="JE484" s="23"/>
      <c r="JF484" s="23"/>
      <c r="JG484" s="23"/>
      <c r="JH484" s="23"/>
      <c r="JI484" s="23"/>
      <c r="JJ484" s="23"/>
      <c r="JK484" s="23"/>
      <c r="JL484" s="23"/>
      <c r="JM484" s="23"/>
      <c r="JN484" s="23"/>
      <c r="JO484" s="23"/>
      <c r="JP484" s="23"/>
      <c r="JQ484" s="23"/>
      <c r="JR484" s="23"/>
      <c r="JS484" s="23"/>
      <c r="JT484" s="23"/>
      <c r="JU484" s="23"/>
      <c r="JV484" s="23"/>
      <c r="JW484" s="23"/>
      <c r="JX484" s="23"/>
      <c r="JY484" s="23"/>
      <c r="JZ484" s="23"/>
      <c r="KA484" s="23"/>
      <c r="KB484" s="23"/>
      <c r="KC484" s="23"/>
      <c r="KD484" s="23"/>
      <c r="KE484" s="23"/>
      <c r="KF484" s="23"/>
      <c r="KG484" s="23"/>
      <c r="KH484" s="23"/>
      <c r="KI484" s="23"/>
      <c r="KJ484" s="23"/>
      <c r="KK484" s="23"/>
      <c r="KL484" s="23"/>
      <c r="KM484" s="23"/>
      <c r="KN484" s="23"/>
      <c r="KO484" s="23"/>
      <c r="KP484" s="23"/>
      <c r="KQ484" s="23"/>
      <c r="KR484" s="23"/>
      <c r="KS484" s="23"/>
      <c r="KT484" s="23"/>
      <c r="KU484" s="23"/>
      <c r="KV484" s="23"/>
      <c r="KW484" s="23"/>
      <c r="KX484" s="23"/>
      <c r="KY484" s="23"/>
      <c r="KZ484" s="23"/>
      <c r="LA484" s="23"/>
      <c r="LB484" s="23"/>
      <c r="LC484" s="23"/>
      <c r="LD484" s="23"/>
      <c r="LE484" s="23"/>
      <c r="LF484" s="23"/>
      <c r="LG484" s="23"/>
      <c r="LH484" s="23"/>
      <c r="LI484" s="23"/>
      <c r="LJ484" s="23"/>
      <c r="LK484" s="23"/>
      <c r="LL484" s="23"/>
      <c r="LM484" s="23"/>
      <c r="LN484" s="23"/>
      <c r="LO484" s="23"/>
    </row>
    <row r="485" spans="1:327">
      <c r="A485" s="390"/>
      <c r="B485" s="23"/>
      <c r="C485" s="391"/>
      <c r="D485" s="391"/>
      <c r="E485" s="23"/>
      <c r="F485" s="23"/>
      <c r="G485" s="392"/>
      <c r="H485" s="392"/>
      <c r="I485" s="392"/>
      <c r="J485" s="392"/>
      <c r="K485" s="392"/>
      <c r="L485" s="392"/>
      <c r="M485" s="392"/>
      <c r="N485" s="23"/>
      <c r="O485" s="39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  <c r="IL485" s="23"/>
      <c r="IM485" s="23"/>
      <c r="IN485" s="23"/>
      <c r="IO485" s="23"/>
      <c r="IP485" s="23"/>
      <c r="IQ485" s="23"/>
      <c r="IR485" s="23"/>
      <c r="IS485" s="23"/>
      <c r="IT485" s="23"/>
      <c r="IU485" s="23"/>
      <c r="IV485" s="23"/>
      <c r="IW485" s="23"/>
      <c r="IX485" s="23"/>
      <c r="IY485" s="23"/>
      <c r="IZ485" s="23"/>
      <c r="JA485" s="23"/>
      <c r="JB485" s="23"/>
      <c r="JC485" s="23"/>
      <c r="JD485" s="23"/>
      <c r="JE485" s="23"/>
      <c r="JF485" s="23"/>
      <c r="JG485" s="23"/>
      <c r="JH485" s="23"/>
      <c r="JI485" s="23"/>
      <c r="JJ485" s="23"/>
      <c r="JK485" s="23"/>
      <c r="JL485" s="23"/>
      <c r="JM485" s="23"/>
      <c r="JN485" s="23"/>
      <c r="JO485" s="23"/>
      <c r="JP485" s="23"/>
      <c r="JQ485" s="23"/>
      <c r="JR485" s="23"/>
      <c r="JS485" s="23"/>
      <c r="JT485" s="23"/>
      <c r="JU485" s="23"/>
      <c r="JV485" s="23"/>
      <c r="JW485" s="23"/>
      <c r="JX485" s="23"/>
      <c r="JY485" s="23"/>
      <c r="JZ485" s="23"/>
      <c r="KA485" s="23"/>
      <c r="KB485" s="23"/>
      <c r="KC485" s="23"/>
      <c r="KD485" s="23"/>
      <c r="KE485" s="23"/>
      <c r="KF485" s="23"/>
      <c r="KG485" s="23"/>
      <c r="KH485" s="23"/>
      <c r="KI485" s="23"/>
      <c r="KJ485" s="23"/>
      <c r="KK485" s="23"/>
      <c r="KL485" s="23"/>
      <c r="KM485" s="23"/>
      <c r="KN485" s="23"/>
      <c r="KO485" s="23"/>
      <c r="KP485" s="23"/>
      <c r="KQ485" s="23"/>
      <c r="KR485" s="23"/>
      <c r="KS485" s="23"/>
      <c r="KT485" s="23"/>
      <c r="KU485" s="23"/>
      <c r="KV485" s="23"/>
      <c r="KW485" s="23"/>
      <c r="KX485" s="23"/>
      <c r="KY485" s="23"/>
      <c r="KZ485" s="23"/>
      <c r="LA485" s="23"/>
      <c r="LB485" s="23"/>
      <c r="LC485" s="23"/>
      <c r="LD485" s="23"/>
      <c r="LE485" s="23"/>
      <c r="LF485" s="23"/>
      <c r="LG485" s="23"/>
      <c r="LH485" s="23"/>
      <c r="LI485" s="23"/>
      <c r="LJ485" s="23"/>
      <c r="LK485" s="23"/>
      <c r="LL485" s="23"/>
      <c r="LM485" s="23"/>
      <c r="LN485" s="23"/>
      <c r="LO485" s="23"/>
    </row>
    <row r="486" spans="1:327">
      <c r="A486" s="390"/>
      <c r="B486" s="23"/>
      <c r="C486" s="391"/>
      <c r="D486" s="391"/>
      <c r="E486" s="23"/>
      <c r="F486" s="23"/>
      <c r="G486" s="392"/>
      <c r="H486" s="392"/>
      <c r="I486" s="392"/>
      <c r="J486" s="392"/>
      <c r="K486" s="392"/>
      <c r="L486" s="392"/>
      <c r="M486" s="392"/>
      <c r="N486" s="23"/>
      <c r="O486" s="39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  <c r="IL486" s="23"/>
      <c r="IM486" s="23"/>
      <c r="IN486" s="23"/>
      <c r="IO486" s="23"/>
      <c r="IP486" s="23"/>
      <c r="IQ486" s="23"/>
      <c r="IR486" s="23"/>
      <c r="IS486" s="23"/>
      <c r="IT486" s="23"/>
      <c r="IU486" s="23"/>
      <c r="IV486" s="23"/>
      <c r="IW486" s="23"/>
      <c r="IX486" s="23"/>
      <c r="IY486" s="23"/>
      <c r="IZ486" s="23"/>
      <c r="JA486" s="23"/>
      <c r="JB486" s="23"/>
      <c r="JC486" s="23"/>
      <c r="JD486" s="23"/>
      <c r="JE486" s="23"/>
      <c r="JF486" s="23"/>
      <c r="JG486" s="23"/>
      <c r="JH486" s="23"/>
      <c r="JI486" s="23"/>
      <c r="JJ486" s="23"/>
      <c r="JK486" s="23"/>
      <c r="JL486" s="23"/>
      <c r="JM486" s="23"/>
      <c r="JN486" s="23"/>
      <c r="JO486" s="23"/>
      <c r="JP486" s="23"/>
      <c r="JQ486" s="23"/>
      <c r="JR486" s="23"/>
      <c r="JS486" s="23"/>
      <c r="JT486" s="23"/>
      <c r="JU486" s="23"/>
      <c r="JV486" s="23"/>
      <c r="JW486" s="23"/>
      <c r="JX486" s="23"/>
      <c r="JY486" s="23"/>
      <c r="JZ486" s="23"/>
      <c r="KA486" s="23"/>
      <c r="KB486" s="23"/>
      <c r="KC486" s="23"/>
      <c r="KD486" s="23"/>
      <c r="KE486" s="23"/>
      <c r="KF486" s="23"/>
      <c r="KG486" s="23"/>
      <c r="KH486" s="23"/>
      <c r="KI486" s="23"/>
      <c r="KJ486" s="23"/>
      <c r="KK486" s="23"/>
      <c r="KL486" s="23"/>
      <c r="KM486" s="23"/>
      <c r="KN486" s="23"/>
      <c r="KO486" s="23"/>
      <c r="KP486" s="23"/>
      <c r="KQ486" s="23"/>
      <c r="KR486" s="23"/>
      <c r="KS486" s="23"/>
      <c r="KT486" s="23"/>
      <c r="KU486" s="23"/>
      <c r="KV486" s="23"/>
      <c r="KW486" s="23"/>
      <c r="KX486" s="23"/>
      <c r="KY486" s="23"/>
      <c r="KZ486" s="23"/>
      <c r="LA486" s="23"/>
      <c r="LB486" s="23"/>
      <c r="LC486" s="23"/>
      <c r="LD486" s="23"/>
      <c r="LE486" s="23"/>
      <c r="LF486" s="23"/>
      <c r="LG486" s="23"/>
      <c r="LH486" s="23"/>
      <c r="LI486" s="23"/>
      <c r="LJ486" s="23"/>
      <c r="LK486" s="23"/>
      <c r="LL486" s="23"/>
      <c r="LM486" s="23"/>
      <c r="LN486" s="23"/>
      <c r="LO486" s="23"/>
    </row>
    <row r="487" spans="1:327">
      <c r="A487" s="390"/>
      <c r="B487" s="23"/>
      <c r="C487" s="391"/>
      <c r="D487" s="391"/>
      <c r="E487" s="23"/>
      <c r="F487" s="23"/>
      <c r="G487" s="392"/>
      <c r="H487" s="392"/>
      <c r="I487" s="392"/>
      <c r="J487" s="392"/>
      <c r="K487" s="392"/>
      <c r="L487" s="392"/>
      <c r="M487" s="392"/>
      <c r="N487" s="23"/>
      <c r="O487" s="39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  <c r="IL487" s="23"/>
      <c r="IM487" s="23"/>
      <c r="IN487" s="23"/>
      <c r="IO487" s="23"/>
      <c r="IP487" s="23"/>
      <c r="IQ487" s="23"/>
      <c r="IR487" s="23"/>
      <c r="IS487" s="23"/>
      <c r="IT487" s="23"/>
      <c r="IU487" s="23"/>
      <c r="IV487" s="23"/>
      <c r="IW487" s="23"/>
      <c r="IX487" s="23"/>
      <c r="IY487" s="23"/>
      <c r="IZ487" s="23"/>
      <c r="JA487" s="23"/>
      <c r="JB487" s="23"/>
      <c r="JC487" s="23"/>
      <c r="JD487" s="23"/>
      <c r="JE487" s="23"/>
      <c r="JF487" s="23"/>
      <c r="JG487" s="23"/>
      <c r="JH487" s="23"/>
      <c r="JI487" s="23"/>
      <c r="JJ487" s="23"/>
      <c r="JK487" s="23"/>
      <c r="JL487" s="23"/>
      <c r="JM487" s="23"/>
      <c r="JN487" s="23"/>
      <c r="JO487" s="23"/>
      <c r="JP487" s="23"/>
      <c r="JQ487" s="23"/>
      <c r="JR487" s="23"/>
      <c r="JS487" s="23"/>
      <c r="JT487" s="23"/>
      <c r="JU487" s="23"/>
      <c r="JV487" s="23"/>
      <c r="JW487" s="23"/>
      <c r="JX487" s="23"/>
      <c r="JY487" s="23"/>
      <c r="JZ487" s="23"/>
      <c r="KA487" s="23"/>
      <c r="KB487" s="23"/>
      <c r="KC487" s="23"/>
      <c r="KD487" s="23"/>
      <c r="KE487" s="23"/>
      <c r="KF487" s="23"/>
      <c r="KG487" s="23"/>
      <c r="KH487" s="23"/>
      <c r="KI487" s="23"/>
      <c r="KJ487" s="23"/>
      <c r="KK487" s="23"/>
      <c r="KL487" s="23"/>
      <c r="KM487" s="23"/>
      <c r="KN487" s="23"/>
      <c r="KO487" s="23"/>
      <c r="KP487" s="23"/>
      <c r="KQ487" s="23"/>
      <c r="KR487" s="23"/>
      <c r="KS487" s="23"/>
      <c r="KT487" s="23"/>
      <c r="KU487" s="23"/>
      <c r="KV487" s="23"/>
      <c r="KW487" s="23"/>
      <c r="KX487" s="23"/>
      <c r="KY487" s="23"/>
      <c r="KZ487" s="23"/>
      <c r="LA487" s="23"/>
      <c r="LB487" s="23"/>
      <c r="LC487" s="23"/>
      <c r="LD487" s="23"/>
      <c r="LE487" s="23"/>
      <c r="LF487" s="23"/>
      <c r="LG487" s="23"/>
      <c r="LH487" s="23"/>
      <c r="LI487" s="23"/>
      <c r="LJ487" s="23"/>
      <c r="LK487" s="23"/>
      <c r="LL487" s="23"/>
      <c r="LM487" s="23"/>
      <c r="LN487" s="23"/>
      <c r="LO487" s="23"/>
    </row>
    <row r="488" spans="1:327">
      <c r="A488" s="390"/>
      <c r="B488" s="23"/>
      <c r="C488" s="391"/>
      <c r="D488" s="391"/>
      <c r="E488" s="23"/>
      <c r="F488" s="23"/>
      <c r="G488" s="392"/>
      <c r="H488" s="392"/>
      <c r="I488" s="392"/>
      <c r="J488" s="392"/>
      <c r="K488" s="392"/>
      <c r="L488" s="392"/>
      <c r="M488" s="392"/>
      <c r="N488" s="23"/>
      <c r="O488" s="39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  <c r="IL488" s="23"/>
      <c r="IM488" s="23"/>
      <c r="IN488" s="23"/>
      <c r="IO488" s="23"/>
      <c r="IP488" s="23"/>
      <c r="IQ488" s="23"/>
      <c r="IR488" s="23"/>
      <c r="IS488" s="23"/>
      <c r="IT488" s="23"/>
      <c r="IU488" s="23"/>
      <c r="IV488" s="23"/>
      <c r="IW488" s="23"/>
      <c r="IX488" s="23"/>
      <c r="IY488" s="23"/>
      <c r="IZ488" s="23"/>
      <c r="JA488" s="23"/>
      <c r="JB488" s="23"/>
      <c r="JC488" s="23"/>
      <c r="JD488" s="23"/>
      <c r="JE488" s="23"/>
      <c r="JF488" s="23"/>
      <c r="JG488" s="23"/>
      <c r="JH488" s="23"/>
      <c r="JI488" s="23"/>
      <c r="JJ488" s="23"/>
      <c r="JK488" s="23"/>
      <c r="JL488" s="23"/>
      <c r="JM488" s="23"/>
      <c r="JN488" s="23"/>
      <c r="JO488" s="23"/>
      <c r="JP488" s="23"/>
      <c r="JQ488" s="23"/>
      <c r="JR488" s="23"/>
      <c r="JS488" s="23"/>
      <c r="JT488" s="23"/>
      <c r="JU488" s="23"/>
      <c r="JV488" s="23"/>
      <c r="JW488" s="23"/>
      <c r="JX488" s="23"/>
      <c r="JY488" s="23"/>
      <c r="JZ488" s="23"/>
      <c r="KA488" s="23"/>
      <c r="KB488" s="23"/>
      <c r="KC488" s="23"/>
      <c r="KD488" s="23"/>
      <c r="KE488" s="23"/>
      <c r="KF488" s="23"/>
      <c r="KG488" s="23"/>
      <c r="KH488" s="23"/>
      <c r="KI488" s="23"/>
      <c r="KJ488" s="23"/>
      <c r="KK488" s="23"/>
      <c r="KL488" s="23"/>
      <c r="KM488" s="23"/>
      <c r="KN488" s="23"/>
      <c r="KO488" s="23"/>
      <c r="KP488" s="23"/>
      <c r="KQ488" s="23"/>
      <c r="KR488" s="23"/>
      <c r="KS488" s="23"/>
      <c r="KT488" s="23"/>
      <c r="KU488" s="23"/>
      <c r="KV488" s="23"/>
      <c r="KW488" s="23"/>
      <c r="KX488" s="23"/>
      <c r="KY488" s="23"/>
      <c r="KZ488" s="23"/>
      <c r="LA488" s="23"/>
      <c r="LB488" s="23"/>
      <c r="LC488" s="23"/>
      <c r="LD488" s="23"/>
      <c r="LE488" s="23"/>
      <c r="LF488" s="23"/>
      <c r="LG488" s="23"/>
      <c r="LH488" s="23"/>
      <c r="LI488" s="23"/>
      <c r="LJ488" s="23"/>
      <c r="LK488" s="23"/>
      <c r="LL488" s="23"/>
      <c r="LM488" s="23"/>
      <c r="LN488" s="23"/>
      <c r="LO488" s="23"/>
    </row>
    <row r="489" spans="1:327">
      <c r="A489" s="390"/>
      <c r="B489" s="23"/>
      <c r="C489" s="391"/>
      <c r="D489" s="391"/>
      <c r="E489" s="23"/>
      <c r="F489" s="23"/>
      <c r="G489" s="392"/>
      <c r="H489" s="392"/>
      <c r="I489" s="392"/>
      <c r="J489" s="392"/>
      <c r="K489" s="392"/>
      <c r="L489" s="392"/>
      <c r="M489" s="392"/>
      <c r="N489" s="23"/>
      <c r="O489" s="39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  <c r="IL489" s="23"/>
      <c r="IM489" s="23"/>
      <c r="IN489" s="23"/>
      <c r="IO489" s="23"/>
      <c r="IP489" s="23"/>
      <c r="IQ489" s="23"/>
      <c r="IR489" s="23"/>
      <c r="IS489" s="23"/>
      <c r="IT489" s="23"/>
      <c r="IU489" s="23"/>
      <c r="IV489" s="23"/>
      <c r="IW489" s="23"/>
      <c r="IX489" s="23"/>
      <c r="IY489" s="23"/>
      <c r="IZ489" s="23"/>
      <c r="JA489" s="23"/>
      <c r="JB489" s="23"/>
      <c r="JC489" s="23"/>
      <c r="JD489" s="23"/>
      <c r="JE489" s="23"/>
      <c r="JF489" s="23"/>
      <c r="JG489" s="23"/>
      <c r="JH489" s="23"/>
      <c r="JI489" s="23"/>
      <c r="JJ489" s="23"/>
      <c r="JK489" s="23"/>
      <c r="JL489" s="23"/>
      <c r="JM489" s="23"/>
      <c r="JN489" s="23"/>
      <c r="JO489" s="23"/>
      <c r="JP489" s="23"/>
      <c r="JQ489" s="23"/>
      <c r="JR489" s="23"/>
      <c r="JS489" s="23"/>
      <c r="JT489" s="23"/>
      <c r="JU489" s="23"/>
      <c r="JV489" s="23"/>
      <c r="JW489" s="23"/>
      <c r="JX489" s="23"/>
      <c r="JY489" s="23"/>
      <c r="JZ489" s="23"/>
      <c r="KA489" s="23"/>
      <c r="KB489" s="23"/>
      <c r="KC489" s="23"/>
      <c r="KD489" s="23"/>
      <c r="KE489" s="23"/>
      <c r="KF489" s="23"/>
      <c r="KG489" s="23"/>
      <c r="KH489" s="23"/>
      <c r="KI489" s="23"/>
      <c r="KJ489" s="23"/>
      <c r="KK489" s="23"/>
      <c r="KL489" s="23"/>
      <c r="KM489" s="23"/>
      <c r="KN489" s="23"/>
      <c r="KO489" s="23"/>
      <c r="KP489" s="23"/>
      <c r="KQ489" s="23"/>
      <c r="KR489" s="23"/>
      <c r="KS489" s="23"/>
      <c r="KT489" s="23"/>
      <c r="KU489" s="23"/>
      <c r="KV489" s="23"/>
      <c r="KW489" s="23"/>
      <c r="KX489" s="23"/>
      <c r="KY489" s="23"/>
      <c r="KZ489" s="23"/>
      <c r="LA489" s="23"/>
      <c r="LB489" s="23"/>
      <c r="LC489" s="23"/>
      <c r="LD489" s="23"/>
      <c r="LE489" s="23"/>
      <c r="LF489" s="23"/>
      <c r="LG489" s="23"/>
      <c r="LH489" s="23"/>
      <c r="LI489" s="23"/>
      <c r="LJ489" s="23"/>
      <c r="LK489" s="23"/>
      <c r="LL489" s="23"/>
      <c r="LM489" s="23"/>
      <c r="LN489" s="23"/>
      <c r="LO489" s="23"/>
    </row>
    <row r="490" spans="1:327">
      <c r="A490" s="390"/>
      <c r="B490" s="23"/>
      <c r="C490" s="391"/>
      <c r="D490" s="391"/>
      <c r="E490" s="23"/>
      <c r="F490" s="23"/>
      <c r="G490" s="392"/>
      <c r="H490" s="392"/>
      <c r="I490" s="392"/>
      <c r="J490" s="392"/>
      <c r="K490" s="392"/>
      <c r="L490" s="392"/>
      <c r="M490" s="392"/>
      <c r="N490" s="23"/>
      <c r="O490" s="39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  <c r="IL490" s="23"/>
      <c r="IM490" s="23"/>
      <c r="IN490" s="23"/>
      <c r="IO490" s="23"/>
      <c r="IP490" s="23"/>
      <c r="IQ490" s="23"/>
      <c r="IR490" s="23"/>
      <c r="IS490" s="23"/>
      <c r="IT490" s="23"/>
      <c r="IU490" s="23"/>
      <c r="IV490" s="23"/>
      <c r="IW490" s="23"/>
      <c r="IX490" s="23"/>
      <c r="IY490" s="23"/>
      <c r="IZ490" s="23"/>
      <c r="JA490" s="23"/>
      <c r="JB490" s="23"/>
      <c r="JC490" s="23"/>
      <c r="JD490" s="23"/>
      <c r="JE490" s="23"/>
      <c r="JF490" s="23"/>
      <c r="JG490" s="23"/>
      <c r="JH490" s="23"/>
      <c r="JI490" s="23"/>
      <c r="JJ490" s="23"/>
      <c r="JK490" s="23"/>
      <c r="JL490" s="23"/>
      <c r="JM490" s="23"/>
      <c r="JN490" s="23"/>
      <c r="JO490" s="23"/>
      <c r="JP490" s="23"/>
      <c r="JQ490" s="23"/>
      <c r="JR490" s="23"/>
      <c r="JS490" s="23"/>
      <c r="JT490" s="23"/>
      <c r="JU490" s="23"/>
      <c r="JV490" s="23"/>
      <c r="JW490" s="23"/>
      <c r="JX490" s="23"/>
      <c r="JY490" s="23"/>
      <c r="JZ490" s="23"/>
      <c r="KA490" s="23"/>
      <c r="KB490" s="23"/>
      <c r="KC490" s="23"/>
      <c r="KD490" s="23"/>
      <c r="KE490" s="23"/>
      <c r="KF490" s="23"/>
      <c r="KG490" s="23"/>
      <c r="KH490" s="23"/>
      <c r="KI490" s="23"/>
      <c r="KJ490" s="23"/>
      <c r="KK490" s="23"/>
      <c r="KL490" s="23"/>
      <c r="KM490" s="23"/>
      <c r="KN490" s="23"/>
      <c r="KO490" s="23"/>
      <c r="KP490" s="23"/>
      <c r="KQ490" s="23"/>
      <c r="KR490" s="23"/>
      <c r="KS490" s="23"/>
      <c r="KT490" s="23"/>
      <c r="KU490" s="23"/>
      <c r="KV490" s="23"/>
      <c r="KW490" s="23"/>
      <c r="KX490" s="23"/>
      <c r="KY490" s="23"/>
      <c r="KZ490" s="23"/>
      <c r="LA490" s="23"/>
      <c r="LB490" s="23"/>
      <c r="LC490" s="23"/>
      <c r="LD490" s="23"/>
      <c r="LE490" s="23"/>
      <c r="LF490" s="23"/>
      <c r="LG490" s="23"/>
      <c r="LH490" s="23"/>
      <c r="LI490" s="23"/>
      <c r="LJ490" s="23"/>
      <c r="LK490" s="23"/>
      <c r="LL490" s="23"/>
      <c r="LM490" s="23"/>
      <c r="LN490" s="23"/>
      <c r="LO490" s="23"/>
    </row>
    <row r="491" spans="1:327">
      <c r="A491" s="390"/>
      <c r="B491" s="23"/>
      <c r="C491" s="391"/>
      <c r="D491" s="391"/>
      <c r="E491" s="23"/>
      <c r="F491" s="23"/>
      <c r="G491" s="392"/>
      <c r="H491" s="392"/>
      <c r="I491" s="392"/>
      <c r="J491" s="392"/>
      <c r="K491" s="392"/>
      <c r="L491" s="392"/>
      <c r="M491" s="392"/>
      <c r="N491" s="23"/>
      <c r="O491" s="39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  <c r="IL491" s="23"/>
      <c r="IM491" s="23"/>
      <c r="IN491" s="23"/>
      <c r="IO491" s="23"/>
      <c r="IP491" s="23"/>
      <c r="IQ491" s="23"/>
      <c r="IR491" s="23"/>
      <c r="IS491" s="23"/>
      <c r="IT491" s="23"/>
      <c r="IU491" s="23"/>
      <c r="IV491" s="23"/>
      <c r="IW491" s="23"/>
      <c r="IX491" s="23"/>
      <c r="IY491" s="23"/>
      <c r="IZ491" s="23"/>
      <c r="JA491" s="23"/>
      <c r="JB491" s="23"/>
      <c r="JC491" s="23"/>
      <c r="JD491" s="23"/>
      <c r="JE491" s="23"/>
      <c r="JF491" s="23"/>
      <c r="JG491" s="23"/>
      <c r="JH491" s="23"/>
      <c r="JI491" s="23"/>
      <c r="JJ491" s="23"/>
      <c r="JK491" s="23"/>
      <c r="JL491" s="23"/>
      <c r="JM491" s="23"/>
      <c r="JN491" s="23"/>
      <c r="JO491" s="23"/>
      <c r="JP491" s="23"/>
      <c r="JQ491" s="23"/>
      <c r="JR491" s="23"/>
      <c r="JS491" s="23"/>
      <c r="JT491" s="23"/>
      <c r="JU491" s="23"/>
      <c r="JV491" s="23"/>
      <c r="JW491" s="23"/>
      <c r="JX491" s="23"/>
      <c r="JY491" s="23"/>
      <c r="JZ491" s="23"/>
      <c r="KA491" s="23"/>
      <c r="KB491" s="23"/>
      <c r="KC491" s="23"/>
      <c r="KD491" s="23"/>
      <c r="KE491" s="23"/>
      <c r="KF491" s="23"/>
      <c r="KG491" s="23"/>
      <c r="KH491" s="23"/>
      <c r="KI491" s="23"/>
      <c r="KJ491" s="23"/>
      <c r="KK491" s="23"/>
      <c r="KL491" s="23"/>
      <c r="KM491" s="23"/>
      <c r="KN491" s="23"/>
      <c r="KO491" s="23"/>
      <c r="KP491" s="23"/>
      <c r="KQ491" s="23"/>
      <c r="KR491" s="23"/>
      <c r="KS491" s="23"/>
      <c r="KT491" s="23"/>
      <c r="KU491" s="23"/>
      <c r="KV491" s="23"/>
      <c r="KW491" s="23"/>
      <c r="KX491" s="23"/>
      <c r="KY491" s="23"/>
      <c r="KZ491" s="23"/>
      <c r="LA491" s="23"/>
      <c r="LB491" s="23"/>
      <c r="LC491" s="23"/>
      <c r="LD491" s="23"/>
      <c r="LE491" s="23"/>
      <c r="LF491" s="23"/>
      <c r="LG491" s="23"/>
      <c r="LH491" s="23"/>
      <c r="LI491" s="23"/>
      <c r="LJ491" s="23"/>
      <c r="LK491" s="23"/>
      <c r="LL491" s="23"/>
      <c r="LM491" s="23"/>
      <c r="LN491" s="23"/>
      <c r="LO491" s="23"/>
    </row>
    <row r="492" spans="1:327">
      <c r="A492" s="390"/>
      <c r="B492" s="23"/>
      <c r="C492" s="391"/>
      <c r="D492" s="391"/>
      <c r="E492" s="23"/>
      <c r="F492" s="23"/>
      <c r="G492" s="392"/>
      <c r="H492" s="392"/>
      <c r="I492" s="392"/>
      <c r="J492" s="392"/>
      <c r="K492" s="392"/>
      <c r="L492" s="392"/>
      <c r="M492" s="392"/>
      <c r="N492" s="23"/>
      <c r="O492" s="39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  <c r="IL492" s="23"/>
      <c r="IM492" s="23"/>
      <c r="IN492" s="23"/>
      <c r="IO492" s="23"/>
      <c r="IP492" s="23"/>
      <c r="IQ492" s="23"/>
      <c r="IR492" s="23"/>
      <c r="IS492" s="23"/>
      <c r="IT492" s="23"/>
      <c r="IU492" s="23"/>
      <c r="IV492" s="23"/>
      <c r="IW492" s="23"/>
      <c r="IX492" s="23"/>
      <c r="IY492" s="23"/>
      <c r="IZ492" s="23"/>
      <c r="JA492" s="23"/>
      <c r="JB492" s="23"/>
      <c r="JC492" s="23"/>
      <c r="JD492" s="23"/>
      <c r="JE492" s="23"/>
      <c r="JF492" s="23"/>
      <c r="JG492" s="23"/>
      <c r="JH492" s="23"/>
      <c r="JI492" s="23"/>
      <c r="JJ492" s="23"/>
      <c r="JK492" s="23"/>
      <c r="JL492" s="23"/>
      <c r="JM492" s="23"/>
      <c r="JN492" s="23"/>
      <c r="JO492" s="23"/>
      <c r="JP492" s="23"/>
      <c r="JQ492" s="23"/>
      <c r="JR492" s="23"/>
      <c r="JS492" s="23"/>
      <c r="JT492" s="23"/>
      <c r="JU492" s="23"/>
      <c r="JV492" s="23"/>
      <c r="JW492" s="23"/>
      <c r="JX492" s="23"/>
      <c r="JY492" s="23"/>
      <c r="JZ492" s="23"/>
      <c r="KA492" s="23"/>
      <c r="KB492" s="23"/>
      <c r="KC492" s="23"/>
      <c r="KD492" s="23"/>
      <c r="KE492" s="23"/>
      <c r="KF492" s="23"/>
      <c r="KG492" s="23"/>
      <c r="KH492" s="23"/>
      <c r="KI492" s="23"/>
      <c r="KJ492" s="23"/>
      <c r="KK492" s="23"/>
      <c r="KL492" s="23"/>
      <c r="KM492" s="23"/>
      <c r="KN492" s="23"/>
      <c r="KO492" s="23"/>
      <c r="KP492" s="23"/>
      <c r="KQ492" s="23"/>
      <c r="KR492" s="23"/>
      <c r="KS492" s="23"/>
      <c r="KT492" s="23"/>
      <c r="KU492" s="23"/>
      <c r="KV492" s="23"/>
      <c r="KW492" s="23"/>
      <c r="KX492" s="23"/>
      <c r="KY492" s="23"/>
      <c r="KZ492" s="23"/>
      <c r="LA492" s="23"/>
      <c r="LB492" s="23"/>
      <c r="LC492" s="23"/>
      <c r="LD492" s="23"/>
      <c r="LE492" s="23"/>
      <c r="LF492" s="23"/>
      <c r="LG492" s="23"/>
      <c r="LH492" s="23"/>
      <c r="LI492" s="23"/>
      <c r="LJ492" s="23"/>
      <c r="LK492" s="23"/>
      <c r="LL492" s="23"/>
      <c r="LM492" s="23"/>
      <c r="LN492" s="23"/>
      <c r="LO492" s="23"/>
    </row>
    <row r="493" spans="1:327">
      <c r="A493" s="390"/>
      <c r="B493" s="23"/>
      <c r="C493" s="391"/>
      <c r="D493" s="391"/>
      <c r="E493" s="23"/>
      <c r="F493" s="23"/>
      <c r="G493" s="392"/>
      <c r="H493" s="392"/>
      <c r="I493" s="392"/>
      <c r="J493" s="392"/>
      <c r="K493" s="392"/>
      <c r="L493" s="392"/>
      <c r="M493" s="392"/>
      <c r="N493" s="23"/>
      <c r="O493" s="39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  <c r="IL493" s="23"/>
      <c r="IM493" s="23"/>
      <c r="IN493" s="23"/>
      <c r="IO493" s="23"/>
      <c r="IP493" s="23"/>
      <c r="IQ493" s="23"/>
      <c r="IR493" s="23"/>
      <c r="IS493" s="23"/>
      <c r="IT493" s="23"/>
      <c r="IU493" s="23"/>
      <c r="IV493" s="23"/>
      <c r="IW493" s="23"/>
      <c r="IX493" s="23"/>
      <c r="IY493" s="23"/>
      <c r="IZ493" s="23"/>
      <c r="JA493" s="23"/>
      <c r="JB493" s="23"/>
      <c r="JC493" s="23"/>
      <c r="JD493" s="23"/>
      <c r="JE493" s="23"/>
      <c r="JF493" s="23"/>
      <c r="JG493" s="23"/>
      <c r="JH493" s="23"/>
      <c r="JI493" s="23"/>
      <c r="JJ493" s="23"/>
      <c r="JK493" s="23"/>
      <c r="JL493" s="23"/>
      <c r="JM493" s="23"/>
      <c r="JN493" s="23"/>
      <c r="JO493" s="23"/>
      <c r="JP493" s="23"/>
      <c r="JQ493" s="23"/>
      <c r="JR493" s="23"/>
      <c r="JS493" s="23"/>
      <c r="JT493" s="23"/>
      <c r="JU493" s="23"/>
      <c r="JV493" s="23"/>
      <c r="JW493" s="23"/>
      <c r="JX493" s="23"/>
      <c r="JY493" s="23"/>
      <c r="JZ493" s="23"/>
      <c r="KA493" s="23"/>
      <c r="KB493" s="23"/>
      <c r="KC493" s="23"/>
      <c r="KD493" s="23"/>
      <c r="KE493" s="23"/>
      <c r="KF493" s="23"/>
      <c r="KG493" s="23"/>
      <c r="KH493" s="23"/>
      <c r="KI493" s="23"/>
      <c r="KJ493" s="23"/>
      <c r="KK493" s="23"/>
      <c r="KL493" s="23"/>
      <c r="KM493" s="23"/>
      <c r="KN493" s="23"/>
      <c r="KO493" s="23"/>
      <c r="KP493" s="23"/>
      <c r="KQ493" s="23"/>
      <c r="KR493" s="23"/>
      <c r="KS493" s="23"/>
      <c r="KT493" s="23"/>
      <c r="KU493" s="23"/>
      <c r="KV493" s="23"/>
      <c r="KW493" s="23"/>
      <c r="KX493" s="23"/>
      <c r="KY493" s="23"/>
      <c r="KZ493" s="23"/>
      <c r="LA493" s="23"/>
      <c r="LB493" s="23"/>
      <c r="LC493" s="23"/>
      <c r="LD493" s="23"/>
      <c r="LE493" s="23"/>
      <c r="LF493" s="23"/>
      <c r="LG493" s="23"/>
      <c r="LH493" s="23"/>
      <c r="LI493" s="23"/>
      <c r="LJ493" s="23"/>
      <c r="LK493" s="23"/>
      <c r="LL493" s="23"/>
      <c r="LM493" s="23"/>
      <c r="LN493" s="23"/>
      <c r="LO493" s="23"/>
    </row>
    <row r="494" spans="1:327">
      <c r="A494" s="390"/>
      <c r="B494" s="23"/>
      <c r="C494" s="391"/>
      <c r="D494" s="391"/>
      <c r="E494" s="23"/>
      <c r="F494" s="23"/>
      <c r="G494" s="392"/>
      <c r="H494" s="392"/>
      <c r="I494" s="392"/>
      <c r="J494" s="392"/>
      <c r="K494" s="392"/>
      <c r="L494" s="392"/>
      <c r="M494" s="392"/>
      <c r="N494" s="23"/>
      <c r="O494" s="39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  <c r="IL494" s="23"/>
      <c r="IM494" s="23"/>
      <c r="IN494" s="23"/>
      <c r="IO494" s="23"/>
      <c r="IP494" s="23"/>
      <c r="IQ494" s="23"/>
      <c r="IR494" s="23"/>
      <c r="IS494" s="23"/>
      <c r="IT494" s="23"/>
      <c r="IU494" s="23"/>
      <c r="IV494" s="23"/>
      <c r="IW494" s="23"/>
      <c r="IX494" s="23"/>
      <c r="IY494" s="23"/>
      <c r="IZ494" s="23"/>
      <c r="JA494" s="23"/>
      <c r="JB494" s="23"/>
      <c r="JC494" s="23"/>
      <c r="JD494" s="23"/>
      <c r="JE494" s="23"/>
      <c r="JF494" s="23"/>
      <c r="JG494" s="23"/>
      <c r="JH494" s="23"/>
      <c r="JI494" s="23"/>
      <c r="JJ494" s="23"/>
      <c r="JK494" s="23"/>
      <c r="JL494" s="23"/>
      <c r="JM494" s="23"/>
      <c r="JN494" s="23"/>
      <c r="JO494" s="23"/>
      <c r="JP494" s="23"/>
      <c r="JQ494" s="23"/>
      <c r="JR494" s="23"/>
      <c r="JS494" s="23"/>
      <c r="JT494" s="23"/>
      <c r="JU494" s="23"/>
      <c r="JV494" s="23"/>
      <c r="JW494" s="23"/>
      <c r="JX494" s="23"/>
      <c r="JY494" s="23"/>
      <c r="JZ494" s="23"/>
      <c r="KA494" s="23"/>
      <c r="KB494" s="23"/>
      <c r="KC494" s="23"/>
      <c r="KD494" s="23"/>
      <c r="KE494" s="23"/>
      <c r="KF494" s="23"/>
      <c r="KG494" s="23"/>
      <c r="KH494" s="23"/>
      <c r="KI494" s="23"/>
      <c r="KJ494" s="23"/>
      <c r="KK494" s="23"/>
      <c r="KL494" s="23"/>
      <c r="KM494" s="23"/>
      <c r="KN494" s="23"/>
      <c r="KO494" s="23"/>
      <c r="KP494" s="23"/>
      <c r="KQ494" s="23"/>
      <c r="KR494" s="23"/>
      <c r="KS494" s="23"/>
      <c r="KT494" s="23"/>
      <c r="KU494" s="23"/>
      <c r="KV494" s="23"/>
      <c r="KW494" s="23"/>
      <c r="KX494" s="23"/>
      <c r="KY494" s="23"/>
      <c r="KZ494" s="23"/>
      <c r="LA494" s="23"/>
      <c r="LB494" s="23"/>
      <c r="LC494" s="23"/>
      <c r="LD494" s="23"/>
      <c r="LE494" s="23"/>
      <c r="LF494" s="23"/>
      <c r="LG494" s="23"/>
      <c r="LH494" s="23"/>
      <c r="LI494" s="23"/>
      <c r="LJ494" s="23"/>
      <c r="LK494" s="23"/>
      <c r="LL494" s="23"/>
      <c r="LM494" s="23"/>
      <c r="LN494" s="23"/>
      <c r="LO494" s="23"/>
    </row>
    <row r="495" spans="1:327">
      <c r="A495" s="390"/>
      <c r="B495" s="23"/>
      <c r="C495" s="391"/>
      <c r="D495" s="391"/>
      <c r="E495" s="23"/>
      <c r="F495" s="23"/>
      <c r="G495" s="392"/>
      <c r="H495" s="392"/>
      <c r="I495" s="392"/>
      <c r="J495" s="392"/>
      <c r="K495" s="392"/>
      <c r="L495" s="392"/>
      <c r="M495" s="392"/>
      <c r="N495" s="23"/>
      <c r="O495" s="39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  <c r="IL495" s="23"/>
      <c r="IM495" s="23"/>
      <c r="IN495" s="23"/>
      <c r="IO495" s="23"/>
      <c r="IP495" s="23"/>
      <c r="IQ495" s="23"/>
      <c r="IR495" s="23"/>
      <c r="IS495" s="23"/>
      <c r="IT495" s="23"/>
      <c r="IU495" s="23"/>
      <c r="IV495" s="23"/>
      <c r="IW495" s="23"/>
      <c r="IX495" s="23"/>
      <c r="IY495" s="23"/>
      <c r="IZ495" s="23"/>
      <c r="JA495" s="23"/>
      <c r="JB495" s="23"/>
      <c r="JC495" s="23"/>
      <c r="JD495" s="23"/>
      <c r="JE495" s="23"/>
      <c r="JF495" s="23"/>
      <c r="JG495" s="23"/>
      <c r="JH495" s="23"/>
      <c r="JI495" s="23"/>
      <c r="JJ495" s="23"/>
      <c r="JK495" s="23"/>
      <c r="JL495" s="23"/>
      <c r="JM495" s="23"/>
      <c r="JN495" s="23"/>
      <c r="JO495" s="23"/>
      <c r="JP495" s="23"/>
      <c r="JQ495" s="23"/>
      <c r="JR495" s="23"/>
      <c r="JS495" s="23"/>
      <c r="JT495" s="23"/>
      <c r="JU495" s="23"/>
      <c r="JV495" s="23"/>
      <c r="JW495" s="23"/>
      <c r="JX495" s="23"/>
      <c r="JY495" s="23"/>
      <c r="JZ495" s="23"/>
      <c r="KA495" s="23"/>
      <c r="KB495" s="23"/>
      <c r="KC495" s="23"/>
      <c r="KD495" s="23"/>
      <c r="KE495" s="23"/>
      <c r="KF495" s="23"/>
      <c r="KG495" s="23"/>
      <c r="KH495" s="23"/>
      <c r="KI495" s="23"/>
      <c r="KJ495" s="23"/>
      <c r="KK495" s="23"/>
      <c r="KL495" s="23"/>
      <c r="KM495" s="23"/>
      <c r="KN495" s="23"/>
      <c r="KO495" s="23"/>
      <c r="KP495" s="23"/>
      <c r="KQ495" s="23"/>
      <c r="KR495" s="23"/>
      <c r="KS495" s="23"/>
      <c r="KT495" s="23"/>
      <c r="KU495" s="23"/>
      <c r="KV495" s="23"/>
      <c r="KW495" s="23"/>
      <c r="KX495" s="23"/>
      <c r="KY495" s="23"/>
      <c r="KZ495" s="23"/>
      <c r="LA495" s="23"/>
      <c r="LB495" s="23"/>
      <c r="LC495" s="23"/>
      <c r="LD495" s="23"/>
      <c r="LE495" s="23"/>
      <c r="LF495" s="23"/>
      <c r="LG495" s="23"/>
      <c r="LH495" s="23"/>
      <c r="LI495" s="23"/>
      <c r="LJ495" s="23"/>
      <c r="LK495" s="23"/>
      <c r="LL495" s="23"/>
      <c r="LM495" s="23"/>
      <c r="LN495" s="23"/>
      <c r="LO495" s="23"/>
    </row>
    <row r="496" spans="1:327">
      <c r="A496" s="390"/>
      <c r="B496" s="23"/>
      <c r="C496" s="391"/>
      <c r="D496" s="391"/>
      <c r="E496" s="23"/>
      <c r="F496" s="23"/>
      <c r="G496" s="392"/>
      <c r="H496" s="392"/>
      <c r="I496" s="392"/>
      <c r="J496" s="392"/>
      <c r="K496" s="392"/>
      <c r="L496" s="392"/>
      <c r="M496" s="392"/>
      <c r="N496" s="23"/>
      <c r="O496" s="39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  <c r="IL496" s="23"/>
      <c r="IM496" s="23"/>
      <c r="IN496" s="23"/>
      <c r="IO496" s="23"/>
      <c r="IP496" s="23"/>
      <c r="IQ496" s="23"/>
      <c r="IR496" s="23"/>
      <c r="IS496" s="23"/>
      <c r="IT496" s="23"/>
      <c r="IU496" s="23"/>
      <c r="IV496" s="23"/>
      <c r="IW496" s="23"/>
      <c r="IX496" s="23"/>
      <c r="IY496" s="23"/>
      <c r="IZ496" s="23"/>
      <c r="JA496" s="23"/>
      <c r="JB496" s="23"/>
      <c r="JC496" s="23"/>
      <c r="JD496" s="23"/>
      <c r="JE496" s="23"/>
      <c r="JF496" s="23"/>
      <c r="JG496" s="23"/>
      <c r="JH496" s="23"/>
      <c r="JI496" s="23"/>
      <c r="JJ496" s="23"/>
      <c r="JK496" s="23"/>
      <c r="JL496" s="23"/>
      <c r="JM496" s="23"/>
      <c r="JN496" s="23"/>
      <c r="JO496" s="23"/>
      <c r="JP496" s="23"/>
      <c r="JQ496" s="23"/>
      <c r="JR496" s="23"/>
      <c r="JS496" s="23"/>
      <c r="JT496" s="23"/>
      <c r="JU496" s="23"/>
      <c r="JV496" s="23"/>
      <c r="JW496" s="23"/>
      <c r="JX496" s="23"/>
      <c r="JY496" s="23"/>
      <c r="JZ496" s="23"/>
      <c r="KA496" s="23"/>
      <c r="KB496" s="23"/>
      <c r="KC496" s="23"/>
      <c r="KD496" s="23"/>
      <c r="KE496" s="23"/>
      <c r="KF496" s="23"/>
      <c r="KG496" s="23"/>
      <c r="KH496" s="23"/>
      <c r="KI496" s="23"/>
      <c r="KJ496" s="23"/>
      <c r="KK496" s="23"/>
      <c r="KL496" s="23"/>
      <c r="KM496" s="23"/>
      <c r="KN496" s="23"/>
      <c r="KO496" s="23"/>
      <c r="KP496" s="23"/>
      <c r="KQ496" s="23"/>
      <c r="KR496" s="23"/>
      <c r="KS496" s="23"/>
      <c r="KT496" s="23"/>
      <c r="KU496" s="23"/>
      <c r="KV496" s="23"/>
      <c r="KW496" s="23"/>
      <c r="KX496" s="23"/>
      <c r="KY496" s="23"/>
      <c r="KZ496" s="23"/>
      <c r="LA496" s="23"/>
      <c r="LB496" s="23"/>
      <c r="LC496" s="23"/>
      <c r="LD496" s="23"/>
      <c r="LE496" s="23"/>
      <c r="LF496" s="23"/>
      <c r="LG496" s="23"/>
      <c r="LH496" s="23"/>
      <c r="LI496" s="23"/>
      <c r="LJ496" s="23"/>
      <c r="LK496" s="23"/>
      <c r="LL496" s="23"/>
      <c r="LM496" s="23"/>
      <c r="LN496" s="23"/>
      <c r="LO496" s="23"/>
    </row>
    <row r="497" spans="1:327">
      <c r="A497" s="390"/>
      <c r="B497" s="23"/>
      <c r="C497" s="391"/>
      <c r="D497" s="391"/>
      <c r="E497" s="23"/>
      <c r="F497" s="23"/>
      <c r="G497" s="392"/>
      <c r="H497" s="392"/>
      <c r="I497" s="392"/>
      <c r="J497" s="392"/>
      <c r="K497" s="392"/>
      <c r="L497" s="392"/>
      <c r="M497" s="392"/>
      <c r="N497" s="23"/>
      <c r="O497" s="39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  <c r="IL497" s="23"/>
      <c r="IM497" s="23"/>
      <c r="IN497" s="23"/>
      <c r="IO497" s="23"/>
      <c r="IP497" s="23"/>
      <c r="IQ497" s="23"/>
      <c r="IR497" s="23"/>
      <c r="IS497" s="23"/>
      <c r="IT497" s="23"/>
      <c r="IU497" s="23"/>
      <c r="IV497" s="23"/>
      <c r="IW497" s="23"/>
      <c r="IX497" s="23"/>
      <c r="IY497" s="23"/>
      <c r="IZ497" s="23"/>
      <c r="JA497" s="23"/>
      <c r="JB497" s="23"/>
      <c r="JC497" s="23"/>
      <c r="JD497" s="23"/>
      <c r="JE497" s="23"/>
      <c r="JF497" s="23"/>
      <c r="JG497" s="23"/>
      <c r="JH497" s="23"/>
      <c r="JI497" s="23"/>
      <c r="JJ497" s="23"/>
      <c r="JK497" s="23"/>
      <c r="JL497" s="23"/>
      <c r="JM497" s="23"/>
      <c r="JN497" s="23"/>
      <c r="JO497" s="23"/>
      <c r="JP497" s="23"/>
      <c r="JQ497" s="23"/>
      <c r="JR497" s="23"/>
      <c r="JS497" s="23"/>
      <c r="JT497" s="23"/>
      <c r="JU497" s="23"/>
      <c r="JV497" s="23"/>
      <c r="JW497" s="23"/>
      <c r="JX497" s="23"/>
      <c r="JY497" s="23"/>
      <c r="JZ497" s="23"/>
      <c r="KA497" s="23"/>
      <c r="KB497" s="23"/>
      <c r="KC497" s="23"/>
      <c r="KD497" s="23"/>
      <c r="KE497" s="23"/>
      <c r="KF497" s="23"/>
      <c r="KG497" s="23"/>
      <c r="KH497" s="23"/>
      <c r="KI497" s="23"/>
      <c r="KJ497" s="23"/>
      <c r="KK497" s="23"/>
      <c r="KL497" s="23"/>
      <c r="KM497" s="23"/>
      <c r="KN497" s="23"/>
      <c r="KO497" s="23"/>
      <c r="KP497" s="23"/>
      <c r="KQ497" s="23"/>
      <c r="KR497" s="23"/>
      <c r="KS497" s="23"/>
      <c r="KT497" s="23"/>
      <c r="KU497" s="23"/>
      <c r="KV497" s="23"/>
      <c r="KW497" s="23"/>
      <c r="KX497" s="23"/>
      <c r="KY497" s="23"/>
      <c r="KZ497" s="23"/>
      <c r="LA497" s="23"/>
      <c r="LB497" s="23"/>
      <c r="LC497" s="23"/>
      <c r="LD497" s="23"/>
      <c r="LE497" s="23"/>
      <c r="LF497" s="23"/>
      <c r="LG497" s="23"/>
      <c r="LH497" s="23"/>
      <c r="LI497" s="23"/>
      <c r="LJ497" s="23"/>
      <c r="LK497" s="23"/>
      <c r="LL497" s="23"/>
      <c r="LM497" s="23"/>
      <c r="LN497" s="23"/>
      <c r="LO497" s="23"/>
    </row>
    <row r="498" spans="1:327">
      <c r="A498" s="390"/>
      <c r="B498" s="23"/>
      <c r="C498" s="391"/>
      <c r="D498" s="391"/>
      <c r="E498" s="23"/>
      <c r="F498" s="23"/>
      <c r="G498" s="392"/>
      <c r="H498" s="392"/>
      <c r="I498" s="392"/>
      <c r="J498" s="392"/>
      <c r="K498" s="392"/>
      <c r="L498" s="392"/>
      <c r="M498" s="392"/>
      <c r="N498" s="23"/>
      <c r="O498" s="39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  <c r="IL498" s="23"/>
      <c r="IM498" s="23"/>
      <c r="IN498" s="23"/>
      <c r="IO498" s="23"/>
      <c r="IP498" s="23"/>
      <c r="IQ498" s="23"/>
      <c r="IR498" s="23"/>
      <c r="IS498" s="23"/>
      <c r="IT498" s="23"/>
      <c r="IU498" s="23"/>
      <c r="IV498" s="23"/>
      <c r="IW498" s="23"/>
      <c r="IX498" s="23"/>
      <c r="IY498" s="23"/>
      <c r="IZ498" s="23"/>
      <c r="JA498" s="23"/>
      <c r="JB498" s="23"/>
      <c r="JC498" s="23"/>
      <c r="JD498" s="23"/>
      <c r="JE498" s="23"/>
      <c r="JF498" s="23"/>
      <c r="JG498" s="23"/>
      <c r="JH498" s="23"/>
      <c r="JI498" s="23"/>
      <c r="JJ498" s="23"/>
      <c r="JK498" s="23"/>
      <c r="JL498" s="23"/>
      <c r="JM498" s="23"/>
      <c r="JN498" s="23"/>
      <c r="JO498" s="23"/>
      <c r="JP498" s="23"/>
      <c r="JQ498" s="23"/>
      <c r="JR498" s="23"/>
      <c r="JS498" s="23"/>
      <c r="JT498" s="23"/>
      <c r="JU498" s="23"/>
      <c r="JV498" s="23"/>
      <c r="JW498" s="23"/>
      <c r="JX498" s="23"/>
      <c r="JY498" s="23"/>
      <c r="JZ498" s="23"/>
      <c r="KA498" s="23"/>
      <c r="KB498" s="23"/>
      <c r="KC498" s="23"/>
      <c r="KD498" s="23"/>
      <c r="KE498" s="23"/>
      <c r="KF498" s="23"/>
      <c r="KG498" s="23"/>
      <c r="KH498" s="23"/>
      <c r="KI498" s="23"/>
      <c r="KJ498" s="23"/>
      <c r="KK498" s="23"/>
      <c r="KL498" s="23"/>
      <c r="KM498" s="23"/>
      <c r="KN498" s="23"/>
      <c r="KO498" s="23"/>
      <c r="KP498" s="23"/>
      <c r="KQ498" s="23"/>
      <c r="KR498" s="23"/>
      <c r="KS498" s="23"/>
      <c r="KT498" s="23"/>
      <c r="KU498" s="23"/>
      <c r="KV498" s="23"/>
      <c r="KW498" s="23"/>
      <c r="KX498" s="23"/>
      <c r="KY498" s="23"/>
      <c r="KZ498" s="23"/>
      <c r="LA498" s="23"/>
      <c r="LB498" s="23"/>
      <c r="LC498" s="23"/>
      <c r="LD498" s="23"/>
      <c r="LE498" s="23"/>
      <c r="LF498" s="23"/>
      <c r="LG498" s="23"/>
      <c r="LH498" s="23"/>
      <c r="LI498" s="23"/>
      <c r="LJ498" s="23"/>
      <c r="LK498" s="23"/>
      <c r="LL498" s="23"/>
      <c r="LM498" s="23"/>
      <c r="LN498" s="23"/>
      <c r="LO498" s="23"/>
    </row>
    <row r="499" spans="1:327">
      <c r="A499" s="390"/>
      <c r="B499" s="23"/>
      <c r="C499" s="391"/>
      <c r="D499" s="391"/>
      <c r="E499" s="23"/>
      <c r="F499" s="23"/>
      <c r="G499" s="392"/>
      <c r="H499" s="392"/>
      <c r="I499" s="392"/>
      <c r="J499" s="392"/>
      <c r="K499" s="392"/>
      <c r="L499" s="392"/>
      <c r="M499" s="392"/>
      <c r="N499" s="23"/>
      <c r="O499" s="39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  <c r="IL499" s="23"/>
      <c r="IM499" s="23"/>
      <c r="IN499" s="23"/>
      <c r="IO499" s="23"/>
      <c r="IP499" s="23"/>
      <c r="IQ499" s="23"/>
      <c r="IR499" s="23"/>
      <c r="IS499" s="23"/>
      <c r="IT499" s="23"/>
      <c r="IU499" s="23"/>
      <c r="IV499" s="23"/>
      <c r="IW499" s="23"/>
      <c r="IX499" s="23"/>
      <c r="IY499" s="23"/>
      <c r="IZ499" s="23"/>
      <c r="JA499" s="23"/>
      <c r="JB499" s="23"/>
      <c r="JC499" s="23"/>
      <c r="JD499" s="23"/>
      <c r="JE499" s="23"/>
      <c r="JF499" s="23"/>
      <c r="JG499" s="23"/>
      <c r="JH499" s="23"/>
      <c r="JI499" s="23"/>
      <c r="JJ499" s="23"/>
      <c r="JK499" s="23"/>
      <c r="JL499" s="23"/>
      <c r="JM499" s="23"/>
      <c r="JN499" s="23"/>
      <c r="JO499" s="23"/>
      <c r="JP499" s="23"/>
      <c r="JQ499" s="23"/>
      <c r="JR499" s="23"/>
      <c r="JS499" s="23"/>
      <c r="JT499" s="23"/>
      <c r="JU499" s="23"/>
      <c r="JV499" s="23"/>
      <c r="JW499" s="23"/>
      <c r="JX499" s="23"/>
      <c r="JY499" s="23"/>
      <c r="JZ499" s="23"/>
      <c r="KA499" s="23"/>
      <c r="KB499" s="23"/>
      <c r="KC499" s="23"/>
      <c r="KD499" s="23"/>
      <c r="KE499" s="23"/>
      <c r="KF499" s="23"/>
      <c r="KG499" s="23"/>
      <c r="KH499" s="23"/>
      <c r="KI499" s="23"/>
      <c r="KJ499" s="23"/>
      <c r="KK499" s="23"/>
      <c r="KL499" s="23"/>
      <c r="KM499" s="23"/>
      <c r="KN499" s="23"/>
      <c r="KO499" s="23"/>
      <c r="KP499" s="23"/>
      <c r="KQ499" s="23"/>
      <c r="KR499" s="23"/>
      <c r="KS499" s="23"/>
      <c r="KT499" s="23"/>
      <c r="KU499" s="23"/>
      <c r="KV499" s="23"/>
      <c r="KW499" s="23"/>
      <c r="KX499" s="23"/>
      <c r="KY499" s="23"/>
      <c r="KZ499" s="23"/>
      <c r="LA499" s="23"/>
      <c r="LB499" s="23"/>
      <c r="LC499" s="23"/>
      <c r="LD499" s="23"/>
      <c r="LE499" s="23"/>
      <c r="LF499" s="23"/>
      <c r="LG499" s="23"/>
      <c r="LH499" s="23"/>
      <c r="LI499" s="23"/>
      <c r="LJ499" s="23"/>
      <c r="LK499" s="23"/>
      <c r="LL499" s="23"/>
      <c r="LM499" s="23"/>
      <c r="LN499" s="23"/>
      <c r="LO499" s="23"/>
    </row>
    <row r="500" spans="1:327">
      <c r="A500" s="390"/>
      <c r="B500" s="23"/>
      <c r="C500" s="391"/>
      <c r="D500" s="391"/>
      <c r="E500" s="23"/>
      <c r="F500" s="23"/>
      <c r="G500" s="392"/>
      <c r="H500" s="392"/>
      <c r="I500" s="392"/>
      <c r="J500" s="392"/>
      <c r="K500" s="392"/>
      <c r="L500" s="392"/>
      <c r="M500" s="392"/>
      <c r="N500" s="23"/>
      <c r="O500" s="39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  <c r="IL500" s="23"/>
      <c r="IM500" s="23"/>
      <c r="IN500" s="23"/>
      <c r="IO500" s="23"/>
      <c r="IP500" s="23"/>
      <c r="IQ500" s="23"/>
      <c r="IR500" s="23"/>
      <c r="IS500" s="23"/>
      <c r="IT500" s="23"/>
      <c r="IU500" s="23"/>
      <c r="IV500" s="23"/>
      <c r="IW500" s="23"/>
      <c r="IX500" s="23"/>
      <c r="IY500" s="23"/>
      <c r="IZ500" s="23"/>
      <c r="JA500" s="23"/>
      <c r="JB500" s="23"/>
      <c r="JC500" s="23"/>
      <c r="JD500" s="23"/>
      <c r="JE500" s="23"/>
      <c r="JF500" s="23"/>
      <c r="JG500" s="23"/>
      <c r="JH500" s="23"/>
      <c r="JI500" s="23"/>
      <c r="JJ500" s="23"/>
      <c r="JK500" s="23"/>
      <c r="JL500" s="23"/>
      <c r="JM500" s="23"/>
      <c r="JN500" s="23"/>
      <c r="JO500" s="23"/>
      <c r="JP500" s="23"/>
      <c r="JQ500" s="23"/>
      <c r="JR500" s="23"/>
      <c r="JS500" s="23"/>
      <c r="JT500" s="23"/>
      <c r="JU500" s="23"/>
      <c r="JV500" s="23"/>
      <c r="JW500" s="23"/>
      <c r="JX500" s="23"/>
      <c r="JY500" s="23"/>
      <c r="JZ500" s="23"/>
      <c r="KA500" s="23"/>
      <c r="KB500" s="23"/>
      <c r="KC500" s="23"/>
      <c r="KD500" s="23"/>
      <c r="KE500" s="23"/>
      <c r="KF500" s="23"/>
      <c r="KG500" s="23"/>
      <c r="KH500" s="23"/>
      <c r="KI500" s="23"/>
      <c r="KJ500" s="23"/>
      <c r="KK500" s="23"/>
      <c r="KL500" s="23"/>
      <c r="KM500" s="23"/>
      <c r="KN500" s="23"/>
      <c r="KO500" s="23"/>
      <c r="KP500" s="23"/>
      <c r="KQ500" s="23"/>
      <c r="KR500" s="23"/>
      <c r="KS500" s="23"/>
      <c r="KT500" s="23"/>
      <c r="KU500" s="23"/>
      <c r="KV500" s="23"/>
      <c r="KW500" s="23"/>
      <c r="KX500" s="23"/>
      <c r="KY500" s="23"/>
      <c r="KZ500" s="23"/>
      <c r="LA500" s="23"/>
      <c r="LB500" s="23"/>
      <c r="LC500" s="23"/>
      <c r="LD500" s="23"/>
      <c r="LE500" s="23"/>
      <c r="LF500" s="23"/>
      <c r="LG500" s="23"/>
      <c r="LH500" s="23"/>
      <c r="LI500" s="23"/>
      <c r="LJ500" s="23"/>
      <c r="LK500" s="23"/>
      <c r="LL500" s="23"/>
      <c r="LM500" s="23"/>
      <c r="LN500" s="23"/>
      <c r="LO500" s="23"/>
    </row>
    <row r="501" spans="1:327">
      <c r="A501" s="390"/>
      <c r="B501" s="23"/>
      <c r="C501" s="391"/>
      <c r="D501" s="391"/>
      <c r="E501" s="23"/>
      <c r="F501" s="23"/>
      <c r="G501" s="392"/>
      <c r="H501" s="392"/>
      <c r="I501" s="392"/>
      <c r="J501" s="392"/>
      <c r="K501" s="392"/>
      <c r="L501" s="392"/>
      <c r="M501" s="392"/>
      <c r="N501" s="23"/>
      <c r="O501" s="39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  <c r="IL501" s="23"/>
      <c r="IM501" s="23"/>
      <c r="IN501" s="23"/>
      <c r="IO501" s="23"/>
      <c r="IP501" s="23"/>
      <c r="IQ501" s="23"/>
      <c r="IR501" s="23"/>
      <c r="IS501" s="23"/>
      <c r="IT501" s="23"/>
      <c r="IU501" s="23"/>
      <c r="IV501" s="23"/>
      <c r="IW501" s="23"/>
      <c r="IX501" s="23"/>
      <c r="IY501" s="23"/>
      <c r="IZ501" s="23"/>
      <c r="JA501" s="23"/>
      <c r="JB501" s="23"/>
      <c r="JC501" s="23"/>
      <c r="JD501" s="23"/>
      <c r="JE501" s="23"/>
      <c r="JF501" s="23"/>
      <c r="JG501" s="23"/>
      <c r="JH501" s="23"/>
      <c r="JI501" s="23"/>
      <c r="JJ501" s="23"/>
      <c r="JK501" s="23"/>
      <c r="JL501" s="23"/>
      <c r="JM501" s="23"/>
      <c r="JN501" s="23"/>
      <c r="JO501" s="23"/>
      <c r="JP501" s="23"/>
      <c r="JQ501" s="23"/>
      <c r="JR501" s="23"/>
      <c r="JS501" s="23"/>
      <c r="JT501" s="23"/>
      <c r="JU501" s="23"/>
      <c r="JV501" s="23"/>
      <c r="JW501" s="23"/>
      <c r="JX501" s="23"/>
      <c r="JY501" s="23"/>
      <c r="JZ501" s="23"/>
      <c r="KA501" s="23"/>
      <c r="KB501" s="23"/>
      <c r="KC501" s="23"/>
      <c r="KD501" s="23"/>
      <c r="KE501" s="23"/>
      <c r="KF501" s="23"/>
      <c r="KG501" s="23"/>
      <c r="KH501" s="23"/>
      <c r="KI501" s="23"/>
      <c r="KJ501" s="23"/>
      <c r="KK501" s="23"/>
      <c r="KL501" s="23"/>
      <c r="KM501" s="23"/>
      <c r="KN501" s="23"/>
      <c r="KO501" s="23"/>
      <c r="KP501" s="23"/>
      <c r="KQ501" s="23"/>
      <c r="KR501" s="23"/>
      <c r="KS501" s="23"/>
      <c r="KT501" s="23"/>
      <c r="KU501" s="23"/>
      <c r="KV501" s="23"/>
      <c r="KW501" s="23"/>
      <c r="KX501" s="23"/>
      <c r="KY501" s="23"/>
      <c r="KZ501" s="23"/>
      <c r="LA501" s="23"/>
      <c r="LB501" s="23"/>
      <c r="LC501" s="23"/>
      <c r="LD501" s="23"/>
      <c r="LE501" s="23"/>
      <c r="LF501" s="23"/>
      <c r="LG501" s="23"/>
      <c r="LH501" s="23"/>
      <c r="LI501" s="23"/>
      <c r="LJ501" s="23"/>
      <c r="LK501" s="23"/>
      <c r="LL501" s="23"/>
      <c r="LM501" s="23"/>
      <c r="LN501" s="23"/>
      <c r="LO501" s="23"/>
    </row>
    <row r="502" spans="1:327">
      <c r="A502" s="390"/>
      <c r="B502" s="23"/>
      <c r="C502" s="391"/>
      <c r="D502" s="391"/>
      <c r="E502" s="23"/>
      <c r="F502" s="23"/>
      <c r="G502" s="392"/>
      <c r="H502" s="392"/>
      <c r="I502" s="392"/>
      <c r="J502" s="392"/>
      <c r="K502" s="392"/>
      <c r="L502" s="392"/>
      <c r="M502" s="392"/>
      <c r="N502" s="23"/>
      <c r="O502" s="39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  <c r="IL502" s="23"/>
      <c r="IM502" s="23"/>
      <c r="IN502" s="23"/>
      <c r="IO502" s="23"/>
      <c r="IP502" s="23"/>
      <c r="IQ502" s="23"/>
      <c r="IR502" s="23"/>
      <c r="IS502" s="23"/>
      <c r="IT502" s="23"/>
      <c r="IU502" s="23"/>
      <c r="IV502" s="23"/>
      <c r="IW502" s="23"/>
      <c r="IX502" s="23"/>
      <c r="IY502" s="23"/>
      <c r="IZ502" s="23"/>
      <c r="JA502" s="23"/>
      <c r="JB502" s="23"/>
      <c r="JC502" s="23"/>
      <c r="JD502" s="23"/>
      <c r="JE502" s="23"/>
      <c r="JF502" s="23"/>
      <c r="JG502" s="23"/>
      <c r="JH502" s="23"/>
      <c r="JI502" s="23"/>
      <c r="JJ502" s="23"/>
      <c r="JK502" s="23"/>
      <c r="JL502" s="23"/>
      <c r="JM502" s="23"/>
      <c r="JN502" s="23"/>
      <c r="JO502" s="23"/>
      <c r="JP502" s="23"/>
      <c r="JQ502" s="23"/>
      <c r="JR502" s="23"/>
      <c r="JS502" s="23"/>
      <c r="JT502" s="23"/>
      <c r="JU502" s="23"/>
      <c r="JV502" s="23"/>
      <c r="JW502" s="23"/>
      <c r="JX502" s="23"/>
      <c r="JY502" s="23"/>
      <c r="JZ502" s="23"/>
      <c r="KA502" s="23"/>
      <c r="KB502" s="23"/>
      <c r="KC502" s="23"/>
      <c r="KD502" s="23"/>
      <c r="KE502" s="23"/>
      <c r="KF502" s="23"/>
      <c r="KG502" s="23"/>
      <c r="KH502" s="23"/>
      <c r="KI502" s="23"/>
      <c r="KJ502" s="23"/>
      <c r="KK502" s="23"/>
      <c r="KL502" s="23"/>
      <c r="KM502" s="23"/>
      <c r="KN502" s="23"/>
      <c r="KO502" s="23"/>
      <c r="KP502" s="23"/>
      <c r="KQ502" s="23"/>
      <c r="KR502" s="23"/>
      <c r="KS502" s="23"/>
      <c r="KT502" s="23"/>
      <c r="KU502" s="23"/>
      <c r="KV502" s="23"/>
      <c r="KW502" s="23"/>
      <c r="KX502" s="23"/>
      <c r="KY502" s="23"/>
      <c r="KZ502" s="23"/>
      <c r="LA502" s="23"/>
      <c r="LB502" s="23"/>
      <c r="LC502" s="23"/>
      <c r="LD502" s="23"/>
      <c r="LE502" s="23"/>
      <c r="LF502" s="23"/>
      <c r="LG502" s="23"/>
      <c r="LH502" s="23"/>
      <c r="LI502" s="23"/>
      <c r="LJ502" s="23"/>
      <c r="LK502" s="23"/>
      <c r="LL502" s="23"/>
      <c r="LM502" s="23"/>
      <c r="LN502" s="23"/>
      <c r="LO502" s="23"/>
    </row>
    <row r="503" spans="1:327">
      <c r="A503" s="390"/>
      <c r="B503" s="23"/>
      <c r="C503" s="391"/>
      <c r="D503" s="391"/>
      <c r="E503" s="23"/>
      <c r="F503" s="23"/>
      <c r="G503" s="392"/>
      <c r="H503" s="392"/>
      <c r="I503" s="392"/>
      <c r="J503" s="392"/>
      <c r="K503" s="392"/>
      <c r="L503" s="392"/>
      <c r="M503" s="392"/>
      <c r="N503" s="23"/>
      <c r="O503" s="39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  <c r="IL503" s="23"/>
      <c r="IM503" s="23"/>
      <c r="IN503" s="23"/>
      <c r="IO503" s="23"/>
      <c r="IP503" s="23"/>
      <c r="IQ503" s="23"/>
      <c r="IR503" s="23"/>
      <c r="IS503" s="23"/>
      <c r="IT503" s="23"/>
      <c r="IU503" s="23"/>
      <c r="IV503" s="23"/>
      <c r="IW503" s="23"/>
      <c r="IX503" s="23"/>
      <c r="IY503" s="23"/>
      <c r="IZ503" s="23"/>
      <c r="JA503" s="23"/>
      <c r="JB503" s="23"/>
      <c r="JC503" s="23"/>
      <c r="JD503" s="23"/>
      <c r="JE503" s="23"/>
      <c r="JF503" s="23"/>
      <c r="JG503" s="23"/>
      <c r="JH503" s="23"/>
      <c r="JI503" s="23"/>
      <c r="JJ503" s="23"/>
      <c r="JK503" s="23"/>
      <c r="JL503" s="23"/>
      <c r="JM503" s="23"/>
      <c r="JN503" s="23"/>
      <c r="JO503" s="23"/>
      <c r="JP503" s="23"/>
      <c r="JQ503" s="23"/>
      <c r="JR503" s="23"/>
      <c r="JS503" s="23"/>
      <c r="JT503" s="23"/>
      <c r="JU503" s="23"/>
      <c r="JV503" s="23"/>
      <c r="JW503" s="23"/>
      <c r="JX503" s="23"/>
      <c r="JY503" s="23"/>
      <c r="JZ503" s="23"/>
      <c r="KA503" s="23"/>
      <c r="KB503" s="23"/>
      <c r="KC503" s="23"/>
      <c r="KD503" s="23"/>
      <c r="KE503" s="23"/>
      <c r="KF503" s="23"/>
      <c r="KG503" s="23"/>
      <c r="KH503" s="23"/>
      <c r="KI503" s="23"/>
      <c r="KJ503" s="23"/>
      <c r="KK503" s="23"/>
      <c r="KL503" s="23"/>
      <c r="KM503" s="23"/>
      <c r="KN503" s="23"/>
      <c r="KO503" s="23"/>
      <c r="KP503" s="23"/>
      <c r="KQ503" s="23"/>
      <c r="KR503" s="23"/>
      <c r="KS503" s="23"/>
      <c r="KT503" s="23"/>
      <c r="KU503" s="23"/>
      <c r="KV503" s="23"/>
      <c r="KW503" s="23"/>
      <c r="KX503" s="23"/>
      <c r="KY503" s="23"/>
      <c r="KZ503" s="23"/>
      <c r="LA503" s="23"/>
      <c r="LB503" s="23"/>
      <c r="LC503" s="23"/>
      <c r="LD503" s="23"/>
      <c r="LE503" s="23"/>
      <c r="LF503" s="23"/>
      <c r="LG503" s="23"/>
      <c r="LH503" s="23"/>
      <c r="LI503" s="23"/>
      <c r="LJ503" s="23"/>
      <c r="LK503" s="23"/>
      <c r="LL503" s="23"/>
      <c r="LM503" s="23"/>
      <c r="LN503" s="23"/>
      <c r="LO503" s="23"/>
    </row>
    <row r="504" spans="1:327">
      <c r="A504" s="390"/>
      <c r="B504" s="23"/>
      <c r="C504" s="391"/>
      <c r="D504" s="391"/>
      <c r="E504" s="23"/>
      <c r="F504" s="23"/>
      <c r="G504" s="392"/>
      <c r="H504" s="392"/>
      <c r="I504" s="392"/>
      <c r="J504" s="392"/>
      <c r="K504" s="392"/>
      <c r="L504" s="392"/>
      <c r="M504" s="392"/>
      <c r="N504" s="23"/>
      <c r="O504" s="39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  <c r="IL504" s="23"/>
      <c r="IM504" s="23"/>
      <c r="IN504" s="23"/>
      <c r="IO504" s="23"/>
      <c r="IP504" s="23"/>
      <c r="IQ504" s="23"/>
      <c r="IR504" s="23"/>
      <c r="IS504" s="23"/>
      <c r="IT504" s="23"/>
      <c r="IU504" s="23"/>
      <c r="IV504" s="23"/>
      <c r="IW504" s="23"/>
      <c r="IX504" s="23"/>
      <c r="IY504" s="23"/>
      <c r="IZ504" s="23"/>
      <c r="JA504" s="23"/>
      <c r="JB504" s="23"/>
      <c r="JC504" s="23"/>
      <c r="JD504" s="23"/>
      <c r="JE504" s="23"/>
      <c r="JF504" s="23"/>
      <c r="JG504" s="23"/>
      <c r="JH504" s="23"/>
      <c r="JI504" s="23"/>
      <c r="JJ504" s="23"/>
      <c r="JK504" s="23"/>
      <c r="JL504" s="23"/>
      <c r="JM504" s="23"/>
      <c r="JN504" s="23"/>
      <c r="JO504" s="23"/>
      <c r="JP504" s="23"/>
      <c r="JQ504" s="23"/>
      <c r="JR504" s="23"/>
      <c r="JS504" s="23"/>
      <c r="JT504" s="23"/>
      <c r="JU504" s="23"/>
      <c r="JV504" s="23"/>
      <c r="JW504" s="23"/>
      <c r="JX504" s="23"/>
      <c r="JY504" s="23"/>
      <c r="JZ504" s="23"/>
      <c r="KA504" s="23"/>
      <c r="KB504" s="23"/>
      <c r="KC504" s="23"/>
      <c r="KD504" s="23"/>
      <c r="KE504" s="23"/>
      <c r="KF504" s="23"/>
      <c r="KG504" s="23"/>
      <c r="KH504" s="23"/>
      <c r="KI504" s="23"/>
      <c r="KJ504" s="23"/>
      <c r="KK504" s="23"/>
      <c r="KL504" s="23"/>
      <c r="KM504" s="23"/>
      <c r="KN504" s="23"/>
      <c r="KO504" s="23"/>
      <c r="KP504" s="23"/>
      <c r="KQ504" s="23"/>
      <c r="KR504" s="23"/>
      <c r="KS504" s="23"/>
      <c r="KT504" s="23"/>
      <c r="KU504" s="23"/>
      <c r="KV504" s="23"/>
      <c r="KW504" s="23"/>
      <c r="KX504" s="23"/>
      <c r="KY504" s="23"/>
      <c r="KZ504" s="23"/>
      <c r="LA504" s="23"/>
      <c r="LB504" s="23"/>
      <c r="LC504" s="23"/>
      <c r="LD504" s="23"/>
      <c r="LE504" s="23"/>
      <c r="LF504" s="23"/>
      <c r="LG504" s="23"/>
      <c r="LH504" s="23"/>
      <c r="LI504" s="23"/>
      <c r="LJ504" s="23"/>
      <c r="LK504" s="23"/>
      <c r="LL504" s="23"/>
      <c r="LM504" s="23"/>
      <c r="LN504" s="23"/>
      <c r="LO504" s="23"/>
    </row>
    <row r="505" spans="1:327">
      <c r="A505" s="390"/>
      <c r="B505" s="23"/>
      <c r="C505" s="391"/>
      <c r="D505" s="391"/>
      <c r="E505" s="23"/>
      <c r="F505" s="23"/>
      <c r="G505" s="392"/>
      <c r="H505" s="392"/>
      <c r="I505" s="392"/>
      <c r="J505" s="392"/>
      <c r="K505" s="392"/>
      <c r="L505" s="392"/>
      <c r="M505" s="392"/>
      <c r="N505" s="23"/>
      <c r="O505" s="39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  <c r="IL505" s="23"/>
      <c r="IM505" s="23"/>
      <c r="IN505" s="23"/>
      <c r="IO505" s="23"/>
      <c r="IP505" s="23"/>
      <c r="IQ505" s="23"/>
      <c r="IR505" s="23"/>
      <c r="IS505" s="23"/>
      <c r="IT505" s="23"/>
      <c r="IU505" s="23"/>
      <c r="IV505" s="23"/>
      <c r="IW505" s="23"/>
      <c r="IX505" s="23"/>
      <c r="IY505" s="23"/>
      <c r="IZ505" s="23"/>
      <c r="JA505" s="23"/>
      <c r="JB505" s="23"/>
      <c r="JC505" s="23"/>
      <c r="JD505" s="23"/>
      <c r="JE505" s="23"/>
      <c r="JF505" s="23"/>
      <c r="JG505" s="23"/>
      <c r="JH505" s="23"/>
      <c r="JI505" s="23"/>
      <c r="JJ505" s="23"/>
      <c r="JK505" s="23"/>
      <c r="JL505" s="23"/>
      <c r="JM505" s="23"/>
      <c r="JN505" s="23"/>
      <c r="JO505" s="23"/>
      <c r="JP505" s="23"/>
      <c r="JQ505" s="23"/>
      <c r="JR505" s="23"/>
      <c r="JS505" s="23"/>
      <c r="JT505" s="23"/>
      <c r="JU505" s="23"/>
      <c r="JV505" s="23"/>
      <c r="JW505" s="23"/>
      <c r="JX505" s="23"/>
      <c r="JY505" s="23"/>
      <c r="JZ505" s="23"/>
      <c r="KA505" s="23"/>
      <c r="KB505" s="23"/>
      <c r="KC505" s="23"/>
      <c r="KD505" s="23"/>
      <c r="KE505" s="23"/>
      <c r="KF505" s="23"/>
      <c r="KG505" s="23"/>
      <c r="KH505" s="23"/>
      <c r="KI505" s="23"/>
      <c r="KJ505" s="23"/>
      <c r="KK505" s="23"/>
      <c r="KL505" s="23"/>
      <c r="KM505" s="23"/>
      <c r="KN505" s="23"/>
      <c r="KO505" s="23"/>
      <c r="KP505" s="23"/>
      <c r="KQ505" s="23"/>
      <c r="KR505" s="23"/>
      <c r="KS505" s="23"/>
      <c r="KT505" s="23"/>
      <c r="KU505" s="23"/>
      <c r="KV505" s="23"/>
      <c r="KW505" s="23"/>
      <c r="KX505" s="23"/>
      <c r="KY505" s="23"/>
      <c r="KZ505" s="23"/>
      <c r="LA505" s="23"/>
      <c r="LB505" s="23"/>
      <c r="LC505" s="23"/>
      <c r="LD505" s="23"/>
      <c r="LE505" s="23"/>
      <c r="LF505" s="23"/>
      <c r="LG505" s="23"/>
      <c r="LH505" s="23"/>
      <c r="LI505" s="23"/>
      <c r="LJ505" s="23"/>
      <c r="LK505" s="23"/>
      <c r="LL505" s="23"/>
      <c r="LM505" s="23"/>
      <c r="LN505" s="23"/>
      <c r="LO505" s="23"/>
    </row>
    <row r="506" spans="1:327">
      <c r="A506" s="390"/>
      <c r="B506" s="23"/>
      <c r="C506" s="391"/>
      <c r="D506" s="391"/>
      <c r="E506" s="23"/>
      <c r="F506" s="23"/>
      <c r="G506" s="392"/>
      <c r="H506" s="392"/>
      <c r="I506" s="392"/>
      <c r="J506" s="392"/>
      <c r="K506" s="392"/>
      <c r="L506" s="392"/>
      <c r="M506" s="392"/>
      <c r="N506" s="23"/>
      <c r="O506" s="39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  <c r="IL506" s="23"/>
      <c r="IM506" s="23"/>
      <c r="IN506" s="23"/>
      <c r="IO506" s="23"/>
      <c r="IP506" s="23"/>
      <c r="IQ506" s="23"/>
      <c r="IR506" s="23"/>
      <c r="IS506" s="23"/>
      <c r="IT506" s="23"/>
      <c r="IU506" s="23"/>
      <c r="IV506" s="23"/>
      <c r="IW506" s="23"/>
      <c r="IX506" s="23"/>
      <c r="IY506" s="23"/>
      <c r="IZ506" s="23"/>
      <c r="JA506" s="23"/>
      <c r="JB506" s="23"/>
      <c r="JC506" s="23"/>
      <c r="JD506" s="23"/>
      <c r="JE506" s="23"/>
      <c r="JF506" s="23"/>
      <c r="JG506" s="23"/>
      <c r="JH506" s="23"/>
      <c r="JI506" s="23"/>
      <c r="JJ506" s="23"/>
      <c r="JK506" s="23"/>
      <c r="JL506" s="23"/>
      <c r="JM506" s="23"/>
      <c r="JN506" s="23"/>
      <c r="JO506" s="23"/>
      <c r="JP506" s="23"/>
      <c r="JQ506" s="23"/>
      <c r="JR506" s="23"/>
      <c r="JS506" s="23"/>
      <c r="JT506" s="23"/>
      <c r="JU506" s="23"/>
      <c r="JV506" s="23"/>
      <c r="JW506" s="23"/>
      <c r="JX506" s="23"/>
      <c r="JY506" s="23"/>
      <c r="JZ506" s="23"/>
      <c r="KA506" s="23"/>
      <c r="KB506" s="23"/>
      <c r="KC506" s="23"/>
      <c r="KD506" s="23"/>
      <c r="KE506" s="23"/>
      <c r="KF506" s="23"/>
      <c r="KG506" s="23"/>
      <c r="KH506" s="23"/>
      <c r="KI506" s="23"/>
      <c r="KJ506" s="23"/>
      <c r="KK506" s="23"/>
      <c r="KL506" s="23"/>
      <c r="KM506" s="23"/>
      <c r="KN506" s="23"/>
      <c r="KO506" s="23"/>
      <c r="KP506" s="23"/>
      <c r="KQ506" s="23"/>
      <c r="KR506" s="23"/>
      <c r="KS506" s="23"/>
      <c r="KT506" s="23"/>
      <c r="KU506" s="23"/>
      <c r="KV506" s="23"/>
      <c r="KW506" s="23"/>
      <c r="KX506" s="23"/>
      <c r="KY506" s="23"/>
      <c r="KZ506" s="23"/>
      <c r="LA506" s="23"/>
      <c r="LB506" s="23"/>
      <c r="LC506" s="23"/>
      <c r="LD506" s="23"/>
      <c r="LE506" s="23"/>
      <c r="LF506" s="23"/>
      <c r="LG506" s="23"/>
      <c r="LH506" s="23"/>
      <c r="LI506" s="23"/>
      <c r="LJ506" s="23"/>
      <c r="LK506" s="23"/>
      <c r="LL506" s="23"/>
      <c r="LM506" s="23"/>
      <c r="LN506" s="23"/>
      <c r="LO506" s="23"/>
    </row>
    <row r="507" spans="1:327">
      <c r="A507" s="390"/>
      <c r="B507" s="23"/>
      <c r="C507" s="391"/>
      <c r="D507" s="391"/>
      <c r="E507" s="23"/>
      <c r="F507" s="23"/>
      <c r="G507" s="392"/>
      <c r="H507" s="392"/>
      <c r="I507" s="392"/>
      <c r="J507" s="392"/>
      <c r="K507" s="392"/>
      <c r="L507" s="392"/>
      <c r="M507" s="392"/>
      <c r="N507" s="23"/>
      <c r="O507" s="39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  <c r="IL507" s="23"/>
      <c r="IM507" s="23"/>
      <c r="IN507" s="23"/>
      <c r="IO507" s="23"/>
      <c r="IP507" s="23"/>
      <c r="IQ507" s="23"/>
      <c r="IR507" s="23"/>
      <c r="IS507" s="23"/>
      <c r="IT507" s="23"/>
      <c r="IU507" s="23"/>
      <c r="IV507" s="23"/>
      <c r="IW507" s="23"/>
      <c r="IX507" s="23"/>
      <c r="IY507" s="23"/>
      <c r="IZ507" s="23"/>
      <c r="JA507" s="23"/>
      <c r="JB507" s="23"/>
      <c r="JC507" s="23"/>
      <c r="JD507" s="23"/>
      <c r="JE507" s="23"/>
      <c r="JF507" s="23"/>
      <c r="JG507" s="23"/>
      <c r="JH507" s="23"/>
      <c r="JI507" s="23"/>
      <c r="JJ507" s="23"/>
      <c r="JK507" s="23"/>
      <c r="JL507" s="23"/>
      <c r="JM507" s="23"/>
      <c r="JN507" s="23"/>
      <c r="JO507" s="23"/>
      <c r="JP507" s="23"/>
      <c r="JQ507" s="23"/>
      <c r="JR507" s="23"/>
      <c r="JS507" s="23"/>
      <c r="JT507" s="23"/>
      <c r="JU507" s="23"/>
      <c r="JV507" s="23"/>
      <c r="JW507" s="23"/>
      <c r="JX507" s="23"/>
      <c r="JY507" s="23"/>
      <c r="JZ507" s="23"/>
      <c r="KA507" s="23"/>
      <c r="KB507" s="23"/>
      <c r="KC507" s="23"/>
      <c r="KD507" s="23"/>
      <c r="KE507" s="23"/>
      <c r="KF507" s="23"/>
      <c r="KG507" s="23"/>
      <c r="KH507" s="23"/>
      <c r="KI507" s="23"/>
      <c r="KJ507" s="23"/>
      <c r="KK507" s="23"/>
      <c r="KL507" s="23"/>
      <c r="KM507" s="23"/>
      <c r="KN507" s="23"/>
      <c r="KO507" s="23"/>
      <c r="KP507" s="23"/>
      <c r="KQ507" s="23"/>
      <c r="KR507" s="23"/>
      <c r="KS507" s="23"/>
      <c r="KT507" s="23"/>
      <c r="KU507" s="23"/>
      <c r="KV507" s="23"/>
      <c r="KW507" s="23"/>
      <c r="KX507" s="23"/>
      <c r="KY507" s="23"/>
      <c r="KZ507" s="23"/>
      <c r="LA507" s="23"/>
      <c r="LB507" s="23"/>
      <c r="LC507" s="23"/>
      <c r="LD507" s="23"/>
      <c r="LE507" s="23"/>
      <c r="LF507" s="23"/>
      <c r="LG507" s="23"/>
      <c r="LH507" s="23"/>
      <c r="LI507" s="23"/>
      <c r="LJ507" s="23"/>
      <c r="LK507" s="23"/>
      <c r="LL507" s="23"/>
      <c r="LM507" s="23"/>
      <c r="LN507" s="23"/>
      <c r="LO507" s="23"/>
    </row>
    <row r="508" spans="1:327">
      <c r="A508" s="390"/>
      <c r="B508" s="23"/>
      <c r="C508" s="391"/>
      <c r="D508" s="391"/>
      <c r="E508" s="23"/>
      <c r="F508" s="23"/>
      <c r="G508" s="392"/>
      <c r="H508" s="392"/>
      <c r="I508" s="392"/>
      <c r="J508" s="392"/>
      <c r="K508" s="392"/>
      <c r="L508" s="392"/>
      <c r="M508" s="392"/>
      <c r="N508" s="23"/>
      <c r="O508" s="39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  <c r="IL508" s="23"/>
      <c r="IM508" s="23"/>
      <c r="IN508" s="23"/>
      <c r="IO508" s="23"/>
      <c r="IP508" s="23"/>
      <c r="IQ508" s="23"/>
      <c r="IR508" s="23"/>
      <c r="IS508" s="23"/>
      <c r="IT508" s="23"/>
      <c r="IU508" s="23"/>
      <c r="IV508" s="23"/>
      <c r="IW508" s="23"/>
      <c r="IX508" s="23"/>
      <c r="IY508" s="23"/>
      <c r="IZ508" s="23"/>
      <c r="JA508" s="23"/>
      <c r="JB508" s="23"/>
      <c r="JC508" s="23"/>
      <c r="JD508" s="23"/>
      <c r="JE508" s="23"/>
      <c r="JF508" s="23"/>
      <c r="JG508" s="23"/>
      <c r="JH508" s="23"/>
      <c r="JI508" s="23"/>
      <c r="JJ508" s="23"/>
      <c r="JK508" s="23"/>
      <c r="JL508" s="23"/>
      <c r="JM508" s="23"/>
      <c r="JN508" s="23"/>
      <c r="JO508" s="23"/>
      <c r="JP508" s="23"/>
      <c r="JQ508" s="23"/>
      <c r="JR508" s="23"/>
      <c r="JS508" s="23"/>
      <c r="JT508" s="23"/>
      <c r="JU508" s="23"/>
      <c r="JV508" s="23"/>
      <c r="JW508" s="23"/>
      <c r="JX508" s="23"/>
      <c r="JY508" s="23"/>
      <c r="JZ508" s="23"/>
      <c r="KA508" s="23"/>
      <c r="KB508" s="23"/>
      <c r="KC508" s="23"/>
      <c r="KD508" s="23"/>
      <c r="KE508" s="23"/>
      <c r="KF508" s="23"/>
      <c r="KG508" s="23"/>
      <c r="KH508" s="23"/>
      <c r="KI508" s="23"/>
      <c r="KJ508" s="23"/>
      <c r="KK508" s="23"/>
      <c r="KL508" s="23"/>
      <c r="KM508" s="23"/>
      <c r="KN508" s="23"/>
      <c r="KO508" s="23"/>
      <c r="KP508" s="23"/>
      <c r="KQ508" s="23"/>
      <c r="KR508" s="23"/>
      <c r="KS508" s="23"/>
      <c r="KT508" s="23"/>
      <c r="KU508" s="23"/>
      <c r="KV508" s="23"/>
      <c r="KW508" s="23"/>
      <c r="KX508" s="23"/>
      <c r="KY508" s="23"/>
      <c r="KZ508" s="23"/>
      <c r="LA508" s="23"/>
      <c r="LB508" s="23"/>
      <c r="LC508" s="23"/>
      <c r="LD508" s="23"/>
      <c r="LE508" s="23"/>
      <c r="LF508" s="23"/>
      <c r="LG508" s="23"/>
      <c r="LH508" s="23"/>
      <c r="LI508" s="23"/>
      <c r="LJ508" s="23"/>
      <c r="LK508" s="23"/>
      <c r="LL508" s="23"/>
      <c r="LM508" s="23"/>
      <c r="LN508" s="23"/>
      <c r="LO508" s="23"/>
    </row>
    <row r="509" spans="1:327">
      <c r="A509" s="390"/>
      <c r="B509" s="23"/>
      <c r="C509" s="391"/>
      <c r="D509" s="391"/>
      <c r="E509" s="23"/>
      <c r="F509" s="23"/>
      <c r="G509" s="392"/>
      <c r="H509" s="392"/>
      <c r="I509" s="392"/>
      <c r="J509" s="392"/>
      <c r="K509" s="392"/>
      <c r="L509" s="392"/>
      <c r="M509" s="392"/>
      <c r="N509" s="23"/>
      <c r="O509" s="39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  <c r="IL509" s="23"/>
      <c r="IM509" s="23"/>
      <c r="IN509" s="23"/>
      <c r="IO509" s="23"/>
      <c r="IP509" s="23"/>
      <c r="IQ509" s="23"/>
      <c r="IR509" s="23"/>
      <c r="IS509" s="23"/>
      <c r="IT509" s="23"/>
      <c r="IU509" s="23"/>
      <c r="IV509" s="23"/>
      <c r="IW509" s="23"/>
      <c r="IX509" s="23"/>
      <c r="IY509" s="23"/>
      <c r="IZ509" s="23"/>
      <c r="JA509" s="23"/>
      <c r="JB509" s="23"/>
      <c r="JC509" s="23"/>
      <c r="JD509" s="23"/>
      <c r="JE509" s="23"/>
      <c r="JF509" s="23"/>
      <c r="JG509" s="23"/>
      <c r="JH509" s="23"/>
      <c r="JI509" s="23"/>
      <c r="JJ509" s="23"/>
      <c r="JK509" s="23"/>
      <c r="JL509" s="23"/>
      <c r="JM509" s="23"/>
      <c r="JN509" s="23"/>
      <c r="JO509" s="23"/>
      <c r="JP509" s="23"/>
      <c r="JQ509" s="23"/>
      <c r="JR509" s="23"/>
      <c r="JS509" s="23"/>
      <c r="JT509" s="23"/>
      <c r="JU509" s="23"/>
      <c r="JV509" s="23"/>
      <c r="JW509" s="23"/>
      <c r="JX509" s="23"/>
      <c r="JY509" s="23"/>
      <c r="JZ509" s="23"/>
      <c r="KA509" s="23"/>
      <c r="KB509" s="23"/>
      <c r="KC509" s="23"/>
      <c r="KD509" s="23"/>
      <c r="KE509" s="23"/>
      <c r="KF509" s="23"/>
      <c r="KG509" s="23"/>
      <c r="KH509" s="23"/>
      <c r="KI509" s="23"/>
      <c r="KJ509" s="23"/>
      <c r="KK509" s="23"/>
      <c r="KL509" s="23"/>
      <c r="KM509" s="23"/>
      <c r="KN509" s="23"/>
      <c r="KO509" s="23"/>
      <c r="KP509" s="23"/>
      <c r="KQ509" s="23"/>
      <c r="KR509" s="23"/>
      <c r="KS509" s="23"/>
      <c r="KT509" s="23"/>
      <c r="KU509" s="23"/>
      <c r="KV509" s="23"/>
      <c r="KW509" s="23"/>
      <c r="KX509" s="23"/>
      <c r="KY509" s="23"/>
      <c r="KZ509" s="23"/>
      <c r="LA509" s="23"/>
      <c r="LB509" s="23"/>
      <c r="LC509" s="23"/>
      <c r="LD509" s="23"/>
      <c r="LE509" s="23"/>
      <c r="LF509" s="23"/>
      <c r="LG509" s="23"/>
      <c r="LH509" s="23"/>
      <c r="LI509" s="23"/>
      <c r="LJ509" s="23"/>
      <c r="LK509" s="23"/>
      <c r="LL509" s="23"/>
      <c r="LM509" s="23"/>
      <c r="LN509" s="23"/>
      <c r="LO509" s="23"/>
    </row>
    <row r="510" spans="1:327">
      <c r="A510" s="390"/>
      <c r="B510" s="23"/>
      <c r="C510" s="391"/>
      <c r="D510" s="391"/>
      <c r="E510" s="23"/>
      <c r="F510" s="23"/>
      <c r="G510" s="392"/>
      <c r="H510" s="392"/>
      <c r="I510" s="392"/>
      <c r="J510" s="392"/>
      <c r="K510" s="392"/>
      <c r="L510" s="392"/>
      <c r="M510" s="392"/>
      <c r="N510" s="23"/>
      <c r="O510" s="39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  <c r="IL510" s="23"/>
      <c r="IM510" s="23"/>
      <c r="IN510" s="23"/>
      <c r="IO510" s="23"/>
      <c r="IP510" s="23"/>
      <c r="IQ510" s="23"/>
      <c r="IR510" s="23"/>
      <c r="IS510" s="23"/>
      <c r="IT510" s="23"/>
      <c r="IU510" s="23"/>
      <c r="IV510" s="23"/>
      <c r="IW510" s="23"/>
      <c r="IX510" s="23"/>
      <c r="IY510" s="23"/>
      <c r="IZ510" s="23"/>
      <c r="JA510" s="23"/>
      <c r="JB510" s="23"/>
      <c r="JC510" s="23"/>
      <c r="JD510" s="23"/>
      <c r="JE510" s="23"/>
      <c r="JF510" s="23"/>
      <c r="JG510" s="23"/>
      <c r="JH510" s="23"/>
      <c r="JI510" s="23"/>
      <c r="JJ510" s="23"/>
      <c r="JK510" s="23"/>
      <c r="JL510" s="23"/>
      <c r="JM510" s="23"/>
      <c r="JN510" s="23"/>
      <c r="JO510" s="23"/>
      <c r="JP510" s="23"/>
      <c r="JQ510" s="23"/>
      <c r="JR510" s="23"/>
      <c r="JS510" s="23"/>
      <c r="JT510" s="23"/>
      <c r="JU510" s="23"/>
      <c r="JV510" s="23"/>
      <c r="JW510" s="23"/>
      <c r="JX510" s="23"/>
      <c r="JY510" s="23"/>
      <c r="JZ510" s="23"/>
      <c r="KA510" s="23"/>
      <c r="KB510" s="23"/>
      <c r="KC510" s="23"/>
      <c r="KD510" s="23"/>
      <c r="KE510" s="23"/>
      <c r="KF510" s="23"/>
      <c r="KG510" s="23"/>
      <c r="KH510" s="23"/>
      <c r="KI510" s="23"/>
      <c r="KJ510" s="23"/>
      <c r="KK510" s="23"/>
      <c r="KL510" s="23"/>
      <c r="KM510" s="23"/>
      <c r="KN510" s="23"/>
      <c r="KO510" s="23"/>
      <c r="KP510" s="23"/>
      <c r="KQ510" s="23"/>
      <c r="KR510" s="23"/>
      <c r="KS510" s="23"/>
      <c r="KT510" s="23"/>
      <c r="KU510" s="23"/>
      <c r="KV510" s="23"/>
      <c r="KW510" s="23"/>
      <c r="KX510" s="23"/>
      <c r="KY510" s="23"/>
      <c r="KZ510" s="23"/>
      <c r="LA510" s="23"/>
      <c r="LB510" s="23"/>
      <c r="LC510" s="23"/>
      <c r="LD510" s="23"/>
      <c r="LE510" s="23"/>
      <c r="LF510" s="23"/>
      <c r="LG510" s="23"/>
      <c r="LH510" s="23"/>
      <c r="LI510" s="23"/>
      <c r="LJ510" s="23"/>
      <c r="LK510" s="23"/>
      <c r="LL510" s="23"/>
      <c r="LM510" s="23"/>
      <c r="LN510" s="23"/>
      <c r="LO510" s="23"/>
    </row>
    <row r="511" spans="1:327">
      <c r="A511" s="390"/>
      <c r="B511" s="23"/>
      <c r="C511" s="391"/>
      <c r="D511" s="391"/>
      <c r="E511" s="23"/>
      <c r="F511" s="23"/>
      <c r="G511" s="392"/>
      <c r="H511" s="392"/>
      <c r="I511" s="392"/>
      <c r="J511" s="392"/>
      <c r="K511" s="392"/>
      <c r="L511" s="392"/>
      <c r="M511" s="392"/>
      <c r="N511" s="23"/>
      <c r="O511" s="39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  <c r="IL511" s="23"/>
      <c r="IM511" s="23"/>
      <c r="IN511" s="23"/>
      <c r="IO511" s="23"/>
      <c r="IP511" s="23"/>
      <c r="IQ511" s="23"/>
      <c r="IR511" s="23"/>
      <c r="IS511" s="23"/>
      <c r="IT511" s="23"/>
      <c r="IU511" s="23"/>
      <c r="IV511" s="23"/>
      <c r="IW511" s="23"/>
      <c r="IX511" s="23"/>
      <c r="IY511" s="23"/>
      <c r="IZ511" s="23"/>
      <c r="JA511" s="23"/>
      <c r="JB511" s="23"/>
      <c r="JC511" s="23"/>
      <c r="JD511" s="23"/>
      <c r="JE511" s="23"/>
      <c r="JF511" s="23"/>
      <c r="JG511" s="23"/>
      <c r="JH511" s="23"/>
      <c r="JI511" s="23"/>
      <c r="JJ511" s="23"/>
      <c r="JK511" s="23"/>
      <c r="JL511" s="23"/>
      <c r="JM511" s="23"/>
      <c r="JN511" s="23"/>
      <c r="JO511" s="23"/>
      <c r="JP511" s="23"/>
      <c r="JQ511" s="23"/>
      <c r="JR511" s="23"/>
      <c r="JS511" s="23"/>
      <c r="JT511" s="23"/>
      <c r="JU511" s="23"/>
      <c r="JV511" s="23"/>
      <c r="JW511" s="23"/>
      <c r="JX511" s="23"/>
      <c r="JY511" s="23"/>
      <c r="JZ511" s="23"/>
      <c r="KA511" s="23"/>
      <c r="KB511" s="23"/>
      <c r="KC511" s="23"/>
      <c r="KD511" s="23"/>
      <c r="KE511" s="23"/>
      <c r="KF511" s="23"/>
      <c r="KG511" s="23"/>
      <c r="KH511" s="23"/>
      <c r="KI511" s="23"/>
      <c r="KJ511" s="23"/>
      <c r="KK511" s="23"/>
      <c r="KL511" s="23"/>
      <c r="KM511" s="23"/>
      <c r="KN511" s="23"/>
      <c r="KO511" s="23"/>
      <c r="KP511" s="23"/>
      <c r="KQ511" s="23"/>
      <c r="KR511" s="23"/>
      <c r="KS511" s="23"/>
      <c r="KT511" s="23"/>
      <c r="KU511" s="23"/>
      <c r="KV511" s="23"/>
      <c r="KW511" s="23"/>
      <c r="KX511" s="23"/>
      <c r="KY511" s="23"/>
      <c r="KZ511" s="23"/>
      <c r="LA511" s="23"/>
      <c r="LB511" s="23"/>
      <c r="LC511" s="23"/>
      <c r="LD511" s="23"/>
      <c r="LE511" s="23"/>
      <c r="LF511" s="23"/>
      <c r="LG511" s="23"/>
      <c r="LH511" s="23"/>
      <c r="LI511" s="23"/>
      <c r="LJ511" s="23"/>
      <c r="LK511" s="23"/>
      <c r="LL511" s="23"/>
      <c r="LM511" s="23"/>
      <c r="LN511" s="23"/>
      <c r="LO511" s="23"/>
    </row>
    <row r="512" spans="1:327">
      <c r="A512" s="390"/>
      <c r="B512" s="23"/>
      <c r="C512" s="391"/>
      <c r="D512" s="391"/>
      <c r="E512" s="23"/>
      <c r="F512" s="23"/>
      <c r="G512" s="392"/>
      <c r="H512" s="392"/>
      <c r="I512" s="392"/>
      <c r="J512" s="392"/>
      <c r="K512" s="392"/>
      <c r="L512" s="392"/>
      <c r="M512" s="392"/>
      <c r="N512" s="23"/>
      <c r="O512" s="39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  <c r="IL512" s="23"/>
      <c r="IM512" s="23"/>
      <c r="IN512" s="23"/>
      <c r="IO512" s="23"/>
      <c r="IP512" s="23"/>
      <c r="IQ512" s="23"/>
      <c r="IR512" s="23"/>
      <c r="IS512" s="23"/>
      <c r="IT512" s="23"/>
      <c r="IU512" s="23"/>
      <c r="IV512" s="23"/>
      <c r="IW512" s="23"/>
      <c r="IX512" s="23"/>
      <c r="IY512" s="23"/>
      <c r="IZ512" s="23"/>
      <c r="JA512" s="23"/>
      <c r="JB512" s="23"/>
      <c r="JC512" s="23"/>
      <c r="JD512" s="23"/>
      <c r="JE512" s="23"/>
      <c r="JF512" s="23"/>
      <c r="JG512" s="23"/>
      <c r="JH512" s="23"/>
      <c r="JI512" s="23"/>
      <c r="JJ512" s="23"/>
      <c r="JK512" s="23"/>
      <c r="JL512" s="23"/>
      <c r="JM512" s="23"/>
      <c r="JN512" s="23"/>
      <c r="JO512" s="23"/>
      <c r="JP512" s="23"/>
      <c r="JQ512" s="23"/>
      <c r="JR512" s="23"/>
      <c r="JS512" s="23"/>
      <c r="JT512" s="23"/>
      <c r="JU512" s="23"/>
      <c r="JV512" s="23"/>
      <c r="JW512" s="23"/>
      <c r="JX512" s="23"/>
      <c r="JY512" s="23"/>
      <c r="JZ512" s="23"/>
      <c r="KA512" s="23"/>
      <c r="KB512" s="23"/>
      <c r="KC512" s="23"/>
      <c r="KD512" s="23"/>
      <c r="KE512" s="23"/>
      <c r="KF512" s="23"/>
      <c r="KG512" s="23"/>
      <c r="KH512" s="23"/>
      <c r="KI512" s="23"/>
      <c r="KJ512" s="23"/>
      <c r="KK512" s="23"/>
      <c r="KL512" s="23"/>
      <c r="KM512" s="23"/>
      <c r="KN512" s="23"/>
      <c r="KO512" s="23"/>
      <c r="KP512" s="23"/>
      <c r="KQ512" s="23"/>
      <c r="KR512" s="23"/>
      <c r="KS512" s="23"/>
      <c r="KT512" s="23"/>
      <c r="KU512" s="23"/>
      <c r="KV512" s="23"/>
      <c r="KW512" s="23"/>
      <c r="KX512" s="23"/>
      <c r="KY512" s="23"/>
      <c r="KZ512" s="23"/>
      <c r="LA512" s="23"/>
      <c r="LB512" s="23"/>
      <c r="LC512" s="23"/>
      <c r="LD512" s="23"/>
      <c r="LE512" s="23"/>
      <c r="LF512" s="23"/>
      <c r="LG512" s="23"/>
      <c r="LH512" s="23"/>
      <c r="LI512" s="23"/>
      <c r="LJ512" s="23"/>
      <c r="LK512" s="23"/>
      <c r="LL512" s="23"/>
      <c r="LM512" s="23"/>
      <c r="LN512" s="23"/>
      <c r="LO512" s="23"/>
    </row>
    <row r="513" spans="1:327">
      <c r="A513" s="390"/>
      <c r="B513" s="23"/>
      <c r="C513" s="391"/>
      <c r="D513" s="391"/>
      <c r="E513" s="23"/>
      <c r="F513" s="23"/>
      <c r="G513" s="392"/>
      <c r="H513" s="392"/>
      <c r="I513" s="392"/>
      <c r="J513" s="392"/>
      <c r="K513" s="392"/>
      <c r="L513" s="392"/>
      <c r="M513" s="392"/>
      <c r="N513" s="23"/>
      <c r="O513" s="39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  <c r="IL513" s="23"/>
      <c r="IM513" s="23"/>
      <c r="IN513" s="23"/>
      <c r="IO513" s="23"/>
      <c r="IP513" s="23"/>
      <c r="IQ513" s="23"/>
      <c r="IR513" s="23"/>
      <c r="IS513" s="23"/>
      <c r="IT513" s="23"/>
      <c r="IU513" s="23"/>
      <c r="IV513" s="23"/>
      <c r="IW513" s="23"/>
      <c r="IX513" s="23"/>
      <c r="IY513" s="23"/>
      <c r="IZ513" s="23"/>
      <c r="JA513" s="23"/>
      <c r="JB513" s="23"/>
      <c r="JC513" s="23"/>
      <c r="JD513" s="23"/>
      <c r="JE513" s="23"/>
      <c r="JF513" s="23"/>
      <c r="JG513" s="23"/>
      <c r="JH513" s="23"/>
      <c r="JI513" s="23"/>
      <c r="JJ513" s="23"/>
      <c r="JK513" s="23"/>
      <c r="JL513" s="23"/>
      <c r="JM513" s="23"/>
      <c r="JN513" s="23"/>
      <c r="JO513" s="23"/>
      <c r="JP513" s="23"/>
      <c r="JQ513" s="23"/>
      <c r="JR513" s="23"/>
      <c r="JS513" s="23"/>
      <c r="JT513" s="23"/>
      <c r="JU513" s="23"/>
      <c r="JV513" s="23"/>
      <c r="JW513" s="23"/>
      <c r="JX513" s="23"/>
      <c r="JY513" s="23"/>
      <c r="JZ513" s="23"/>
      <c r="KA513" s="23"/>
      <c r="KB513" s="23"/>
      <c r="KC513" s="23"/>
      <c r="KD513" s="23"/>
      <c r="KE513" s="23"/>
      <c r="KF513" s="23"/>
      <c r="KG513" s="23"/>
      <c r="KH513" s="23"/>
      <c r="KI513" s="23"/>
      <c r="KJ513" s="23"/>
      <c r="KK513" s="23"/>
      <c r="KL513" s="23"/>
      <c r="KM513" s="23"/>
      <c r="KN513" s="23"/>
      <c r="KO513" s="23"/>
      <c r="KP513" s="23"/>
      <c r="KQ513" s="23"/>
      <c r="KR513" s="23"/>
      <c r="KS513" s="23"/>
      <c r="KT513" s="23"/>
      <c r="KU513" s="23"/>
      <c r="KV513" s="23"/>
      <c r="KW513" s="23"/>
      <c r="KX513" s="23"/>
      <c r="KY513" s="23"/>
      <c r="KZ513" s="23"/>
      <c r="LA513" s="23"/>
      <c r="LB513" s="23"/>
      <c r="LC513" s="23"/>
      <c r="LD513" s="23"/>
      <c r="LE513" s="23"/>
      <c r="LF513" s="23"/>
      <c r="LG513" s="23"/>
      <c r="LH513" s="23"/>
      <c r="LI513" s="23"/>
      <c r="LJ513" s="23"/>
      <c r="LK513" s="23"/>
      <c r="LL513" s="23"/>
      <c r="LM513" s="23"/>
      <c r="LN513" s="23"/>
      <c r="LO513" s="23"/>
    </row>
    <row r="514" spans="1:327">
      <c r="A514" s="390"/>
      <c r="B514" s="23"/>
      <c r="C514" s="391"/>
      <c r="D514" s="391"/>
      <c r="E514" s="23"/>
      <c r="F514" s="23"/>
      <c r="G514" s="392"/>
      <c r="H514" s="392"/>
      <c r="I514" s="392"/>
      <c r="J514" s="392"/>
      <c r="K514" s="392"/>
      <c r="L514" s="392"/>
      <c r="M514" s="392"/>
      <c r="N514" s="23"/>
      <c r="O514" s="39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  <c r="IL514" s="23"/>
      <c r="IM514" s="23"/>
      <c r="IN514" s="23"/>
      <c r="IO514" s="23"/>
      <c r="IP514" s="23"/>
      <c r="IQ514" s="23"/>
      <c r="IR514" s="23"/>
      <c r="IS514" s="23"/>
      <c r="IT514" s="23"/>
      <c r="IU514" s="23"/>
      <c r="IV514" s="23"/>
      <c r="IW514" s="23"/>
      <c r="IX514" s="23"/>
      <c r="IY514" s="23"/>
      <c r="IZ514" s="23"/>
      <c r="JA514" s="23"/>
      <c r="JB514" s="23"/>
      <c r="JC514" s="23"/>
      <c r="JD514" s="23"/>
      <c r="JE514" s="23"/>
      <c r="JF514" s="23"/>
      <c r="JG514" s="23"/>
      <c r="JH514" s="23"/>
      <c r="JI514" s="23"/>
      <c r="JJ514" s="23"/>
      <c r="JK514" s="23"/>
      <c r="JL514" s="23"/>
      <c r="JM514" s="23"/>
      <c r="JN514" s="23"/>
      <c r="JO514" s="23"/>
      <c r="JP514" s="23"/>
      <c r="JQ514" s="23"/>
      <c r="JR514" s="23"/>
      <c r="JS514" s="23"/>
      <c r="JT514" s="23"/>
      <c r="JU514" s="23"/>
      <c r="JV514" s="23"/>
      <c r="JW514" s="23"/>
      <c r="JX514" s="23"/>
      <c r="JY514" s="23"/>
      <c r="JZ514" s="23"/>
      <c r="KA514" s="23"/>
      <c r="KB514" s="23"/>
      <c r="KC514" s="23"/>
      <c r="KD514" s="23"/>
      <c r="KE514" s="23"/>
      <c r="KF514" s="23"/>
      <c r="KG514" s="23"/>
      <c r="KH514" s="23"/>
      <c r="KI514" s="23"/>
      <c r="KJ514" s="23"/>
      <c r="KK514" s="23"/>
      <c r="KL514" s="23"/>
      <c r="KM514" s="23"/>
      <c r="KN514" s="23"/>
      <c r="KO514" s="23"/>
      <c r="KP514" s="23"/>
      <c r="KQ514" s="23"/>
      <c r="KR514" s="23"/>
      <c r="KS514" s="23"/>
      <c r="KT514" s="23"/>
      <c r="KU514" s="23"/>
      <c r="KV514" s="23"/>
      <c r="KW514" s="23"/>
      <c r="KX514" s="23"/>
      <c r="KY514" s="23"/>
      <c r="KZ514" s="23"/>
      <c r="LA514" s="23"/>
      <c r="LB514" s="23"/>
      <c r="LC514" s="23"/>
      <c r="LD514" s="23"/>
      <c r="LE514" s="23"/>
      <c r="LF514" s="23"/>
      <c r="LG514" s="23"/>
      <c r="LH514" s="23"/>
      <c r="LI514" s="23"/>
      <c r="LJ514" s="23"/>
      <c r="LK514" s="23"/>
      <c r="LL514" s="23"/>
      <c r="LM514" s="23"/>
      <c r="LN514" s="23"/>
      <c r="LO514" s="23"/>
    </row>
    <row r="515" spans="1:327">
      <c r="A515" s="390"/>
      <c r="B515" s="23"/>
      <c r="C515" s="391"/>
      <c r="D515" s="391"/>
      <c r="E515" s="23"/>
      <c r="F515" s="23"/>
      <c r="G515" s="392"/>
      <c r="H515" s="392"/>
      <c r="I515" s="392"/>
      <c r="J515" s="392"/>
      <c r="K515" s="392"/>
      <c r="L515" s="392"/>
      <c r="M515" s="392"/>
      <c r="N515" s="23"/>
      <c r="O515" s="39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  <c r="IL515" s="23"/>
      <c r="IM515" s="23"/>
      <c r="IN515" s="23"/>
      <c r="IO515" s="23"/>
      <c r="IP515" s="23"/>
      <c r="IQ515" s="23"/>
      <c r="IR515" s="23"/>
      <c r="IS515" s="23"/>
      <c r="IT515" s="23"/>
      <c r="IU515" s="23"/>
      <c r="IV515" s="23"/>
      <c r="IW515" s="23"/>
      <c r="IX515" s="23"/>
      <c r="IY515" s="23"/>
      <c r="IZ515" s="23"/>
      <c r="JA515" s="23"/>
      <c r="JB515" s="23"/>
      <c r="JC515" s="23"/>
      <c r="JD515" s="23"/>
      <c r="JE515" s="23"/>
      <c r="JF515" s="23"/>
      <c r="JG515" s="23"/>
      <c r="JH515" s="23"/>
      <c r="JI515" s="23"/>
      <c r="JJ515" s="23"/>
      <c r="JK515" s="23"/>
      <c r="JL515" s="23"/>
      <c r="JM515" s="23"/>
      <c r="JN515" s="23"/>
      <c r="JO515" s="23"/>
      <c r="JP515" s="23"/>
      <c r="JQ515" s="23"/>
      <c r="JR515" s="23"/>
      <c r="JS515" s="23"/>
      <c r="JT515" s="23"/>
      <c r="JU515" s="23"/>
      <c r="JV515" s="23"/>
      <c r="JW515" s="23"/>
      <c r="JX515" s="23"/>
      <c r="JY515" s="23"/>
      <c r="JZ515" s="23"/>
      <c r="KA515" s="23"/>
      <c r="KB515" s="23"/>
      <c r="KC515" s="23"/>
      <c r="KD515" s="23"/>
      <c r="KE515" s="23"/>
      <c r="KF515" s="23"/>
      <c r="KG515" s="23"/>
      <c r="KH515" s="23"/>
      <c r="KI515" s="23"/>
      <c r="KJ515" s="23"/>
      <c r="KK515" s="23"/>
      <c r="KL515" s="23"/>
      <c r="KM515" s="23"/>
      <c r="KN515" s="23"/>
      <c r="KO515" s="23"/>
      <c r="KP515" s="23"/>
      <c r="KQ515" s="23"/>
      <c r="KR515" s="23"/>
      <c r="KS515" s="23"/>
      <c r="KT515" s="23"/>
      <c r="KU515" s="23"/>
      <c r="KV515" s="23"/>
      <c r="KW515" s="23"/>
      <c r="KX515" s="23"/>
      <c r="KY515" s="23"/>
      <c r="KZ515" s="23"/>
      <c r="LA515" s="23"/>
      <c r="LB515" s="23"/>
      <c r="LC515" s="23"/>
      <c r="LD515" s="23"/>
      <c r="LE515" s="23"/>
      <c r="LF515" s="23"/>
      <c r="LG515" s="23"/>
      <c r="LH515" s="23"/>
      <c r="LI515" s="23"/>
      <c r="LJ515" s="23"/>
      <c r="LK515" s="23"/>
      <c r="LL515" s="23"/>
      <c r="LM515" s="23"/>
      <c r="LN515" s="23"/>
      <c r="LO515" s="23"/>
    </row>
    <row r="516" spans="1:327">
      <c r="A516" s="390"/>
      <c r="B516" s="23"/>
      <c r="C516" s="391"/>
      <c r="D516" s="391"/>
      <c r="E516" s="23"/>
      <c r="F516" s="23"/>
      <c r="G516" s="392"/>
      <c r="H516" s="392"/>
      <c r="I516" s="392"/>
      <c r="J516" s="392"/>
      <c r="K516" s="392"/>
      <c r="L516" s="392"/>
      <c r="M516" s="392"/>
      <c r="N516" s="23"/>
      <c r="O516" s="39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  <c r="IL516" s="23"/>
      <c r="IM516" s="23"/>
      <c r="IN516" s="23"/>
      <c r="IO516" s="23"/>
      <c r="IP516" s="23"/>
      <c r="IQ516" s="23"/>
      <c r="IR516" s="23"/>
      <c r="IS516" s="23"/>
      <c r="IT516" s="23"/>
      <c r="IU516" s="23"/>
      <c r="IV516" s="23"/>
      <c r="IW516" s="23"/>
      <c r="IX516" s="23"/>
      <c r="IY516" s="23"/>
      <c r="IZ516" s="23"/>
      <c r="JA516" s="23"/>
      <c r="JB516" s="23"/>
      <c r="JC516" s="23"/>
      <c r="JD516" s="23"/>
      <c r="JE516" s="23"/>
      <c r="JF516" s="23"/>
      <c r="JG516" s="23"/>
      <c r="JH516" s="23"/>
      <c r="JI516" s="23"/>
      <c r="JJ516" s="23"/>
      <c r="JK516" s="23"/>
      <c r="JL516" s="23"/>
      <c r="JM516" s="23"/>
      <c r="JN516" s="23"/>
      <c r="JO516" s="23"/>
      <c r="JP516" s="23"/>
      <c r="JQ516" s="23"/>
      <c r="JR516" s="23"/>
      <c r="JS516" s="23"/>
      <c r="JT516" s="23"/>
      <c r="JU516" s="23"/>
      <c r="JV516" s="23"/>
      <c r="JW516" s="23"/>
      <c r="JX516" s="23"/>
      <c r="JY516" s="23"/>
      <c r="JZ516" s="23"/>
      <c r="KA516" s="23"/>
      <c r="KB516" s="23"/>
      <c r="KC516" s="23"/>
      <c r="KD516" s="23"/>
      <c r="KE516" s="23"/>
      <c r="KF516" s="23"/>
      <c r="KG516" s="23"/>
      <c r="KH516" s="23"/>
      <c r="KI516" s="23"/>
      <c r="KJ516" s="23"/>
      <c r="KK516" s="23"/>
      <c r="KL516" s="23"/>
      <c r="KM516" s="23"/>
      <c r="KN516" s="23"/>
      <c r="KO516" s="23"/>
      <c r="KP516" s="23"/>
      <c r="KQ516" s="23"/>
      <c r="KR516" s="23"/>
      <c r="KS516" s="23"/>
      <c r="KT516" s="23"/>
      <c r="KU516" s="23"/>
      <c r="KV516" s="23"/>
      <c r="KW516" s="23"/>
      <c r="KX516" s="23"/>
      <c r="KY516" s="23"/>
      <c r="KZ516" s="23"/>
      <c r="LA516" s="23"/>
      <c r="LB516" s="23"/>
      <c r="LC516" s="23"/>
      <c r="LD516" s="23"/>
      <c r="LE516" s="23"/>
      <c r="LF516" s="23"/>
      <c r="LG516" s="23"/>
      <c r="LH516" s="23"/>
      <c r="LI516" s="23"/>
      <c r="LJ516" s="23"/>
      <c r="LK516" s="23"/>
      <c r="LL516" s="23"/>
      <c r="LM516" s="23"/>
      <c r="LN516" s="23"/>
      <c r="LO516" s="23"/>
    </row>
    <row r="517" spans="1:327">
      <c r="A517" s="390"/>
      <c r="B517" s="23"/>
      <c r="C517" s="391"/>
      <c r="D517" s="391"/>
      <c r="E517" s="23"/>
      <c r="F517" s="23"/>
      <c r="G517" s="392"/>
      <c r="H517" s="392"/>
      <c r="I517" s="392"/>
      <c r="J517" s="392"/>
      <c r="K517" s="392"/>
      <c r="L517" s="392"/>
      <c r="M517" s="392"/>
      <c r="N517" s="23"/>
      <c r="O517" s="39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  <c r="IL517" s="23"/>
      <c r="IM517" s="23"/>
      <c r="IN517" s="23"/>
      <c r="IO517" s="23"/>
      <c r="IP517" s="23"/>
      <c r="IQ517" s="23"/>
      <c r="IR517" s="23"/>
      <c r="IS517" s="23"/>
      <c r="IT517" s="23"/>
      <c r="IU517" s="23"/>
      <c r="IV517" s="23"/>
      <c r="IW517" s="23"/>
      <c r="IX517" s="23"/>
      <c r="IY517" s="23"/>
      <c r="IZ517" s="23"/>
      <c r="JA517" s="23"/>
      <c r="JB517" s="23"/>
      <c r="JC517" s="23"/>
      <c r="JD517" s="23"/>
      <c r="JE517" s="23"/>
      <c r="JF517" s="23"/>
      <c r="JG517" s="23"/>
      <c r="JH517" s="23"/>
      <c r="JI517" s="23"/>
      <c r="JJ517" s="23"/>
      <c r="JK517" s="23"/>
      <c r="JL517" s="23"/>
      <c r="JM517" s="23"/>
      <c r="JN517" s="23"/>
      <c r="JO517" s="23"/>
      <c r="JP517" s="23"/>
      <c r="JQ517" s="23"/>
      <c r="JR517" s="23"/>
      <c r="JS517" s="23"/>
      <c r="JT517" s="23"/>
      <c r="JU517" s="23"/>
      <c r="JV517" s="23"/>
      <c r="JW517" s="23"/>
      <c r="JX517" s="23"/>
      <c r="JY517" s="23"/>
      <c r="JZ517" s="23"/>
      <c r="KA517" s="23"/>
      <c r="KB517" s="23"/>
      <c r="KC517" s="23"/>
      <c r="KD517" s="23"/>
      <c r="KE517" s="23"/>
      <c r="KF517" s="23"/>
      <c r="KG517" s="23"/>
      <c r="KH517" s="23"/>
      <c r="KI517" s="23"/>
      <c r="KJ517" s="23"/>
      <c r="KK517" s="23"/>
      <c r="KL517" s="23"/>
      <c r="KM517" s="23"/>
      <c r="KN517" s="23"/>
      <c r="KO517" s="23"/>
      <c r="KP517" s="23"/>
      <c r="KQ517" s="23"/>
      <c r="KR517" s="23"/>
      <c r="KS517" s="23"/>
      <c r="KT517" s="23"/>
      <c r="KU517" s="23"/>
      <c r="KV517" s="23"/>
      <c r="KW517" s="23"/>
      <c r="KX517" s="23"/>
      <c r="KY517" s="23"/>
      <c r="KZ517" s="23"/>
      <c r="LA517" s="23"/>
      <c r="LB517" s="23"/>
      <c r="LC517" s="23"/>
      <c r="LD517" s="23"/>
      <c r="LE517" s="23"/>
      <c r="LF517" s="23"/>
      <c r="LG517" s="23"/>
      <c r="LH517" s="23"/>
      <c r="LI517" s="23"/>
      <c r="LJ517" s="23"/>
      <c r="LK517" s="23"/>
      <c r="LL517" s="23"/>
      <c r="LM517" s="23"/>
      <c r="LN517" s="23"/>
      <c r="LO517" s="23"/>
    </row>
    <row r="518" spans="1:327">
      <c r="A518" s="390"/>
      <c r="B518" s="23"/>
      <c r="C518" s="391"/>
      <c r="D518" s="391"/>
      <c r="E518" s="23"/>
      <c r="F518" s="23"/>
      <c r="G518" s="392"/>
      <c r="H518" s="392"/>
      <c r="I518" s="392"/>
      <c r="J518" s="392"/>
      <c r="K518" s="392"/>
      <c r="L518" s="392"/>
      <c r="M518" s="392"/>
      <c r="N518" s="23"/>
      <c r="O518" s="39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  <c r="IL518" s="23"/>
      <c r="IM518" s="23"/>
      <c r="IN518" s="23"/>
      <c r="IO518" s="23"/>
      <c r="IP518" s="23"/>
      <c r="IQ518" s="23"/>
      <c r="IR518" s="23"/>
      <c r="IS518" s="23"/>
      <c r="IT518" s="23"/>
      <c r="IU518" s="23"/>
      <c r="IV518" s="23"/>
      <c r="IW518" s="23"/>
      <c r="IX518" s="23"/>
      <c r="IY518" s="23"/>
      <c r="IZ518" s="23"/>
      <c r="JA518" s="23"/>
      <c r="JB518" s="23"/>
      <c r="JC518" s="23"/>
      <c r="JD518" s="23"/>
      <c r="JE518" s="23"/>
      <c r="JF518" s="23"/>
      <c r="JG518" s="23"/>
      <c r="JH518" s="23"/>
      <c r="JI518" s="23"/>
      <c r="JJ518" s="23"/>
      <c r="JK518" s="23"/>
      <c r="JL518" s="23"/>
      <c r="JM518" s="23"/>
      <c r="JN518" s="23"/>
      <c r="JO518" s="23"/>
      <c r="JP518" s="23"/>
      <c r="JQ518" s="23"/>
      <c r="JR518" s="23"/>
      <c r="JS518" s="23"/>
      <c r="JT518" s="23"/>
      <c r="JU518" s="23"/>
      <c r="JV518" s="23"/>
      <c r="JW518" s="23"/>
      <c r="JX518" s="23"/>
      <c r="JY518" s="23"/>
      <c r="JZ518" s="23"/>
      <c r="KA518" s="23"/>
      <c r="KB518" s="23"/>
      <c r="KC518" s="23"/>
      <c r="KD518" s="23"/>
      <c r="KE518" s="23"/>
      <c r="KF518" s="23"/>
      <c r="KG518" s="23"/>
      <c r="KH518" s="23"/>
      <c r="KI518" s="23"/>
      <c r="KJ518" s="23"/>
      <c r="KK518" s="23"/>
      <c r="KL518" s="23"/>
      <c r="KM518" s="23"/>
      <c r="KN518" s="23"/>
      <c r="KO518" s="23"/>
      <c r="KP518" s="23"/>
      <c r="KQ518" s="23"/>
      <c r="KR518" s="23"/>
      <c r="KS518" s="23"/>
      <c r="KT518" s="23"/>
      <c r="KU518" s="23"/>
      <c r="KV518" s="23"/>
      <c r="KW518" s="23"/>
      <c r="KX518" s="23"/>
      <c r="KY518" s="23"/>
      <c r="KZ518" s="23"/>
      <c r="LA518" s="23"/>
      <c r="LB518" s="23"/>
      <c r="LC518" s="23"/>
      <c r="LD518" s="23"/>
      <c r="LE518" s="23"/>
      <c r="LF518" s="23"/>
      <c r="LG518" s="23"/>
      <c r="LH518" s="23"/>
      <c r="LI518" s="23"/>
      <c r="LJ518" s="23"/>
      <c r="LK518" s="23"/>
      <c r="LL518" s="23"/>
      <c r="LM518" s="23"/>
      <c r="LN518" s="23"/>
      <c r="LO518" s="23"/>
    </row>
    <row r="519" spans="1:327">
      <c r="A519" s="390"/>
      <c r="B519" s="23"/>
      <c r="C519" s="391"/>
      <c r="D519" s="391"/>
      <c r="E519" s="23"/>
      <c r="F519" s="23"/>
      <c r="G519" s="392"/>
      <c r="H519" s="392"/>
      <c r="I519" s="392"/>
      <c r="J519" s="392"/>
      <c r="K519" s="392"/>
      <c r="L519" s="392"/>
      <c r="M519" s="392"/>
      <c r="N519" s="23"/>
      <c r="O519" s="39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  <c r="IL519" s="23"/>
      <c r="IM519" s="23"/>
      <c r="IN519" s="23"/>
      <c r="IO519" s="23"/>
      <c r="IP519" s="23"/>
      <c r="IQ519" s="23"/>
      <c r="IR519" s="23"/>
      <c r="IS519" s="23"/>
      <c r="IT519" s="23"/>
      <c r="IU519" s="23"/>
      <c r="IV519" s="23"/>
      <c r="IW519" s="23"/>
      <c r="IX519" s="23"/>
      <c r="IY519" s="23"/>
      <c r="IZ519" s="23"/>
      <c r="JA519" s="23"/>
      <c r="JB519" s="23"/>
      <c r="JC519" s="23"/>
      <c r="JD519" s="23"/>
      <c r="JE519" s="23"/>
      <c r="JF519" s="23"/>
      <c r="JG519" s="23"/>
      <c r="JH519" s="23"/>
      <c r="JI519" s="23"/>
      <c r="JJ519" s="23"/>
      <c r="JK519" s="23"/>
      <c r="JL519" s="23"/>
      <c r="JM519" s="23"/>
      <c r="JN519" s="23"/>
      <c r="JO519" s="23"/>
      <c r="JP519" s="23"/>
      <c r="JQ519" s="23"/>
      <c r="JR519" s="23"/>
      <c r="JS519" s="23"/>
      <c r="JT519" s="23"/>
      <c r="JU519" s="23"/>
      <c r="JV519" s="23"/>
      <c r="JW519" s="23"/>
      <c r="JX519" s="23"/>
      <c r="JY519" s="23"/>
      <c r="JZ519" s="23"/>
      <c r="KA519" s="23"/>
      <c r="KB519" s="23"/>
      <c r="KC519" s="23"/>
      <c r="KD519" s="23"/>
      <c r="KE519" s="23"/>
      <c r="KF519" s="23"/>
      <c r="KG519" s="23"/>
      <c r="KH519" s="23"/>
      <c r="KI519" s="23"/>
      <c r="KJ519" s="23"/>
      <c r="KK519" s="23"/>
      <c r="KL519" s="23"/>
      <c r="KM519" s="23"/>
      <c r="KN519" s="23"/>
      <c r="KO519" s="23"/>
      <c r="KP519" s="23"/>
      <c r="KQ519" s="23"/>
      <c r="KR519" s="23"/>
      <c r="KS519" s="23"/>
      <c r="KT519" s="23"/>
      <c r="KU519" s="23"/>
      <c r="KV519" s="23"/>
      <c r="KW519" s="23"/>
      <c r="KX519" s="23"/>
      <c r="KY519" s="23"/>
      <c r="KZ519" s="23"/>
      <c r="LA519" s="23"/>
      <c r="LB519" s="23"/>
      <c r="LC519" s="23"/>
      <c r="LD519" s="23"/>
      <c r="LE519" s="23"/>
      <c r="LF519" s="23"/>
      <c r="LG519" s="23"/>
      <c r="LH519" s="23"/>
      <c r="LI519" s="23"/>
      <c r="LJ519" s="23"/>
      <c r="LK519" s="23"/>
      <c r="LL519" s="23"/>
      <c r="LM519" s="23"/>
      <c r="LN519" s="23"/>
      <c r="LO519" s="23"/>
    </row>
    <row r="520" spans="1:327">
      <c r="A520" s="390"/>
      <c r="B520" s="23"/>
      <c r="C520" s="391"/>
      <c r="D520" s="391"/>
      <c r="E520" s="23"/>
      <c r="F520" s="23"/>
      <c r="G520" s="392"/>
      <c r="H520" s="392"/>
      <c r="I520" s="392"/>
      <c r="J520" s="392"/>
      <c r="K520" s="392"/>
      <c r="L520" s="392"/>
      <c r="M520" s="392"/>
      <c r="N520" s="23"/>
      <c r="O520" s="39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  <c r="IL520" s="23"/>
      <c r="IM520" s="23"/>
      <c r="IN520" s="23"/>
      <c r="IO520" s="23"/>
      <c r="IP520" s="23"/>
      <c r="IQ520" s="23"/>
      <c r="IR520" s="23"/>
      <c r="IS520" s="23"/>
      <c r="IT520" s="23"/>
      <c r="IU520" s="23"/>
      <c r="IV520" s="23"/>
      <c r="IW520" s="23"/>
      <c r="IX520" s="23"/>
      <c r="IY520" s="23"/>
      <c r="IZ520" s="23"/>
      <c r="JA520" s="23"/>
      <c r="JB520" s="23"/>
      <c r="JC520" s="23"/>
      <c r="JD520" s="23"/>
      <c r="JE520" s="23"/>
      <c r="JF520" s="23"/>
      <c r="JG520" s="23"/>
      <c r="JH520" s="23"/>
      <c r="JI520" s="23"/>
      <c r="JJ520" s="23"/>
      <c r="JK520" s="23"/>
      <c r="JL520" s="23"/>
      <c r="JM520" s="23"/>
      <c r="JN520" s="23"/>
      <c r="JO520" s="23"/>
      <c r="JP520" s="23"/>
      <c r="JQ520" s="23"/>
      <c r="JR520" s="23"/>
      <c r="JS520" s="23"/>
      <c r="JT520" s="23"/>
      <c r="JU520" s="23"/>
      <c r="JV520" s="23"/>
      <c r="JW520" s="23"/>
      <c r="JX520" s="23"/>
      <c r="JY520" s="23"/>
      <c r="JZ520" s="23"/>
      <c r="KA520" s="23"/>
      <c r="KB520" s="23"/>
      <c r="KC520" s="23"/>
      <c r="KD520" s="23"/>
      <c r="KE520" s="23"/>
      <c r="KF520" s="23"/>
      <c r="KG520" s="23"/>
      <c r="KH520" s="23"/>
      <c r="KI520" s="23"/>
      <c r="KJ520" s="23"/>
      <c r="KK520" s="23"/>
      <c r="KL520" s="23"/>
      <c r="KM520" s="23"/>
      <c r="KN520" s="23"/>
      <c r="KO520" s="23"/>
      <c r="KP520" s="23"/>
      <c r="KQ520" s="23"/>
      <c r="KR520" s="23"/>
      <c r="KS520" s="23"/>
      <c r="KT520" s="23"/>
      <c r="KU520" s="23"/>
      <c r="KV520" s="23"/>
      <c r="KW520" s="23"/>
      <c r="KX520" s="23"/>
      <c r="KY520" s="23"/>
      <c r="KZ520" s="23"/>
      <c r="LA520" s="23"/>
      <c r="LB520" s="23"/>
      <c r="LC520" s="23"/>
      <c r="LD520" s="23"/>
      <c r="LE520" s="23"/>
      <c r="LF520" s="23"/>
      <c r="LG520" s="23"/>
      <c r="LH520" s="23"/>
      <c r="LI520" s="23"/>
      <c r="LJ520" s="23"/>
      <c r="LK520" s="23"/>
      <c r="LL520" s="23"/>
      <c r="LM520" s="23"/>
      <c r="LN520" s="23"/>
      <c r="LO520" s="23"/>
    </row>
    <row r="521" spans="1:327">
      <c r="A521" s="390"/>
      <c r="B521" s="23"/>
      <c r="C521" s="391"/>
      <c r="D521" s="391"/>
      <c r="E521" s="23"/>
      <c r="F521" s="23"/>
      <c r="G521" s="392"/>
      <c r="H521" s="392"/>
      <c r="I521" s="392"/>
      <c r="J521" s="392"/>
      <c r="K521" s="392"/>
      <c r="L521" s="392"/>
      <c r="M521" s="392"/>
      <c r="N521" s="23"/>
      <c r="O521" s="39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  <c r="IL521" s="23"/>
      <c r="IM521" s="23"/>
      <c r="IN521" s="23"/>
      <c r="IO521" s="23"/>
      <c r="IP521" s="23"/>
      <c r="IQ521" s="23"/>
      <c r="IR521" s="23"/>
      <c r="IS521" s="23"/>
      <c r="IT521" s="23"/>
      <c r="IU521" s="23"/>
      <c r="IV521" s="23"/>
      <c r="IW521" s="23"/>
      <c r="IX521" s="23"/>
      <c r="IY521" s="23"/>
      <c r="IZ521" s="23"/>
      <c r="JA521" s="23"/>
      <c r="JB521" s="23"/>
      <c r="JC521" s="23"/>
      <c r="JD521" s="23"/>
      <c r="JE521" s="23"/>
      <c r="JF521" s="23"/>
      <c r="JG521" s="23"/>
      <c r="JH521" s="23"/>
      <c r="JI521" s="23"/>
      <c r="JJ521" s="23"/>
      <c r="JK521" s="23"/>
      <c r="JL521" s="23"/>
      <c r="JM521" s="23"/>
      <c r="JN521" s="23"/>
      <c r="JO521" s="23"/>
      <c r="JP521" s="23"/>
      <c r="JQ521" s="23"/>
      <c r="JR521" s="23"/>
      <c r="JS521" s="23"/>
      <c r="JT521" s="23"/>
      <c r="JU521" s="23"/>
      <c r="JV521" s="23"/>
      <c r="JW521" s="23"/>
      <c r="JX521" s="23"/>
      <c r="JY521" s="23"/>
      <c r="JZ521" s="23"/>
      <c r="KA521" s="23"/>
      <c r="KB521" s="23"/>
      <c r="KC521" s="23"/>
      <c r="KD521" s="23"/>
      <c r="KE521" s="23"/>
      <c r="KF521" s="23"/>
      <c r="KG521" s="23"/>
      <c r="KH521" s="23"/>
      <c r="KI521" s="23"/>
      <c r="KJ521" s="23"/>
      <c r="KK521" s="23"/>
      <c r="KL521" s="23"/>
      <c r="KM521" s="23"/>
      <c r="KN521" s="23"/>
      <c r="KO521" s="23"/>
      <c r="KP521" s="23"/>
      <c r="KQ521" s="23"/>
      <c r="KR521" s="23"/>
      <c r="KS521" s="23"/>
      <c r="KT521" s="23"/>
      <c r="KU521" s="23"/>
      <c r="KV521" s="23"/>
      <c r="KW521" s="23"/>
      <c r="KX521" s="23"/>
      <c r="KY521" s="23"/>
      <c r="KZ521" s="23"/>
      <c r="LA521" s="23"/>
      <c r="LB521" s="23"/>
      <c r="LC521" s="23"/>
      <c r="LD521" s="23"/>
      <c r="LE521" s="23"/>
      <c r="LF521" s="23"/>
      <c r="LG521" s="23"/>
      <c r="LH521" s="23"/>
      <c r="LI521" s="23"/>
      <c r="LJ521" s="23"/>
      <c r="LK521" s="23"/>
      <c r="LL521" s="23"/>
      <c r="LM521" s="23"/>
      <c r="LN521" s="23"/>
      <c r="LO521" s="23"/>
    </row>
    <row r="522" spans="1:327">
      <c r="A522" s="390"/>
      <c r="B522" s="23"/>
      <c r="C522" s="391"/>
      <c r="D522" s="391"/>
      <c r="E522" s="23"/>
      <c r="F522" s="23"/>
      <c r="G522" s="392"/>
      <c r="H522" s="392"/>
      <c r="I522" s="392"/>
      <c r="J522" s="392"/>
      <c r="K522" s="392"/>
      <c r="L522" s="392"/>
      <c r="M522" s="392"/>
      <c r="N522" s="23"/>
      <c r="O522" s="39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  <c r="IL522" s="23"/>
      <c r="IM522" s="23"/>
      <c r="IN522" s="23"/>
      <c r="IO522" s="23"/>
      <c r="IP522" s="23"/>
      <c r="IQ522" s="23"/>
      <c r="IR522" s="23"/>
      <c r="IS522" s="23"/>
      <c r="IT522" s="23"/>
      <c r="IU522" s="23"/>
      <c r="IV522" s="23"/>
      <c r="IW522" s="23"/>
      <c r="IX522" s="23"/>
      <c r="IY522" s="23"/>
      <c r="IZ522" s="23"/>
      <c r="JA522" s="23"/>
      <c r="JB522" s="23"/>
      <c r="JC522" s="23"/>
      <c r="JD522" s="23"/>
      <c r="JE522" s="23"/>
      <c r="JF522" s="23"/>
      <c r="JG522" s="23"/>
      <c r="JH522" s="23"/>
      <c r="JI522" s="23"/>
      <c r="JJ522" s="23"/>
      <c r="JK522" s="23"/>
      <c r="JL522" s="23"/>
      <c r="JM522" s="23"/>
      <c r="JN522" s="23"/>
      <c r="JO522" s="23"/>
      <c r="JP522" s="23"/>
      <c r="JQ522" s="23"/>
      <c r="JR522" s="23"/>
      <c r="JS522" s="23"/>
      <c r="JT522" s="23"/>
      <c r="JU522" s="23"/>
      <c r="JV522" s="23"/>
      <c r="JW522" s="23"/>
      <c r="JX522" s="23"/>
      <c r="JY522" s="23"/>
      <c r="JZ522" s="23"/>
      <c r="KA522" s="23"/>
      <c r="KB522" s="23"/>
      <c r="KC522" s="23"/>
      <c r="KD522" s="23"/>
      <c r="KE522" s="23"/>
      <c r="KF522" s="23"/>
      <c r="KG522" s="23"/>
      <c r="KH522" s="23"/>
      <c r="KI522" s="23"/>
      <c r="KJ522" s="23"/>
      <c r="KK522" s="23"/>
      <c r="KL522" s="23"/>
      <c r="KM522" s="23"/>
      <c r="KN522" s="23"/>
      <c r="KO522" s="23"/>
      <c r="KP522" s="23"/>
      <c r="KQ522" s="23"/>
      <c r="KR522" s="23"/>
      <c r="KS522" s="23"/>
      <c r="KT522" s="23"/>
      <c r="KU522" s="23"/>
      <c r="KV522" s="23"/>
      <c r="KW522" s="23"/>
      <c r="KX522" s="23"/>
      <c r="KY522" s="23"/>
      <c r="KZ522" s="23"/>
      <c r="LA522" s="23"/>
      <c r="LB522" s="23"/>
      <c r="LC522" s="23"/>
      <c r="LD522" s="23"/>
      <c r="LE522" s="23"/>
      <c r="LF522" s="23"/>
      <c r="LG522" s="23"/>
      <c r="LH522" s="23"/>
      <c r="LI522" s="23"/>
      <c r="LJ522" s="23"/>
      <c r="LK522" s="23"/>
      <c r="LL522" s="23"/>
      <c r="LM522" s="23"/>
      <c r="LN522" s="23"/>
      <c r="LO522" s="23"/>
    </row>
    <row r="523" spans="1:327">
      <c r="A523" s="390"/>
      <c r="B523" s="23"/>
      <c r="C523" s="391"/>
      <c r="D523" s="391"/>
      <c r="E523" s="23"/>
      <c r="F523" s="23"/>
      <c r="G523" s="392"/>
      <c r="H523" s="392"/>
      <c r="I523" s="392"/>
      <c r="J523" s="392"/>
      <c r="K523" s="392"/>
      <c r="L523" s="392"/>
      <c r="M523" s="392"/>
      <c r="N523" s="23"/>
      <c r="O523" s="39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  <c r="IL523" s="23"/>
      <c r="IM523" s="23"/>
      <c r="IN523" s="23"/>
      <c r="IO523" s="23"/>
      <c r="IP523" s="23"/>
      <c r="IQ523" s="23"/>
      <c r="IR523" s="23"/>
      <c r="IS523" s="23"/>
      <c r="IT523" s="23"/>
      <c r="IU523" s="23"/>
      <c r="IV523" s="23"/>
      <c r="IW523" s="23"/>
      <c r="IX523" s="23"/>
      <c r="IY523" s="23"/>
      <c r="IZ523" s="23"/>
      <c r="JA523" s="23"/>
      <c r="JB523" s="23"/>
      <c r="JC523" s="23"/>
      <c r="JD523" s="23"/>
      <c r="JE523" s="23"/>
      <c r="JF523" s="23"/>
      <c r="JG523" s="23"/>
      <c r="JH523" s="23"/>
      <c r="JI523" s="23"/>
      <c r="JJ523" s="23"/>
      <c r="JK523" s="23"/>
      <c r="JL523" s="23"/>
      <c r="JM523" s="23"/>
      <c r="JN523" s="23"/>
      <c r="JO523" s="23"/>
      <c r="JP523" s="23"/>
      <c r="JQ523" s="23"/>
      <c r="JR523" s="23"/>
      <c r="JS523" s="23"/>
      <c r="JT523" s="23"/>
      <c r="JU523" s="23"/>
      <c r="JV523" s="23"/>
      <c r="JW523" s="23"/>
      <c r="JX523" s="23"/>
      <c r="JY523" s="23"/>
      <c r="JZ523" s="23"/>
      <c r="KA523" s="23"/>
      <c r="KB523" s="23"/>
      <c r="KC523" s="23"/>
      <c r="KD523" s="23"/>
      <c r="KE523" s="23"/>
      <c r="KF523" s="23"/>
      <c r="KG523" s="23"/>
      <c r="KH523" s="23"/>
      <c r="KI523" s="23"/>
      <c r="KJ523" s="23"/>
      <c r="KK523" s="23"/>
      <c r="KL523" s="23"/>
      <c r="KM523" s="23"/>
      <c r="KN523" s="23"/>
      <c r="KO523" s="23"/>
      <c r="KP523" s="23"/>
      <c r="KQ523" s="23"/>
      <c r="KR523" s="23"/>
      <c r="KS523" s="23"/>
      <c r="KT523" s="23"/>
      <c r="KU523" s="23"/>
      <c r="KV523" s="23"/>
      <c r="KW523" s="23"/>
      <c r="KX523" s="23"/>
      <c r="KY523" s="23"/>
      <c r="KZ523" s="23"/>
      <c r="LA523" s="23"/>
      <c r="LB523" s="23"/>
      <c r="LC523" s="23"/>
      <c r="LD523" s="23"/>
      <c r="LE523" s="23"/>
      <c r="LF523" s="23"/>
      <c r="LG523" s="23"/>
      <c r="LH523" s="23"/>
      <c r="LI523" s="23"/>
      <c r="LJ523" s="23"/>
      <c r="LK523" s="23"/>
      <c r="LL523" s="23"/>
      <c r="LM523" s="23"/>
      <c r="LN523" s="23"/>
      <c r="LO523" s="23"/>
    </row>
    <row r="524" spans="1:327">
      <c r="A524" s="390"/>
      <c r="B524" s="23"/>
      <c r="C524" s="391"/>
      <c r="D524" s="391"/>
      <c r="E524" s="23"/>
      <c r="F524" s="23"/>
      <c r="G524" s="392"/>
      <c r="H524" s="392"/>
      <c r="I524" s="392"/>
      <c r="J524" s="392"/>
      <c r="K524" s="392"/>
      <c r="L524" s="392"/>
      <c r="M524" s="392"/>
      <c r="N524" s="23"/>
      <c r="O524" s="39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  <c r="IL524" s="23"/>
      <c r="IM524" s="23"/>
      <c r="IN524" s="23"/>
      <c r="IO524" s="23"/>
      <c r="IP524" s="23"/>
      <c r="IQ524" s="23"/>
      <c r="IR524" s="23"/>
      <c r="IS524" s="23"/>
      <c r="IT524" s="23"/>
      <c r="IU524" s="23"/>
      <c r="IV524" s="23"/>
      <c r="IW524" s="23"/>
      <c r="IX524" s="23"/>
      <c r="IY524" s="23"/>
      <c r="IZ524" s="23"/>
      <c r="JA524" s="23"/>
      <c r="JB524" s="23"/>
      <c r="JC524" s="23"/>
      <c r="JD524" s="23"/>
      <c r="JE524" s="23"/>
      <c r="JF524" s="23"/>
      <c r="JG524" s="23"/>
      <c r="JH524" s="23"/>
      <c r="JI524" s="23"/>
      <c r="JJ524" s="23"/>
      <c r="JK524" s="23"/>
      <c r="JL524" s="23"/>
      <c r="JM524" s="23"/>
      <c r="JN524" s="23"/>
      <c r="JO524" s="23"/>
      <c r="JP524" s="23"/>
      <c r="JQ524" s="23"/>
      <c r="JR524" s="23"/>
      <c r="JS524" s="23"/>
      <c r="JT524" s="23"/>
      <c r="JU524" s="23"/>
      <c r="JV524" s="23"/>
      <c r="JW524" s="23"/>
      <c r="JX524" s="23"/>
      <c r="JY524" s="23"/>
      <c r="JZ524" s="23"/>
      <c r="KA524" s="23"/>
      <c r="KB524" s="23"/>
      <c r="KC524" s="23"/>
      <c r="KD524" s="23"/>
      <c r="KE524" s="23"/>
      <c r="KF524" s="23"/>
      <c r="KG524" s="23"/>
      <c r="KH524" s="23"/>
      <c r="KI524" s="23"/>
      <c r="KJ524" s="23"/>
      <c r="KK524" s="23"/>
      <c r="KL524" s="23"/>
      <c r="KM524" s="23"/>
      <c r="KN524" s="23"/>
      <c r="KO524" s="23"/>
      <c r="KP524" s="23"/>
      <c r="KQ524" s="23"/>
      <c r="KR524" s="23"/>
      <c r="KS524" s="23"/>
      <c r="KT524" s="23"/>
      <c r="KU524" s="23"/>
      <c r="KV524" s="23"/>
      <c r="KW524" s="23"/>
      <c r="KX524" s="23"/>
      <c r="KY524" s="23"/>
      <c r="KZ524" s="23"/>
      <c r="LA524" s="23"/>
      <c r="LB524" s="23"/>
      <c r="LC524" s="23"/>
      <c r="LD524" s="23"/>
      <c r="LE524" s="23"/>
      <c r="LF524" s="23"/>
      <c r="LG524" s="23"/>
      <c r="LH524" s="23"/>
      <c r="LI524" s="23"/>
      <c r="LJ524" s="23"/>
      <c r="LK524" s="23"/>
      <c r="LL524" s="23"/>
      <c r="LM524" s="23"/>
      <c r="LN524" s="23"/>
      <c r="LO524" s="23"/>
    </row>
    <row r="525" spans="1:327">
      <c r="A525" s="390"/>
      <c r="B525" s="23"/>
      <c r="C525" s="391"/>
      <c r="D525" s="391"/>
      <c r="E525" s="23"/>
      <c r="F525" s="23"/>
      <c r="G525" s="392"/>
      <c r="H525" s="392"/>
      <c r="I525" s="392"/>
      <c r="J525" s="392"/>
      <c r="K525" s="392"/>
      <c r="L525" s="392"/>
      <c r="M525" s="392"/>
      <c r="N525" s="23"/>
      <c r="O525" s="39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  <c r="IL525" s="23"/>
      <c r="IM525" s="23"/>
      <c r="IN525" s="23"/>
      <c r="IO525" s="23"/>
      <c r="IP525" s="23"/>
      <c r="IQ525" s="23"/>
      <c r="IR525" s="23"/>
      <c r="IS525" s="23"/>
      <c r="IT525" s="23"/>
      <c r="IU525" s="23"/>
      <c r="IV525" s="23"/>
      <c r="IW525" s="23"/>
      <c r="IX525" s="23"/>
      <c r="IY525" s="23"/>
      <c r="IZ525" s="23"/>
      <c r="JA525" s="23"/>
      <c r="JB525" s="23"/>
      <c r="JC525" s="23"/>
      <c r="JD525" s="23"/>
      <c r="JE525" s="23"/>
      <c r="JF525" s="23"/>
      <c r="JG525" s="23"/>
      <c r="JH525" s="23"/>
      <c r="JI525" s="23"/>
      <c r="JJ525" s="23"/>
      <c r="JK525" s="23"/>
      <c r="JL525" s="23"/>
      <c r="JM525" s="23"/>
      <c r="JN525" s="23"/>
      <c r="JO525" s="23"/>
      <c r="JP525" s="23"/>
      <c r="JQ525" s="23"/>
      <c r="JR525" s="23"/>
      <c r="JS525" s="23"/>
      <c r="JT525" s="23"/>
      <c r="JU525" s="23"/>
      <c r="JV525" s="23"/>
      <c r="JW525" s="23"/>
      <c r="JX525" s="23"/>
      <c r="JY525" s="23"/>
      <c r="JZ525" s="23"/>
      <c r="KA525" s="23"/>
      <c r="KB525" s="23"/>
      <c r="KC525" s="23"/>
      <c r="KD525" s="23"/>
      <c r="KE525" s="23"/>
      <c r="KF525" s="23"/>
      <c r="KG525" s="23"/>
      <c r="KH525" s="23"/>
      <c r="KI525" s="23"/>
      <c r="KJ525" s="23"/>
      <c r="KK525" s="23"/>
      <c r="KL525" s="23"/>
      <c r="KM525" s="23"/>
      <c r="KN525" s="23"/>
      <c r="KO525" s="23"/>
      <c r="KP525" s="23"/>
      <c r="KQ525" s="23"/>
      <c r="KR525" s="23"/>
      <c r="KS525" s="23"/>
      <c r="KT525" s="23"/>
      <c r="KU525" s="23"/>
      <c r="KV525" s="23"/>
      <c r="KW525" s="23"/>
      <c r="KX525" s="23"/>
      <c r="KY525" s="23"/>
      <c r="KZ525" s="23"/>
      <c r="LA525" s="23"/>
      <c r="LB525" s="23"/>
      <c r="LC525" s="23"/>
      <c r="LD525" s="23"/>
      <c r="LE525" s="23"/>
      <c r="LF525" s="23"/>
      <c r="LG525" s="23"/>
      <c r="LH525" s="23"/>
      <c r="LI525" s="23"/>
      <c r="LJ525" s="23"/>
      <c r="LK525" s="23"/>
      <c r="LL525" s="23"/>
      <c r="LM525" s="23"/>
      <c r="LN525" s="23"/>
      <c r="LO525" s="23"/>
    </row>
    <row r="526" spans="1:327">
      <c r="A526" s="390"/>
      <c r="B526" s="23"/>
      <c r="C526" s="391"/>
      <c r="D526" s="391"/>
      <c r="E526" s="23"/>
      <c r="F526" s="23"/>
      <c r="G526" s="392"/>
      <c r="H526" s="392"/>
      <c r="I526" s="392"/>
      <c r="J526" s="392"/>
      <c r="K526" s="392"/>
      <c r="L526" s="392"/>
      <c r="M526" s="392"/>
      <c r="N526" s="23"/>
      <c r="O526" s="39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  <c r="IL526" s="23"/>
      <c r="IM526" s="23"/>
      <c r="IN526" s="23"/>
      <c r="IO526" s="23"/>
      <c r="IP526" s="23"/>
      <c r="IQ526" s="23"/>
      <c r="IR526" s="23"/>
      <c r="IS526" s="23"/>
      <c r="IT526" s="23"/>
      <c r="IU526" s="23"/>
      <c r="IV526" s="23"/>
      <c r="IW526" s="23"/>
      <c r="IX526" s="23"/>
      <c r="IY526" s="23"/>
      <c r="IZ526" s="23"/>
      <c r="JA526" s="23"/>
      <c r="JB526" s="23"/>
      <c r="JC526" s="23"/>
      <c r="JD526" s="23"/>
      <c r="JE526" s="23"/>
      <c r="JF526" s="23"/>
      <c r="JG526" s="23"/>
      <c r="JH526" s="23"/>
      <c r="JI526" s="23"/>
      <c r="JJ526" s="23"/>
      <c r="JK526" s="23"/>
      <c r="JL526" s="23"/>
      <c r="JM526" s="23"/>
      <c r="JN526" s="23"/>
      <c r="JO526" s="23"/>
      <c r="JP526" s="23"/>
      <c r="JQ526" s="23"/>
      <c r="JR526" s="23"/>
      <c r="JS526" s="23"/>
      <c r="JT526" s="23"/>
      <c r="JU526" s="23"/>
      <c r="JV526" s="23"/>
      <c r="JW526" s="23"/>
      <c r="JX526" s="23"/>
      <c r="JY526" s="23"/>
      <c r="JZ526" s="23"/>
      <c r="KA526" s="23"/>
      <c r="KB526" s="23"/>
      <c r="KC526" s="23"/>
      <c r="KD526" s="23"/>
      <c r="KE526" s="23"/>
      <c r="KF526" s="23"/>
      <c r="KG526" s="23"/>
      <c r="KH526" s="23"/>
      <c r="KI526" s="23"/>
      <c r="KJ526" s="23"/>
      <c r="KK526" s="23"/>
      <c r="KL526" s="23"/>
      <c r="KM526" s="23"/>
      <c r="KN526" s="23"/>
      <c r="KO526" s="23"/>
      <c r="KP526" s="23"/>
      <c r="KQ526" s="23"/>
      <c r="KR526" s="23"/>
      <c r="KS526" s="23"/>
      <c r="KT526" s="23"/>
      <c r="KU526" s="23"/>
      <c r="KV526" s="23"/>
      <c r="KW526" s="23"/>
      <c r="KX526" s="23"/>
      <c r="KY526" s="23"/>
      <c r="KZ526" s="23"/>
      <c r="LA526" s="23"/>
      <c r="LB526" s="23"/>
      <c r="LC526" s="23"/>
      <c r="LD526" s="23"/>
      <c r="LE526" s="23"/>
      <c r="LF526" s="23"/>
      <c r="LG526" s="23"/>
      <c r="LH526" s="23"/>
      <c r="LI526" s="23"/>
      <c r="LJ526" s="23"/>
      <c r="LK526" s="23"/>
      <c r="LL526" s="23"/>
      <c r="LM526" s="23"/>
      <c r="LN526" s="23"/>
      <c r="LO526" s="23"/>
    </row>
    <row r="527" spans="1:327">
      <c r="A527" s="390"/>
      <c r="B527" s="23"/>
      <c r="C527" s="391"/>
      <c r="D527" s="391"/>
      <c r="E527" s="23"/>
      <c r="F527" s="23"/>
      <c r="G527" s="392"/>
      <c r="H527" s="392"/>
      <c r="I527" s="392"/>
      <c r="J527" s="392"/>
      <c r="K527" s="392"/>
      <c r="L527" s="392"/>
      <c r="M527" s="392"/>
      <c r="N527" s="23"/>
      <c r="O527" s="39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  <c r="IL527" s="23"/>
      <c r="IM527" s="23"/>
      <c r="IN527" s="23"/>
      <c r="IO527" s="23"/>
      <c r="IP527" s="23"/>
      <c r="IQ527" s="23"/>
      <c r="IR527" s="23"/>
      <c r="IS527" s="23"/>
      <c r="IT527" s="23"/>
      <c r="IU527" s="23"/>
      <c r="IV527" s="23"/>
      <c r="IW527" s="23"/>
      <c r="IX527" s="23"/>
      <c r="IY527" s="23"/>
      <c r="IZ527" s="23"/>
      <c r="JA527" s="23"/>
      <c r="JB527" s="23"/>
      <c r="JC527" s="23"/>
      <c r="JD527" s="23"/>
      <c r="JE527" s="23"/>
      <c r="JF527" s="23"/>
      <c r="JG527" s="23"/>
      <c r="JH527" s="23"/>
      <c r="JI527" s="23"/>
      <c r="JJ527" s="23"/>
      <c r="JK527" s="23"/>
      <c r="JL527" s="23"/>
      <c r="JM527" s="23"/>
      <c r="JN527" s="23"/>
      <c r="JO527" s="23"/>
      <c r="JP527" s="23"/>
      <c r="JQ527" s="23"/>
      <c r="JR527" s="23"/>
      <c r="JS527" s="23"/>
      <c r="JT527" s="23"/>
      <c r="JU527" s="23"/>
      <c r="JV527" s="23"/>
      <c r="JW527" s="23"/>
      <c r="JX527" s="23"/>
      <c r="JY527" s="23"/>
      <c r="JZ527" s="23"/>
      <c r="KA527" s="23"/>
      <c r="KB527" s="23"/>
      <c r="KC527" s="23"/>
      <c r="KD527" s="23"/>
      <c r="KE527" s="23"/>
      <c r="KF527" s="23"/>
      <c r="KG527" s="23"/>
      <c r="KH527" s="23"/>
      <c r="KI527" s="23"/>
      <c r="KJ527" s="23"/>
      <c r="KK527" s="23"/>
      <c r="KL527" s="23"/>
      <c r="KM527" s="23"/>
      <c r="KN527" s="23"/>
      <c r="KO527" s="23"/>
      <c r="KP527" s="23"/>
      <c r="KQ527" s="23"/>
      <c r="KR527" s="23"/>
      <c r="KS527" s="23"/>
      <c r="KT527" s="23"/>
      <c r="KU527" s="23"/>
      <c r="KV527" s="23"/>
      <c r="KW527" s="23"/>
      <c r="KX527" s="23"/>
      <c r="KY527" s="23"/>
      <c r="KZ527" s="23"/>
      <c r="LA527" s="23"/>
      <c r="LB527" s="23"/>
      <c r="LC527" s="23"/>
      <c r="LD527" s="23"/>
      <c r="LE527" s="23"/>
      <c r="LF527" s="23"/>
      <c r="LG527" s="23"/>
      <c r="LH527" s="23"/>
      <c r="LI527" s="23"/>
      <c r="LJ527" s="23"/>
      <c r="LK527" s="23"/>
      <c r="LL527" s="23"/>
      <c r="LM527" s="23"/>
      <c r="LN527" s="23"/>
      <c r="LO527" s="23"/>
    </row>
    <row r="528" spans="1:327">
      <c r="A528" s="390"/>
      <c r="B528" s="23"/>
      <c r="C528" s="391"/>
      <c r="D528" s="391"/>
      <c r="E528" s="23"/>
      <c r="F528" s="23"/>
      <c r="G528" s="392"/>
      <c r="H528" s="392"/>
      <c r="I528" s="392"/>
      <c r="J528" s="392"/>
      <c r="K528" s="392"/>
      <c r="L528" s="392"/>
      <c r="M528" s="392"/>
      <c r="N528" s="23"/>
      <c r="O528" s="39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  <c r="IL528" s="23"/>
      <c r="IM528" s="23"/>
      <c r="IN528" s="23"/>
      <c r="IO528" s="23"/>
      <c r="IP528" s="23"/>
      <c r="IQ528" s="23"/>
      <c r="IR528" s="23"/>
      <c r="IS528" s="23"/>
      <c r="IT528" s="23"/>
      <c r="IU528" s="23"/>
      <c r="IV528" s="23"/>
      <c r="IW528" s="23"/>
      <c r="IX528" s="23"/>
      <c r="IY528" s="23"/>
      <c r="IZ528" s="23"/>
      <c r="JA528" s="23"/>
      <c r="JB528" s="23"/>
      <c r="JC528" s="23"/>
      <c r="JD528" s="23"/>
      <c r="JE528" s="23"/>
      <c r="JF528" s="23"/>
      <c r="JG528" s="23"/>
      <c r="JH528" s="23"/>
      <c r="JI528" s="23"/>
      <c r="JJ528" s="23"/>
      <c r="JK528" s="23"/>
      <c r="JL528" s="23"/>
      <c r="JM528" s="23"/>
      <c r="JN528" s="23"/>
      <c r="JO528" s="23"/>
      <c r="JP528" s="23"/>
      <c r="JQ528" s="23"/>
      <c r="JR528" s="23"/>
      <c r="JS528" s="23"/>
      <c r="JT528" s="23"/>
      <c r="JU528" s="23"/>
      <c r="JV528" s="23"/>
      <c r="JW528" s="23"/>
      <c r="JX528" s="23"/>
      <c r="JY528" s="23"/>
      <c r="JZ528" s="23"/>
      <c r="KA528" s="23"/>
      <c r="KB528" s="23"/>
      <c r="KC528" s="23"/>
      <c r="KD528" s="23"/>
      <c r="KE528" s="23"/>
      <c r="KF528" s="23"/>
      <c r="KG528" s="23"/>
      <c r="KH528" s="23"/>
      <c r="KI528" s="23"/>
      <c r="KJ528" s="23"/>
      <c r="KK528" s="23"/>
      <c r="KL528" s="23"/>
      <c r="KM528" s="23"/>
      <c r="KN528" s="23"/>
      <c r="KO528" s="23"/>
      <c r="KP528" s="23"/>
      <c r="KQ528" s="23"/>
      <c r="KR528" s="23"/>
      <c r="KS528" s="23"/>
      <c r="KT528" s="23"/>
      <c r="KU528" s="23"/>
      <c r="KV528" s="23"/>
      <c r="KW528" s="23"/>
      <c r="KX528" s="23"/>
      <c r="KY528" s="23"/>
      <c r="KZ528" s="23"/>
      <c r="LA528" s="23"/>
      <c r="LB528" s="23"/>
      <c r="LC528" s="23"/>
      <c r="LD528" s="23"/>
      <c r="LE528" s="23"/>
      <c r="LF528" s="23"/>
      <c r="LG528" s="23"/>
      <c r="LH528" s="23"/>
      <c r="LI528" s="23"/>
      <c r="LJ528" s="23"/>
      <c r="LK528" s="23"/>
      <c r="LL528" s="23"/>
      <c r="LM528" s="23"/>
      <c r="LN528" s="23"/>
      <c r="LO528" s="23"/>
    </row>
    <row r="529" spans="1:327">
      <c r="A529" s="390"/>
      <c r="B529" s="23"/>
      <c r="C529" s="391"/>
      <c r="D529" s="391"/>
      <c r="E529" s="23"/>
      <c r="F529" s="23"/>
      <c r="G529" s="392"/>
      <c r="H529" s="392"/>
      <c r="I529" s="392"/>
      <c r="J529" s="392"/>
      <c r="K529" s="392"/>
      <c r="L529" s="392"/>
      <c r="M529" s="392"/>
      <c r="N529" s="23"/>
      <c r="O529" s="39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  <c r="IL529" s="23"/>
      <c r="IM529" s="23"/>
      <c r="IN529" s="23"/>
      <c r="IO529" s="23"/>
      <c r="IP529" s="23"/>
      <c r="IQ529" s="23"/>
      <c r="IR529" s="23"/>
      <c r="IS529" s="23"/>
      <c r="IT529" s="23"/>
      <c r="IU529" s="23"/>
      <c r="IV529" s="23"/>
      <c r="IW529" s="23"/>
      <c r="IX529" s="23"/>
      <c r="IY529" s="23"/>
      <c r="IZ529" s="23"/>
      <c r="JA529" s="23"/>
      <c r="JB529" s="23"/>
      <c r="JC529" s="23"/>
      <c r="JD529" s="23"/>
      <c r="JE529" s="23"/>
      <c r="JF529" s="23"/>
      <c r="JG529" s="23"/>
      <c r="JH529" s="23"/>
      <c r="JI529" s="23"/>
      <c r="JJ529" s="23"/>
      <c r="JK529" s="23"/>
      <c r="JL529" s="23"/>
      <c r="JM529" s="23"/>
      <c r="JN529" s="23"/>
      <c r="JO529" s="23"/>
      <c r="JP529" s="23"/>
      <c r="JQ529" s="23"/>
      <c r="JR529" s="23"/>
      <c r="JS529" s="23"/>
      <c r="JT529" s="23"/>
      <c r="JU529" s="23"/>
      <c r="JV529" s="23"/>
      <c r="JW529" s="23"/>
      <c r="JX529" s="23"/>
      <c r="JY529" s="23"/>
      <c r="JZ529" s="23"/>
      <c r="KA529" s="23"/>
      <c r="KB529" s="23"/>
      <c r="KC529" s="23"/>
      <c r="KD529" s="23"/>
      <c r="KE529" s="23"/>
      <c r="KF529" s="23"/>
      <c r="KG529" s="23"/>
      <c r="KH529" s="23"/>
      <c r="KI529" s="23"/>
      <c r="KJ529" s="23"/>
      <c r="KK529" s="23"/>
      <c r="KL529" s="23"/>
      <c r="KM529" s="23"/>
      <c r="KN529" s="23"/>
      <c r="KO529" s="23"/>
      <c r="KP529" s="23"/>
      <c r="KQ529" s="23"/>
      <c r="KR529" s="23"/>
      <c r="KS529" s="23"/>
      <c r="KT529" s="23"/>
      <c r="KU529" s="23"/>
      <c r="KV529" s="23"/>
      <c r="KW529" s="23"/>
      <c r="KX529" s="23"/>
      <c r="KY529" s="23"/>
      <c r="KZ529" s="23"/>
      <c r="LA529" s="23"/>
      <c r="LB529" s="23"/>
      <c r="LC529" s="23"/>
      <c r="LD529" s="23"/>
      <c r="LE529" s="23"/>
      <c r="LF529" s="23"/>
      <c r="LG529" s="23"/>
      <c r="LH529" s="23"/>
      <c r="LI529" s="23"/>
      <c r="LJ529" s="23"/>
      <c r="LK529" s="23"/>
      <c r="LL529" s="23"/>
      <c r="LM529" s="23"/>
      <c r="LN529" s="23"/>
      <c r="LO529" s="23"/>
    </row>
    <row r="530" spans="1:327">
      <c r="A530" s="390"/>
      <c r="B530" s="23"/>
      <c r="C530" s="391"/>
      <c r="D530" s="391"/>
      <c r="E530" s="23"/>
      <c r="F530" s="23"/>
      <c r="G530" s="392"/>
      <c r="H530" s="392"/>
      <c r="I530" s="392"/>
      <c r="J530" s="392"/>
      <c r="K530" s="392"/>
      <c r="L530" s="392"/>
      <c r="M530" s="392"/>
      <c r="N530" s="23"/>
      <c r="O530" s="39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  <c r="IL530" s="23"/>
      <c r="IM530" s="23"/>
      <c r="IN530" s="23"/>
      <c r="IO530" s="23"/>
      <c r="IP530" s="23"/>
      <c r="IQ530" s="23"/>
      <c r="IR530" s="23"/>
      <c r="IS530" s="23"/>
      <c r="IT530" s="23"/>
      <c r="IU530" s="23"/>
      <c r="IV530" s="23"/>
      <c r="IW530" s="23"/>
      <c r="IX530" s="23"/>
      <c r="IY530" s="23"/>
      <c r="IZ530" s="23"/>
      <c r="JA530" s="23"/>
      <c r="JB530" s="23"/>
      <c r="JC530" s="23"/>
      <c r="JD530" s="23"/>
      <c r="JE530" s="23"/>
      <c r="JF530" s="23"/>
      <c r="JG530" s="23"/>
      <c r="JH530" s="23"/>
      <c r="JI530" s="23"/>
      <c r="JJ530" s="23"/>
      <c r="JK530" s="23"/>
      <c r="JL530" s="23"/>
      <c r="JM530" s="23"/>
      <c r="JN530" s="23"/>
      <c r="JO530" s="23"/>
      <c r="JP530" s="23"/>
      <c r="JQ530" s="23"/>
      <c r="JR530" s="23"/>
      <c r="JS530" s="23"/>
      <c r="JT530" s="23"/>
      <c r="JU530" s="23"/>
      <c r="JV530" s="23"/>
      <c r="JW530" s="23"/>
      <c r="JX530" s="23"/>
      <c r="JY530" s="23"/>
      <c r="JZ530" s="23"/>
      <c r="KA530" s="23"/>
      <c r="KB530" s="23"/>
      <c r="KC530" s="23"/>
      <c r="KD530" s="23"/>
      <c r="KE530" s="23"/>
      <c r="KF530" s="23"/>
      <c r="KG530" s="23"/>
      <c r="KH530" s="23"/>
      <c r="KI530" s="23"/>
      <c r="KJ530" s="23"/>
      <c r="KK530" s="23"/>
      <c r="KL530" s="23"/>
      <c r="KM530" s="23"/>
      <c r="KN530" s="23"/>
      <c r="KO530" s="23"/>
      <c r="KP530" s="23"/>
      <c r="KQ530" s="23"/>
      <c r="KR530" s="23"/>
      <c r="KS530" s="23"/>
      <c r="KT530" s="23"/>
      <c r="KU530" s="23"/>
      <c r="KV530" s="23"/>
      <c r="KW530" s="23"/>
      <c r="KX530" s="23"/>
      <c r="KY530" s="23"/>
      <c r="KZ530" s="23"/>
      <c r="LA530" s="23"/>
      <c r="LB530" s="23"/>
      <c r="LC530" s="23"/>
      <c r="LD530" s="23"/>
      <c r="LE530" s="23"/>
      <c r="LF530" s="23"/>
      <c r="LG530" s="23"/>
      <c r="LH530" s="23"/>
      <c r="LI530" s="23"/>
      <c r="LJ530" s="23"/>
      <c r="LK530" s="23"/>
      <c r="LL530" s="23"/>
      <c r="LM530" s="23"/>
      <c r="LN530" s="23"/>
      <c r="LO530" s="23"/>
    </row>
    <row r="531" spans="1:327">
      <c r="A531" s="390"/>
      <c r="B531" s="23"/>
      <c r="C531" s="391"/>
      <c r="D531" s="391"/>
      <c r="E531" s="23"/>
      <c r="F531" s="23"/>
      <c r="G531" s="392"/>
      <c r="H531" s="392"/>
      <c r="I531" s="392"/>
      <c r="J531" s="392"/>
      <c r="K531" s="392"/>
      <c r="L531" s="392"/>
      <c r="M531" s="392"/>
      <c r="N531" s="23"/>
      <c r="O531" s="39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  <c r="IL531" s="23"/>
      <c r="IM531" s="23"/>
      <c r="IN531" s="23"/>
      <c r="IO531" s="23"/>
      <c r="IP531" s="23"/>
      <c r="IQ531" s="23"/>
      <c r="IR531" s="23"/>
      <c r="IS531" s="23"/>
      <c r="IT531" s="23"/>
      <c r="IU531" s="23"/>
      <c r="IV531" s="23"/>
      <c r="IW531" s="23"/>
      <c r="IX531" s="23"/>
      <c r="IY531" s="23"/>
      <c r="IZ531" s="23"/>
      <c r="JA531" s="23"/>
      <c r="JB531" s="23"/>
      <c r="JC531" s="23"/>
      <c r="JD531" s="23"/>
      <c r="JE531" s="23"/>
      <c r="JF531" s="23"/>
      <c r="JG531" s="23"/>
      <c r="JH531" s="23"/>
      <c r="JI531" s="23"/>
      <c r="JJ531" s="23"/>
      <c r="JK531" s="23"/>
      <c r="JL531" s="23"/>
      <c r="JM531" s="23"/>
      <c r="JN531" s="23"/>
      <c r="JO531" s="23"/>
      <c r="JP531" s="23"/>
      <c r="JQ531" s="23"/>
      <c r="JR531" s="23"/>
      <c r="JS531" s="23"/>
      <c r="JT531" s="23"/>
      <c r="JU531" s="23"/>
      <c r="JV531" s="23"/>
      <c r="JW531" s="23"/>
      <c r="JX531" s="23"/>
      <c r="JY531" s="23"/>
      <c r="JZ531" s="23"/>
      <c r="KA531" s="23"/>
      <c r="KB531" s="23"/>
      <c r="KC531" s="23"/>
      <c r="KD531" s="23"/>
      <c r="KE531" s="23"/>
      <c r="KF531" s="23"/>
      <c r="KG531" s="23"/>
      <c r="KH531" s="23"/>
      <c r="KI531" s="23"/>
      <c r="KJ531" s="23"/>
      <c r="KK531" s="23"/>
      <c r="KL531" s="23"/>
      <c r="KM531" s="23"/>
      <c r="KN531" s="23"/>
      <c r="KO531" s="23"/>
      <c r="KP531" s="23"/>
      <c r="KQ531" s="23"/>
      <c r="KR531" s="23"/>
      <c r="KS531" s="23"/>
      <c r="KT531" s="23"/>
      <c r="KU531" s="23"/>
      <c r="KV531" s="23"/>
      <c r="KW531" s="23"/>
      <c r="KX531" s="23"/>
      <c r="KY531" s="23"/>
      <c r="KZ531" s="23"/>
      <c r="LA531" s="23"/>
      <c r="LB531" s="23"/>
      <c r="LC531" s="23"/>
      <c r="LD531" s="23"/>
      <c r="LE531" s="23"/>
      <c r="LF531" s="23"/>
      <c r="LG531" s="23"/>
      <c r="LH531" s="23"/>
      <c r="LI531" s="23"/>
      <c r="LJ531" s="23"/>
      <c r="LK531" s="23"/>
      <c r="LL531" s="23"/>
      <c r="LM531" s="23"/>
      <c r="LN531" s="23"/>
      <c r="LO531" s="23"/>
    </row>
    <row r="532" spans="1:327">
      <c r="A532" s="390"/>
      <c r="B532" s="23"/>
      <c r="C532" s="391"/>
      <c r="D532" s="391"/>
      <c r="E532" s="23"/>
      <c r="F532" s="23"/>
      <c r="G532" s="392"/>
      <c r="H532" s="392"/>
      <c r="I532" s="392"/>
      <c r="J532" s="392"/>
      <c r="K532" s="392"/>
      <c r="L532" s="392"/>
      <c r="M532" s="392"/>
      <c r="N532" s="23"/>
      <c r="O532" s="39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  <c r="IL532" s="23"/>
      <c r="IM532" s="23"/>
      <c r="IN532" s="23"/>
      <c r="IO532" s="23"/>
      <c r="IP532" s="23"/>
      <c r="IQ532" s="23"/>
      <c r="IR532" s="23"/>
      <c r="IS532" s="23"/>
      <c r="IT532" s="23"/>
      <c r="IU532" s="23"/>
      <c r="IV532" s="23"/>
      <c r="IW532" s="23"/>
      <c r="IX532" s="23"/>
      <c r="IY532" s="23"/>
      <c r="IZ532" s="23"/>
      <c r="JA532" s="23"/>
      <c r="JB532" s="23"/>
      <c r="JC532" s="23"/>
      <c r="JD532" s="23"/>
      <c r="JE532" s="23"/>
      <c r="JF532" s="23"/>
      <c r="JG532" s="23"/>
      <c r="JH532" s="23"/>
      <c r="JI532" s="23"/>
      <c r="JJ532" s="23"/>
      <c r="JK532" s="23"/>
      <c r="JL532" s="23"/>
      <c r="JM532" s="23"/>
      <c r="JN532" s="23"/>
      <c r="JO532" s="23"/>
      <c r="JP532" s="23"/>
      <c r="JQ532" s="23"/>
      <c r="JR532" s="23"/>
      <c r="JS532" s="23"/>
      <c r="JT532" s="23"/>
      <c r="JU532" s="23"/>
      <c r="JV532" s="23"/>
      <c r="JW532" s="23"/>
      <c r="JX532" s="23"/>
      <c r="JY532" s="23"/>
      <c r="JZ532" s="23"/>
      <c r="KA532" s="23"/>
      <c r="KB532" s="23"/>
      <c r="KC532" s="23"/>
      <c r="KD532" s="23"/>
      <c r="KE532" s="23"/>
      <c r="KF532" s="23"/>
      <c r="KG532" s="23"/>
      <c r="KH532" s="23"/>
      <c r="KI532" s="23"/>
      <c r="KJ532" s="23"/>
      <c r="KK532" s="23"/>
      <c r="KL532" s="23"/>
      <c r="KM532" s="23"/>
      <c r="KN532" s="23"/>
      <c r="KO532" s="23"/>
      <c r="KP532" s="23"/>
      <c r="KQ532" s="23"/>
      <c r="KR532" s="23"/>
      <c r="KS532" s="23"/>
      <c r="KT532" s="23"/>
      <c r="KU532" s="23"/>
      <c r="KV532" s="23"/>
      <c r="KW532" s="23"/>
      <c r="KX532" s="23"/>
      <c r="KY532" s="23"/>
      <c r="KZ532" s="23"/>
      <c r="LA532" s="23"/>
      <c r="LB532" s="23"/>
      <c r="LC532" s="23"/>
      <c r="LD532" s="23"/>
      <c r="LE532" s="23"/>
      <c r="LF532" s="23"/>
      <c r="LG532" s="23"/>
      <c r="LH532" s="23"/>
      <c r="LI532" s="23"/>
      <c r="LJ532" s="23"/>
      <c r="LK532" s="23"/>
      <c r="LL532" s="23"/>
      <c r="LM532" s="23"/>
      <c r="LN532" s="23"/>
      <c r="LO532" s="23"/>
    </row>
    <row r="533" spans="1:327">
      <c r="A533" s="390"/>
      <c r="B533" s="23"/>
      <c r="C533" s="391"/>
      <c r="D533" s="391"/>
      <c r="E533" s="23"/>
      <c r="F533" s="23"/>
      <c r="G533" s="392"/>
      <c r="H533" s="392"/>
      <c r="I533" s="392"/>
      <c r="J533" s="392"/>
      <c r="K533" s="392"/>
      <c r="L533" s="392"/>
      <c r="M533" s="392"/>
      <c r="N533" s="23"/>
      <c r="O533" s="39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  <c r="IL533" s="23"/>
      <c r="IM533" s="23"/>
      <c r="IN533" s="23"/>
      <c r="IO533" s="23"/>
      <c r="IP533" s="23"/>
      <c r="IQ533" s="23"/>
      <c r="IR533" s="23"/>
      <c r="IS533" s="23"/>
      <c r="IT533" s="23"/>
      <c r="IU533" s="23"/>
      <c r="IV533" s="23"/>
      <c r="IW533" s="23"/>
      <c r="IX533" s="23"/>
      <c r="IY533" s="23"/>
      <c r="IZ533" s="23"/>
      <c r="JA533" s="23"/>
      <c r="JB533" s="23"/>
      <c r="JC533" s="23"/>
      <c r="JD533" s="23"/>
      <c r="JE533" s="23"/>
      <c r="JF533" s="23"/>
      <c r="JG533" s="23"/>
      <c r="JH533" s="23"/>
      <c r="JI533" s="23"/>
      <c r="JJ533" s="23"/>
      <c r="JK533" s="23"/>
      <c r="JL533" s="23"/>
      <c r="JM533" s="23"/>
      <c r="JN533" s="23"/>
      <c r="JO533" s="23"/>
      <c r="JP533" s="23"/>
      <c r="JQ533" s="23"/>
      <c r="JR533" s="23"/>
      <c r="JS533" s="23"/>
      <c r="JT533" s="23"/>
      <c r="JU533" s="23"/>
      <c r="JV533" s="23"/>
      <c r="JW533" s="23"/>
      <c r="JX533" s="23"/>
      <c r="JY533" s="23"/>
      <c r="JZ533" s="23"/>
      <c r="KA533" s="23"/>
      <c r="KB533" s="23"/>
      <c r="KC533" s="23"/>
      <c r="KD533" s="23"/>
      <c r="KE533" s="23"/>
      <c r="KF533" s="23"/>
      <c r="KG533" s="23"/>
      <c r="KH533" s="23"/>
      <c r="KI533" s="23"/>
      <c r="KJ533" s="23"/>
      <c r="KK533" s="23"/>
      <c r="KL533" s="23"/>
      <c r="KM533" s="23"/>
      <c r="KN533" s="23"/>
      <c r="KO533" s="23"/>
      <c r="KP533" s="23"/>
      <c r="KQ533" s="23"/>
      <c r="KR533" s="23"/>
      <c r="KS533" s="23"/>
      <c r="KT533" s="23"/>
      <c r="KU533" s="23"/>
      <c r="KV533" s="23"/>
      <c r="KW533" s="23"/>
      <c r="KX533" s="23"/>
      <c r="KY533" s="23"/>
      <c r="KZ533" s="23"/>
      <c r="LA533" s="23"/>
      <c r="LB533" s="23"/>
      <c r="LC533" s="23"/>
      <c r="LD533" s="23"/>
      <c r="LE533" s="23"/>
      <c r="LF533" s="23"/>
      <c r="LG533" s="23"/>
      <c r="LH533" s="23"/>
      <c r="LI533" s="23"/>
      <c r="LJ533" s="23"/>
      <c r="LK533" s="23"/>
      <c r="LL533" s="23"/>
      <c r="LM533" s="23"/>
      <c r="LN533" s="23"/>
      <c r="LO533" s="23"/>
    </row>
    <row r="534" spans="1:327">
      <c r="A534" s="390"/>
      <c r="B534" s="23"/>
      <c r="C534" s="391"/>
      <c r="D534" s="391"/>
      <c r="E534" s="23"/>
      <c r="F534" s="23"/>
      <c r="G534" s="392"/>
      <c r="H534" s="392"/>
      <c r="I534" s="392"/>
      <c r="J534" s="392"/>
      <c r="K534" s="392"/>
      <c r="L534" s="392"/>
      <c r="M534" s="392"/>
      <c r="N534" s="23"/>
      <c r="O534" s="39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  <c r="IL534" s="23"/>
      <c r="IM534" s="23"/>
      <c r="IN534" s="23"/>
      <c r="IO534" s="23"/>
      <c r="IP534" s="23"/>
      <c r="IQ534" s="23"/>
      <c r="IR534" s="23"/>
      <c r="IS534" s="23"/>
      <c r="IT534" s="23"/>
      <c r="IU534" s="23"/>
      <c r="IV534" s="23"/>
      <c r="IW534" s="23"/>
      <c r="IX534" s="23"/>
      <c r="IY534" s="23"/>
      <c r="IZ534" s="23"/>
      <c r="JA534" s="23"/>
      <c r="JB534" s="23"/>
      <c r="JC534" s="23"/>
      <c r="JD534" s="23"/>
      <c r="JE534" s="23"/>
      <c r="JF534" s="23"/>
      <c r="JG534" s="23"/>
      <c r="JH534" s="23"/>
      <c r="JI534" s="23"/>
      <c r="JJ534" s="23"/>
      <c r="JK534" s="23"/>
      <c r="JL534" s="23"/>
      <c r="JM534" s="23"/>
      <c r="JN534" s="23"/>
      <c r="JO534" s="23"/>
      <c r="JP534" s="23"/>
      <c r="JQ534" s="23"/>
      <c r="JR534" s="23"/>
      <c r="JS534" s="23"/>
      <c r="JT534" s="23"/>
      <c r="JU534" s="23"/>
      <c r="JV534" s="23"/>
      <c r="JW534" s="23"/>
      <c r="JX534" s="23"/>
      <c r="JY534" s="23"/>
      <c r="JZ534" s="23"/>
      <c r="KA534" s="23"/>
      <c r="KB534" s="23"/>
      <c r="KC534" s="23"/>
      <c r="KD534" s="23"/>
      <c r="KE534" s="23"/>
      <c r="KF534" s="23"/>
      <c r="KG534" s="23"/>
      <c r="KH534" s="23"/>
      <c r="KI534" s="23"/>
      <c r="KJ534" s="23"/>
      <c r="KK534" s="23"/>
      <c r="KL534" s="23"/>
      <c r="KM534" s="23"/>
      <c r="KN534" s="23"/>
      <c r="KO534" s="23"/>
      <c r="KP534" s="23"/>
      <c r="KQ534" s="23"/>
      <c r="KR534" s="23"/>
      <c r="KS534" s="23"/>
      <c r="KT534" s="23"/>
      <c r="KU534" s="23"/>
      <c r="KV534" s="23"/>
      <c r="KW534" s="23"/>
      <c r="KX534" s="23"/>
      <c r="KY534" s="23"/>
      <c r="KZ534" s="23"/>
      <c r="LA534" s="23"/>
      <c r="LB534" s="23"/>
      <c r="LC534" s="23"/>
      <c r="LD534" s="23"/>
      <c r="LE534" s="23"/>
      <c r="LF534" s="23"/>
      <c r="LG534" s="23"/>
      <c r="LH534" s="23"/>
      <c r="LI534" s="23"/>
      <c r="LJ534" s="23"/>
      <c r="LK534" s="23"/>
      <c r="LL534" s="23"/>
      <c r="LM534" s="23"/>
      <c r="LN534" s="23"/>
      <c r="LO534" s="23"/>
    </row>
    <row r="535" spans="1:327">
      <c r="A535" s="390"/>
      <c r="B535" s="23"/>
      <c r="C535" s="391"/>
      <c r="D535" s="391"/>
      <c r="E535" s="23"/>
      <c r="F535" s="23"/>
      <c r="G535" s="392"/>
      <c r="H535" s="392"/>
      <c r="I535" s="392"/>
      <c r="J535" s="392"/>
      <c r="K535" s="392"/>
      <c r="L535" s="392"/>
      <c r="M535" s="392"/>
      <c r="N535" s="23"/>
      <c r="O535" s="39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  <c r="IL535" s="23"/>
      <c r="IM535" s="23"/>
      <c r="IN535" s="23"/>
      <c r="IO535" s="23"/>
      <c r="IP535" s="23"/>
      <c r="IQ535" s="23"/>
      <c r="IR535" s="23"/>
      <c r="IS535" s="23"/>
      <c r="IT535" s="23"/>
      <c r="IU535" s="23"/>
      <c r="IV535" s="23"/>
      <c r="IW535" s="23"/>
      <c r="IX535" s="23"/>
      <c r="IY535" s="23"/>
      <c r="IZ535" s="23"/>
      <c r="JA535" s="23"/>
      <c r="JB535" s="23"/>
      <c r="JC535" s="23"/>
      <c r="JD535" s="23"/>
      <c r="JE535" s="23"/>
      <c r="JF535" s="23"/>
      <c r="JG535" s="23"/>
      <c r="JH535" s="23"/>
      <c r="JI535" s="23"/>
      <c r="JJ535" s="23"/>
      <c r="JK535" s="23"/>
      <c r="JL535" s="23"/>
      <c r="JM535" s="23"/>
      <c r="JN535" s="23"/>
      <c r="JO535" s="23"/>
      <c r="JP535" s="23"/>
      <c r="JQ535" s="23"/>
      <c r="JR535" s="23"/>
      <c r="JS535" s="23"/>
      <c r="JT535" s="23"/>
      <c r="JU535" s="23"/>
      <c r="JV535" s="23"/>
      <c r="JW535" s="23"/>
      <c r="JX535" s="23"/>
      <c r="JY535" s="23"/>
      <c r="JZ535" s="23"/>
      <c r="KA535" s="23"/>
      <c r="KB535" s="23"/>
      <c r="KC535" s="23"/>
      <c r="KD535" s="23"/>
      <c r="KE535" s="23"/>
      <c r="KF535" s="23"/>
      <c r="KG535" s="23"/>
      <c r="KH535" s="23"/>
      <c r="KI535" s="23"/>
      <c r="KJ535" s="23"/>
      <c r="KK535" s="23"/>
      <c r="KL535" s="23"/>
      <c r="KM535" s="23"/>
      <c r="KN535" s="23"/>
      <c r="KO535" s="23"/>
      <c r="KP535" s="23"/>
      <c r="KQ535" s="23"/>
      <c r="KR535" s="23"/>
      <c r="KS535" s="23"/>
      <c r="KT535" s="23"/>
      <c r="KU535" s="23"/>
      <c r="KV535" s="23"/>
      <c r="KW535" s="23"/>
      <c r="KX535" s="23"/>
      <c r="KY535" s="23"/>
      <c r="KZ535" s="23"/>
      <c r="LA535" s="23"/>
      <c r="LB535" s="23"/>
      <c r="LC535" s="23"/>
      <c r="LD535" s="23"/>
      <c r="LE535" s="23"/>
      <c r="LF535" s="23"/>
      <c r="LG535" s="23"/>
      <c r="LH535" s="23"/>
      <c r="LI535" s="23"/>
      <c r="LJ535" s="23"/>
      <c r="LK535" s="23"/>
      <c r="LL535" s="23"/>
      <c r="LM535" s="23"/>
      <c r="LN535" s="23"/>
      <c r="LO535" s="23"/>
    </row>
    <row r="536" spans="1:327">
      <c r="A536" s="390"/>
      <c r="B536" s="23"/>
      <c r="C536" s="391"/>
      <c r="D536" s="391"/>
      <c r="E536" s="23"/>
      <c r="F536" s="23"/>
      <c r="G536" s="392"/>
      <c r="H536" s="392"/>
      <c r="I536" s="392"/>
      <c r="J536" s="392"/>
      <c r="K536" s="392"/>
      <c r="L536" s="392"/>
      <c r="M536" s="392"/>
      <c r="N536" s="23"/>
      <c r="O536" s="39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  <c r="IL536" s="23"/>
      <c r="IM536" s="23"/>
      <c r="IN536" s="23"/>
      <c r="IO536" s="23"/>
      <c r="IP536" s="23"/>
      <c r="IQ536" s="23"/>
      <c r="IR536" s="23"/>
      <c r="IS536" s="23"/>
      <c r="IT536" s="23"/>
      <c r="IU536" s="23"/>
      <c r="IV536" s="23"/>
      <c r="IW536" s="23"/>
      <c r="IX536" s="23"/>
      <c r="IY536" s="23"/>
      <c r="IZ536" s="23"/>
      <c r="JA536" s="23"/>
      <c r="JB536" s="23"/>
      <c r="JC536" s="23"/>
      <c r="JD536" s="23"/>
      <c r="JE536" s="23"/>
      <c r="JF536" s="23"/>
      <c r="JG536" s="23"/>
      <c r="JH536" s="23"/>
      <c r="JI536" s="23"/>
      <c r="JJ536" s="23"/>
      <c r="JK536" s="23"/>
      <c r="JL536" s="23"/>
      <c r="JM536" s="23"/>
      <c r="JN536" s="23"/>
      <c r="JO536" s="23"/>
      <c r="JP536" s="23"/>
      <c r="JQ536" s="23"/>
      <c r="JR536" s="23"/>
      <c r="JS536" s="23"/>
      <c r="JT536" s="23"/>
      <c r="JU536" s="23"/>
      <c r="JV536" s="23"/>
      <c r="JW536" s="23"/>
      <c r="JX536" s="23"/>
      <c r="JY536" s="23"/>
      <c r="JZ536" s="23"/>
      <c r="KA536" s="23"/>
      <c r="KB536" s="23"/>
      <c r="KC536" s="23"/>
      <c r="KD536" s="23"/>
      <c r="KE536" s="23"/>
      <c r="KF536" s="23"/>
      <c r="KG536" s="23"/>
      <c r="KH536" s="23"/>
      <c r="KI536" s="23"/>
      <c r="KJ536" s="23"/>
      <c r="KK536" s="23"/>
      <c r="KL536" s="23"/>
      <c r="KM536" s="23"/>
      <c r="KN536" s="23"/>
      <c r="KO536" s="23"/>
      <c r="KP536" s="23"/>
      <c r="KQ536" s="23"/>
      <c r="KR536" s="23"/>
      <c r="KS536" s="23"/>
      <c r="KT536" s="23"/>
      <c r="KU536" s="23"/>
      <c r="KV536" s="23"/>
      <c r="KW536" s="23"/>
      <c r="KX536" s="23"/>
      <c r="KY536" s="23"/>
      <c r="KZ536" s="23"/>
      <c r="LA536" s="23"/>
      <c r="LB536" s="23"/>
      <c r="LC536" s="23"/>
      <c r="LD536" s="23"/>
      <c r="LE536" s="23"/>
      <c r="LF536" s="23"/>
      <c r="LG536" s="23"/>
      <c r="LH536" s="23"/>
      <c r="LI536" s="23"/>
      <c r="LJ536" s="23"/>
      <c r="LK536" s="23"/>
      <c r="LL536" s="23"/>
      <c r="LM536" s="23"/>
      <c r="LN536" s="23"/>
      <c r="LO536" s="23"/>
    </row>
    <row r="537" spans="1:327">
      <c r="A537" s="390"/>
      <c r="B537" s="23"/>
      <c r="C537" s="391"/>
      <c r="D537" s="391"/>
      <c r="E537" s="23"/>
      <c r="F537" s="23"/>
      <c r="G537" s="392"/>
      <c r="H537" s="392"/>
      <c r="I537" s="392"/>
      <c r="J537" s="392"/>
      <c r="K537" s="392"/>
      <c r="L537" s="392"/>
      <c r="M537" s="392"/>
      <c r="N537" s="23"/>
      <c r="O537" s="39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  <c r="IL537" s="23"/>
      <c r="IM537" s="23"/>
      <c r="IN537" s="23"/>
      <c r="IO537" s="23"/>
      <c r="IP537" s="23"/>
      <c r="IQ537" s="23"/>
      <c r="IR537" s="23"/>
      <c r="IS537" s="23"/>
      <c r="IT537" s="23"/>
      <c r="IU537" s="23"/>
      <c r="IV537" s="23"/>
      <c r="IW537" s="23"/>
      <c r="IX537" s="23"/>
      <c r="IY537" s="23"/>
      <c r="IZ537" s="23"/>
      <c r="JA537" s="23"/>
      <c r="JB537" s="23"/>
      <c r="JC537" s="23"/>
      <c r="JD537" s="23"/>
      <c r="JE537" s="23"/>
      <c r="JF537" s="23"/>
      <c r="JG537" s="23"/>
      <c r="JH537" s="23"/>
      <c r="JI537" s="23"/>
      <c r="JJ537" s="23"/>
      <c r="JK537" s="23"/>
      <c r="JL537" s="23"/>
      <c r="JM537" s="23"/>
      <c r="JN537" s="23"/>
      <c r="JO537" s="23"/>
      <c r="JP537" s="23"/>
      <c r="JQ537" s="23"/>
      <c r="JR537" s="23"/>
      <c r="JS537" s="23"/>
      <c r="JT537" s="23"/>
      <c r="JU537" s="23"/>
      <c r="JV537" s="23"/>
      <c r="JW537" s="23"/>
      <c r="JX537" s="23"/>
      <c r="JY537" s="23"/>
      <c r="JZ537" s="23"/>
      <c r="KA537" s="23"/>
      <c r="KB537" s="23"/>
      <c r="KC537" s="23"/>
      <c r="KD537" s="23"/>
      <c r="KE537" s="23"/>
      <c r="KF537" s="23"/>
      <c r="KG537" s="23"/>
      <c r="KH537" s="23"/>
      <c r="KI537" s="23"/>
      <c r="KJ537" s="23"/>
      <c r="KK537" s="23"/>
      <c r="KL537" s="23"/>
      <c r="KM537" s="23"/>
      <c r="KN537" s="23"/>
      <c r="KO537" s="23"/>
      <c r="KP537" s="23"/>
      <c r="KQ537" s="23"/>
      <c r="KR537" s="23"/>
      <c r="KS537" s="23"/>
      <c r="KT537" s="23"/>
      <c r="KU537" s="23"/>
      <c r="KV537" s="23"/>
      <c r="KW537" s="23"/>
      <c r="KX537" s="23"/>
      <c r="KY537" s="23"/>
      <c r="KZ537" s="23"/>
      <c r="LA537" s="23"/>
      <c r="LB537" s="23"/>
      <c r="LC537" s="23"/>
      <c r="LD537" s="23"/>
      <c r="LE537" s="23"/>
      <c r="LF537" s="23"/>
      <c r="LG537" s="23"/>
      <c r="LH537" s="23"/>
      <c r="LI537" s="23"/>
      <c r="LJ537" s="23"/>
      <c r="LK537" s="23"/>
      <c r="LL537" s="23"/>
      <c r="LM537" s="23"/>
      <c r="LN537" s="23"/>
      <c r="LO537" s="23"/>
    </row>
    <row r="538" spans="1:327">
      <c r="A538" s="390"/>
      <c r="B538" s="23"/>
      <c r="C538" s="391"/>
      <c r="D538" s="391"/>
      <c r="E538" s="23"/>
      <c r="F538" s="23"/>
      <c r="G538" s="392"/>
      <c r="H538" s="392"/>
      <c r="I538" s="392"/>
      <c r="J538" s="392"/>
      <c r="K538" s="392"/>
      <c r="L538" s="392"/>
      <c r="M538" s="392"/>
      <c r="N538" s="23"/>
      <c r="O538" s="39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  <c r="IL538" s="23"/>
      <c r="IM538" s="23"/>
      <c r="IN538" s="23"/>
      <c r="IO538" s="23"/>
      <c r="IP538" s="23"/>
      <c r="IQ538" s="23"/>
      <c r="IR538" s="23"/>
      <c r="IS538" s="23"/>
      <c r="IT538" s="23"/>
      <c r="IU538" s="23"/>
      <c r="IV538" s="23"/>
      <c r="IW538" s="23"/>
      <c r="IX538" s="23"/>
      <c r="IY538" s="23"/>
      <c r="IZ538" s="23"/>
      <c r="JA538" s="23"/>
      <c r="JB538" s="23"/>
      <c r="JC538" s="23"/>
      <c r="JD538" s="23"/>
      <c r="JE538" s="23"/>
      <c r="JF538" s="23"/>
      <c r="JG538" s="23"/>
      <c r="JH538" s="23"/>
      <c r="JI538" s="23"/>
      <c r="JJ538" s="23"/>
      <c r="JK538" s="23"/>
      <c r="JL538" s="23"/>
      <c r="JM538" s="23"/>
      <c r="JN538" s="23"/>
      <c r="JO538" s="23"/>
      <c r="JP538" s="23"/>
      <c r="JQ538" s="23"/>
      <c r="JR538" s="23"/>
      <c r="JS538" s="23"/>
      <c r="JT538" s="23"/>
      <c r="JU538" s="23"/>
      <c r="JV538" s="23"/>
      <c r="JW538" s="23"/>
      <c r="JX538" s="23"/>
      <c r="JY538" s="23"/>
      <c r="JZ538" s="23"/>
      <c r="KA538" s="23"/>
      <c r="KB538" s="23"/>
      <c r="KC538" s="23"/>
      <c r="KD538" s="23"/>
      <c r="KE538" s="23"/>
      <c r="KF538" s="23"/>
      <c r="KG538" s="23"/>
      <c r="KH538" s="23"/>
      <c r="KI538" s="23"/>
      <c r="KJ538" s="23"/>
      <c r="KK538" s="23"/>
      <c r="KL538" s="23"/>
      <c r="KM538" s="23"/>
      <c r="KN538" s="23"/>
      <c r="KO538" s="23"/>
      <c r="KP538" s="23"/>
      <c r="KQ538" s="23"/>
      <c r="KR538" s="23"/>
      <c r="KS538" s="23"/>
      <c r="KT538" s="23"/>
      <c r="KU538" s="23"/>
      <c r="KV538" s="23"/>
      <c r="KW538" s="23"/>
      <c r="KX538" s="23"/>
      <c r="KY538" s="23"/>
      <c r="KZ538" s="23"/>
      <c r="LA538" s="23"/>
      <c r="LB538" s="23"/>
      <c r="LC538" s="23"/>
      <c r="LD538" s="23"/>
      <c r="LE538" s="23"/>
      <c r="LF538" s="23"/>
      <c r="LG538" s="23"/>
      <c r="LH538" s="23"/>
      <c r="LI538" s="23"/>
      <c r="LJ538" s="23"/>
      <c r="LK538" s="23"/>
      <c r="LL538" s="23"/>
      <c r="LM538" s="23"/>
      <c r="LN538" s="23"/>
      <c r="LO538" s="23"/>
    </row>
    <row r="539" spans="1:327">
      <c r="A539" s="390"/>
      <c r="B539" s="23"/>
      <c r="C539" s="391"/>
      <c r="D539" s="391"/>
      <c r="E539" s="23"/>
      <c r="F539" s="23"/>
      <c r="G539" s="392"/>
      <c r="H539" s="392"/>
      <c r="I539" s="392"/>
      <c r="J539" s="392"/>
      <c r="K539" s="392"/>
      <c r="L539" s="392"/>
      <c r="M539" s="392"/>
      <c r="N539" s="23"/>
      <c r="O539" s="39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  <c r="IL539" s="23"/>
      <c r="IM539" s="23"/>
      <c r="IN539" s="23"/>
      <c r="IO539" s="23"/>
      <c r="IP539" s="23"/>
      <c r="IQ539" s="23"/>
      <c r="IR539" s="23"/>
      <c r="IS539" s="23"/>
      <c r="IT539" s="23"/>
      <c r="IU539" s="23"/>
      <c r="IV539" s="23"/>
      <c r="IW539" s="23"/>
      <c r="IX539" s="23"/>
      <c r="IY539" s="23"/>
      <c r="IZ539" s="23"/>
      <c r="JA539" s="23"/>
      <c r="JB539" s="23"/>
      <c r="JC539" s="23"/>
      <c r="JD539" s="23"/>
      <c r="JE539" s="23"/>
      <c r="JF539" s="23"/>
      <c r="JG539" s="23"/>
      <c r="JH539" s="23"/>
      <c r="JI539" s="23"/>
      <c r="JJ539" s="23"/>
      <c r="JK539" s="23"/>
      <c r="JL539" s="23"/>
      <c r="JM539" s="23"/>
      <c r="JN539" s="23"/>
      <c r="JO539" s="23"/>
      <c r="JP539" s="23"/>
      <c r="JQ539" s="23"/>
      <c r="JR539" s="23"/>
      <c r="JS539" s="23"/>
      <c r="JT539" s="23"/>
      <c r="JU539" s="23"/>
      <c r="JV539" s="23"/>
      <c r="JW539" s="23"/>
      <c r="JX539" s="23"/>
      <c r="JY539" s="23"/>
      <c r="JZ539" s="23"/>
      <c r="KA539" s="23"/>
      <c r="KB539" s="23"/>
      <c r="KC539" s="23"/>
      <c r="KD539" s="23"/>
      <c r="KE539" s="23"/>
      <c r="KF539" s="23"/>
      <c r="KG539" s="23"/>
      <c r="KH539" s="23"/>
      <c r="KI539" s="23"/>
      <c r="KJ539" s="23"/>
      <c r="KK539" s="23"/>
      <c r="KL539" s="23"/>
      <c r="KM539" s="23"/>
      <c r="KN539" s="23"/>
      <c r="KO539" s="23"/>
      <c r="KP539" s="23"/>
      <c r="KQ539" s="23"/>
      <c r="KR539" s="23"/>
      <c r="KS539" s="23"/>
      <c r="KT539" s="23"/>
      <c r="KU539" s="23"/>
      <c r="KV539" s="23"/>
      <c r="KW539" s="23"/>
      <c r="KX539" s="23"/>
      <c r="KY539" s="23"/>
      <c r="KZ539" s="23"/>
      <c r="LA539" s="23"/>
      <c r="LB539" s="23"/>
      <c r="LC539" s="23"/>
      <c r="LD539" s="23"/>
      <c r="LE539" s="23"/>
      <c r="LF539" s="23"/>
      <c r="LG539" s="23"/>
      <c r="LH539" s="23"/>
      <c r="LI539" s="23"/>
      <c r="LJ539" s="23"/>
      <c r="LK539" s="23"/>
      <c r="LL539" s="23"/>
      <c r="LM539" s="23"/>
      <c r="LN539" s="23"/>
      <c r="LO539" s="23"/>
    </row>
    <row r="540" spans="1:327">
      <c r="A540" s="390"/>
      <c r="B540" s="23"/>
      <c r="C540" s="391"/>
      <c r="D540" s="391"/>
      <c r="E540" s="23"/>
      <c r="F540" s="23"/>
      <c r="G540" s="392"/>
      <c r="H540" s="392"/>
      <c r="I540" s="392"/>
      <c r="J540" s="392"/>
      <c r="K540" s="392"/>
      <c r="L540" s="392"/>
      <c r="M540" s="392"/>
      <c r="N540" s="23"/>
      <c r="O540" s="39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  <c r="IL540" s="23"/>
      <c r="IM540" s="23"/>
      <c r="IN540" s="23"/>
      <c r="IO540" s="23"/>
      <c r="IP540" s="23"/>
      <c r="IQ540" s="23"/>
      <c r="IR540" s="23"/>
      <c r="IS540" s="23"/>
      <c r="IT540" s="23"/>
      <c r="IU540" s="23"/>
      <c r="IV540" s="23"/>
      <c r="IW540" s="23"/>
      <c r="IX540" s="23"/>
      <c r="IY540" s="23"/>
      <c r="IZ540" s="23"/>
      <c r="JA540" s="23"/>
      <c r="JB540" s="23"/>
      <c r="JC540" s="23"/>
      <c r="JD540" s="23"/>
      <c r="JE540" s="23"/>
      <c r="JF540" s="23"/>
      <c r="JG540" s="23"/>
      <c r="JH540" s="23"/>
      <c r="JI540" s="23"/>
      <c r="JJ540" s="23"/>
      <c r="JK540" s="23"/>
      <c r="JL540" s="23"/>
      <c r="JM540" s="23"/>
      <c r="JN540" s="23"/>
      <c r="JO540" s="23"/>
      <c r="JP540" s="23"/>
      <c r="JQ540" s="23"/>
      <c r="JR540" s="23"/>
      <c r="JS540" s="23"/>
      <c r="JT540" s="23"/>
      <c r="JU540" s="23"/>
      <c r="JV540" s="23"/>
      <c r="JW540" s="23"/>
      <c r="JX540" s="23"/>
      <c r="JY540" s="23"/>
      <c r="JZ540" s="23"/>
      <c r="KA540" s="23"/>
      <c r="KB540" s="23"/>
      <c r="KC540" s="23"/>
      <c r="KD540" s="23"/>
      <c r="KE540" s="23"/>
      <c r="KF540" s="23"/>
      <c r="KG540" s="23"/>
      <c r="KH540" s="23"/>
      <c r="KI540" s="23"/>
      <c r="KJ540" s="23"/>
      <c r="KK540" s="23"/>
      <c r="KL540" s="23"/>
      <c r="KM540" s="23"/>
      <c r="KN540" s="23"/>
      <c r="KO540" s="23"/>
      <c r="KP540" s="23"/>
      <c r="KQ540" s="23"/>
      <c r="KR540" s="23"/>
      <c r="KS540" s="23"/>
      <c r="KT540" s="23"/>
      <c r="KU540" s="23"/>
      <c r="KV540" s="23"/>
      <c r="KW540" s="23"/>
      <c r="KX540" s="23"/>
      <c r="KY540" s="23"/>
      <c r="KZ540" s="23"/>
      <c r="LA540" s="23"/>
      <c r="LB540" s="23"/>
      <c r="LC540" s="23"/>
      <c r="LD540" s="23"/>
      <c r="LE540" s="23"/>
      <c r="LF540" s="23"/>
      <c r="LG540" s="23"/>
      <c r="LH540" s="23"/>
      <c r="LI540" s="23"/>
      <c r="LJ540" s="23"/>
      <c r="LK540" s="23"/>
      <c r="LL540" s="23"/>
      <c r="LM540" s="23"/>
      <c r="LN540" s="23"/>
      <c r="LO540" s="23"/>
    </row>
    <row r="541" spans="1:327">
      <c r="A541" s="390"/>
      <c r="B541" s="23"/>
      <c r="C541" s="391"/>
      <c r="D541" s="391"/>
      <c r="E541" s="23"/>
      <c r="F541" s="23"/>
      <c r="G541" s="392"/>
      <c r="H541" s="392"/>
      <c r="I541" s="392"/>
      <c r="J541" s="392"/>
      <c r="K541" s="392"/>
      <c r="L541" s="392"/>
      <c r="M541" s="392"/>
      <c r="N541" s="23"/>
      <c r="O541" s="39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  <c r="IL541" s="23"/>
      <c r="IM541" s="23"/>
      <c r="IN541" s="23"/>
      <c r="IO541" s="23"/>
      <c r="IP541" s="23"/>
      <c r="IQ541" s="23"/>
      <c r="IR541" s="23"/>
      <c r="IS541" s="23"/>
      <c r="IT541" s="23"/>
      <c r="IU541" s="23"/>
      <c r="IV541" s="23"/>
      <c r="IW541" s="23"/>
      <c r="IX541" s="23"/>
      <c r="IY541" s="23"/>
      <c r="IZ541" s="23"/>
      <c r="JA541" s="23"/>
      <c r="JB541" s="23"/>
      <c r="JC541" s="23"/>
      <c r="JD541" s="23"/>
      <c r="JE541" s="23"/>
      <c r="JF541" s="23"/>
      <c r="JG541" s="23"/>
      <c r="JH541" s="23"/>
      <c r="JI541" s="23"/>
      <c r="JJ541" s="23"/>
      <c r="JK541" s="23"/>
      <c r="JL541" s="23"/>
      <c r="JM541" s="23"/>
      <c r="JN541" s="23"/>
      <c r="JO541" s="23"/>
      <c r="JP541" s="23"/>
      <c r="JQ541" s="23"/>
      <c r="JR541" s="23"/>
      <c r="JS541" s="23"/>
      <c r="JT541" s="23"/>
      <c r="JU541" s="23"/>
      <c r="JV541" s="23"/>
      <c r="JW541" s="23"/>
      <c r="JX541" s="23"/>
      <c r="JY541" s="23"/>
      <c r="JZ541" s="23"/>
      <c r="KA541" s="23"/>
      <c r="KB541" s="23"/>
      <c r="KC541" s="23"/>
      <c r="KD541" s="23"/>
      <c r="KE541" s="23"/>
      <c r="KF541" s="23"/>
      <c r="KG541" s="23"/>
      <c r="KH541" s="23"/>
      <c r="KI541" s="23"/>
      <c r="KJ541" s="23"/>
      <c r="KK541" s="23"/>
      <c r="KL541" s="23"/>
      <c r="KM541" s="23"/>
      <c r="KN541" s="23"/>
      <c r="KO541" s="23"/>
      <c r="KP541" s="23"/>
      <c r="KQ541" s="23"/>
      <c r="KR541" s="23"/>
      <c r="KS541" s="23"/>
      <c r="KT541" s="23"/>
      <c r="KU541" s="23"/>
      <c r="KV541" s="23"/>
      <c r="KW541" s="23"/>
      <c r="KX541" s="23"/>
      <c r="KY541" s="23"/>
      <c r="KZ541" s="23"/>
      <c r="LA541" s="23"/>
      <c r="LB541" s="23"/>
      <c r="LC541" s="23"/>
      <c r="LD541" s="23"/>
      <c r="LE541" s="23"/>
      <c r="LF541" s="23"/>
      <c r="LG541" s="23"/>
      <c r="LH541" s="23"/>
      <c r="LI541" s="23"/>
      <c r="LJ541" s="23"/>
      <c r="LK541" s="23"/>
      <c r="LL541" s="23"/>
      <c r="LM541" s="23"/>
      <c r="LN541" s="23"/>
      <c r="LO541" s="23"/>
    </row>
    <row r="542" spans="1:327">
      <c r="A542" s="390"/>
      <c r="B542" s="23"/>
      <c r="C542" s="391"/>
      <c r="D542" s="391"/>
      <c r="E542" s="23"/>
      <c r="F542" s="23"/>
      <c r="G542" s="392"/>
      <c r="H542" s="392"/>
      <c r="I542" s="392"/>
      <c r="J542" s="392"/>
      <c r="K542" s="392"/>
      <c r="L542" s="392"/>
      <c r="M542" s="392"/>
      <c r="N542" s="23"/>
      <c r="O542" s="39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  <c r="IL542" s="23"/>
      <c r="IM542" s="23"/>
      <c r="IN542" s="23"/>
      <c r="IO542" s="23"/>
      <c r="IP542" s="23"/>
      <c r="IQ542" s="23"/>
      <c r="IR542" s="23"/>
      <c r="IS542" s="23"/>
      <c r="IT542" s="23"/>
      <c r="IU542" s="23"/>
      <c r="IV542" s="23"/>
      <c r="IW542" s="23"/>
      <c r="IX542" s="23"/>
      <c r="IY542" s="23"/>
      <c r="IZ542" s="23"/>
      <c r="JA542" s="23"/>
      <c r="JB542" s="23"/>
      <c r="JC542" s="23"/>
      <c r="JD542" s="23"/>
      <c r="JE542" s="23"/>
      <c r="JF542" s="23"/>
      <c r="JG542" s="23"/>
      <c r="JH542" s="23"/>
      <c r="JI542" s="23"/>
      <c r="JJ542" s="23"/>
      <c r="JK542" s="23"/>
      <c r="JL542" s="23"/>
      <c r="JM542" s="23"/>
      <c r="JN542" s="23"/>
      <c r="JO542" s="23"/>
      <c r="JP542" s="23"/>
      <c r="JQ542" s="23"/>
      <c r="JR542" s="23"/>
      <c r="JS542" s="23"/>
      <c r="JT542" s="23"/>
      <c r="JU542" s="23"/>
      <c r="JV542" s="23"/>
      <c r="JW542" s="23"/>
      <c r="JX542" s="23"/>
      <c r="JY542" s="23"/>
      <c r="JZ542" s="23"/>
      <c r="KA542" s="23"/>
      <c r="KB542" s="23"/>
      <c r="KC542" s="23"/>
      <c r="KD542" s="23"/>
      <c r="KE542" s="23"/>
      <c r="KF542" s="23"/>
      <c r="KG542" s="23"/>
      <c r="KH542" s="23"/>
      <c r="KI542" s="23"/>
      <c r="KJ542" s="23"/>
      <c r="KK542" s="23"/>
      <c r="KL542" s="23"/>
      <c r="KM542" s="23"/>
      <c r="KN542" s="23"/>
      <c r="KO542" s="23"/>
      <c r="KP542" s="23"/>
      <c r="KQ542" s="23"/>
      <c r="KR542" s="23"/>
      <c r="KS542" s="23"/>
      <c r="KT542" s="23"/>
      <c r="KU542" s="23"/>
      <c r="KV542" s="23"/>
      <c r="KW542" s="23"/>
      <c r="KX542" s="23"/>
      <c r="KY542" s="23"/>
      <c r="KZ542" s="23"/>
      <c r="LA542" s="23"/>
      <c r="LB542" s="23"/>
      <c r="LC542" s="23"/>
      <c r="LD542" s="23"/>
      <c r="LE542" s="23"/>
      <c r="LF542" s="23"/>
      <c r="LG542" s="23"/>
      <c r="LH542" s="23"/>
      <c r="LI542" s="23"/>
      <c r="LJ542" s="23"/>
      <c r="LK542" s="23"/>
      <c r="LL542" s="23"/>
      <c r="LM542" s="23"/>
      <c r="LN542" s="23"/>
      <c r="LO542" s="23"/>
    </row>
    <row r="543" spans="1:327">
      <c r="A543" s="390"/>
      <c r="B543" s="23"/>
      <c r="C543" s="391"/>
      <c r="D543" s="391"/>
      <c r="E543" s="23"/>
      <c r="F543" s="23"/>
      <c r="G543" s="392"/>
      <c r="H543" s="392"/>
      <c r="I543" s="392"/>
      <c r="J543" s="392"/>
      <c r="K543" s="392"/>
      <c r="L543" s="392"/>
      <c r="M543" s="392"/>
      <c r="N543" s="23"/>
      <c r="O543" s="39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  <c r="IL543" s="23"/>
      <c r="IM543" s="23"/>
      <c r="IN543" s="23"/>
      <c r="IO543" s="23"/>
      <c r="IP543" s="23"/>
      <c r="IQ543" s="23"/>
      <c r="IR543" s="23"/>
      <c r="IS543" s="23"/>
      <c r="IT543" s="23"/>
      <c r="IU543" s="23"/>
      <c r="IV543" s="23"/>
      <c r="IW543" s="23"/>
      <c r="IX543" s="23"/>
      <c r="IY543" s="23"/>
      <c r="IZ543" s="23"/>
      <c r="JA543" s="23"/>
      <c r="JB543" s="23"/>
      <c r="JC543" s="23"/>
      <c r="JD543" s="23"/>
      <c r="JE543" s="23"/>
      <c r="JF543" s="23"/>
      <c r="JG543" s="23"/>
      <c r="JH543" s="23"/>
      <c r="JI543" s="23"/>
      <c r="JJ543" s="23"/>
      <c r="JK543" s="23"/>
      <c r="JL543" s="23"/>
      <c r="JM543" s="23"/>
      <c r="JN543" s="23"/>
      <c r="JO543" s="23"/>
      <c r="JP543" s="23"/>
      <c r="JQ543" s="23"/>
      <c r="JR543" s="23"/>
      <c r="JS543" s="23"/>
      <c r="JT543" s="23"/>
      <c r="JU543" s="23"/>
      <c r="JV543" s="23"/>
      <c r="JW543" s="23"/>
      <c r="JX543" s="23"/>
      <c r="JY543" s="23"/>
      <c r="JZ543" s="23"/>
      <c r="KA543" s="23"/>
      <c r="KB543" s="23"/>
      <c r="KC543" s="23"/>
      <c r="KD543" s="23"/>
      <c r="KE543" s="23"/>
      <c r="KF543" s="23"/>
      <c r="KG543" s="23"/>
      <c r="KH543" s="23"/>
      <c r="KI543" s="23"/>
      <c r="KJ543" s="23"/>
      <c r="KK543" s="23"/>
      <c r="KL543" s="23"/>
      <c r="KM543" s="23"/>
      <c r="KN543" s="23"/>
      <c r="KO543" s="23"/>
      <c r="KP543" s="23"/>
      <c r="KQ543" s="23"/>
      <c r="KR543" s="23"/>
      <c r="KS543" s="23"/>
      <c r="KT543" s="23"/>
      <c r="KU543" s="23"/>
      <c r="KV543" s="23"/>
      <c r="KW543" s="23"/>
      <c r="KX543" s="23"/>
      <c r="KY543" s="23"/>
      <c r="KZ543" s="23"/>
      <c r="LA543" s="23"/>
      <c r="LB543" s="23"/>
      <c r="LC543" s="23"/>
      <c r="LD543" s="23"/>
      <c r="LE543" s="23"/>
      <c r="LF543" s="23"/>
      <c r="LG543" s="23"/>
      <c r="LH543" s="23"/>
      <c r="LI543" s="23"/>
      <c r="LJ543" s="23"/>
      <c r="LK543" s="23"/>
      <c r="LL543" s="23"/>
      <c r="LM543" s="23"/>
      <c r="LN543" s="23"/>
      <c r="LO543" s="23"/>
    </row>
    <row r="544" spans="1:327">
      <c r="A544" s="390"/>
      <c r="B544" s="23"/>
      <c r="C544" s="391"/>
      <c r="D544" s="391"/>
      <c r="E544" s="23"/>
      <c r="F544" s="23"/>
      <c r="G544" s="392"/>
      <c r="H544" s="392"/>
      <c r="I544" s="392"/>
      <c r="J544" s="392"/>
      <c r="K544" s="392"/>
      <c r="L544" s="392"/>
      <c r="M544" s="392"/>
      <c r="N544" s="23"/>
      <c r="O544" s="39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  <c r="IL544" s="23"/>
      <c r="IM544" s="23"/>
      <c r="IN544" s="23"/>
      <c r="IO544" s="23"/>
      <c r="IP544" s="23"/>
      <c r="IQ544" s="23"/>
      <c r="IR544" s="23"/>
      <c r="IS544" s="23"/>
      <c r="IT544" s="23"/>
      <c r="IU544" s="23"/>
      <c r="IV544" s="23"/>
      <c r="IW544" s="23"/>
      <c r="IX544" s="23"/>
      <c r="IY544" s="23"/>
      <c r="IZ544" s="23"/>
      <c r="JA544" s="23"/>
      <c r="JB544" s="23"/>
      <c r="JC544" s="23"/>
      <c r="JD544" s="23"/>
      <c r="JE544" s="23"/>
      <c r="JF544" s="23"/>
      <c r="JG544" s="23"/>
      <c r="JH544" s="23"/>
      <c r="JI544" s="23"/>
      <c r="JJ544" s="23"/>
      <c r="JK544" s="23"/>
      <c r="JL544" s="23"/>
      <c r="JM544" s="23"/>
      <c r="JN544" s="23"/>
      <c r="JO544" s="23"/>
      <c r="JP544" s="23"/>
      <c r="JQ544" s="23"/>
      <c r="JR544" s="23"/>
      <c r="JS544" s="23"/>
      <c r="JT544" s="23"/>
      <c r="JU544" s="23"/>
      <c r="JV544" s="23"/>
      <c r="JW544" s="23"/>
      <c r="JX544" s="23"/>
      <c r="JY544" s="23"/>
      <c r="JZ544" s="23"/>
      <c r="KA544" s="23"/>
      <c r="KB544" s="23"/>
      <c r="KC544" s="23"/>
      <c r="KD544" s="23"/>
      <c r="KE544" s="23"/>
      <c r="KF544" s="23"/>
      <c r="KG544" s="23"/>
      <c r="KH544" s="23"/>
      <c r="KI544" s="23"/>
      <c r="KJ544" s="23"/>
      <c r="KK544" s="23"/>
      <c r="KL544" s="23"/>
      <c r="KM544" s="23"/>
      <c r="KN544" s="23"/>
      <c r="KO544" s="23"/>
      <c r="KP544" s="23"/>
      <c r="KQ544" s="23"/>
      <c r="KR544" s="23"/>
      <c r="KS544" s="23"/>
      <c r="KT544" s="23"/>
      <c r="KU544" s="23"/>
      <c r="KV544" s="23"/>
      <c r="KW544" s="23"/>
      <c r="KX544" s="23"/>
      <c r="KY544" s="23"/>
      <c r="KZ544" s="23"/>
      <c r="LA544" s="23"/>
      <c r="LB544" s="23"/>
      <c r="LC544" s="23"/>
      <c r="LD544" s="23"/>
      <c r="LE544" s="23"/>
      <c r="LF544" s="23"/>
      <c r="LG544" s="23"/>
      <c r="LH544" s="23"/>
      <c r="LI544" s="23"/>
      <c r="LJ544" s="23"/>
      <c r="LK544" s="23"/>
      <c r="LL544" s="23"/>
      <c r="LM544" s="23"/>
      <c r="LN544" s="23"/>
      <c r="LO544" s="23"/>
    </row>
    <row r="545" spans="1:327">
      <c r="A545" s="390"/>
      <c r="B545" s="23"/>
      <c r="C545" s="391"/>
      <c r="D545" s="391"/>
      <c r="E545" s="23"/>
      <c r="F545" s="23"/>
      <c r="G545" s="392"/>
      <c r="H545" s="392"/>
      <c r="I545" s="392"/>
      <c r="J545" s="392"/>
      <c r="K545" s="392"/>
      <c r="L545" s="392"/>
      <c r="M545" s="392"/>
      <c r="N545" s="23"/>
      <c r="O545" s="39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  <c r="IL545" s="23"/>
      <c r="IM545" s="23"/>
      <c r="IN545" s="23"/>
      <c r="IO545" s="23"/>
      <c r="IP545" s="23"/>
      <c r="IQ545" s="23"/>
      <c r="IR545" s="23"/>
      <c r="IS545" s="23"/>
      <c r="IT545" s="23"/>
      <c r="IU545" s="23"/>
      <c r="IV545" s="23"/>
      <c r="IW545" s="23"/>
      <c r="IX545" s="23"/>
      <c r="IY545" s="23"/>
      <c r="IZ545" s="23"/>
      <c r="JA545" s="23"/>
      <c r="JB545" s="23"/>
      <c r="JC545" s="23"/>
      <c r="JD545" s="23"/>
      <c r="JE545" s="23"/>
      <c r="JF545" s="23"/>
      <c r="JG545" s="23"/>
      <c r="JH545" s="23"/>
      <c r="JI545" s="23"/>
      <c r="JJ545" s="23"/>
      <c r="JK545" s="23"/>
      <c r="JL545" s="23"/>
      <c r="JM545" s="23"/>
      <c r="JN545" s="23"/>
      <c r="JO545" s="23"/>
      <c r="JP545" s="23"/>
      <c r="JQ545" s="23"/>
      <c r="JR545" s="23"/>
      <c r="JS545" s="23"/>
      <c r="JT545" s="23"/>
      <c r="JU545" s="23"/>
      <c r="JV545" s="23"/>
      <c r="JW545" s="23"/>
      <c r="JX545" s="23"/>
      <c r="JY545" s="23"/>
      <c r="JZ545" s="23"/>
      <c r="KA545" s="23"/>
      <c r="KB545" s="23"/>
      <c r="KC545" s="23"/>
      <c r="KD545" s="23"/>
      <c r="KE545" s="23"/>
      <c r="KF545" s="23"/>
      <c r="KG545" s="23"/>
      <c r="KH545" s="23"/>
      <c r="KI545" s="23"/>
      <c r="KJ545" s="23"/>
      <c r="KK545" s="23"/>
      <c r="KL545" s="23"/>
      <c r="KM545" s="23"/>
      <c r="KN545" s="23"/>
      <c r="KO545" s="23"/>
      <c r="KP545" s="23"/>
      <c r="KQ545" s="23"/>
      <c r="KR545" s="23"/>
      <c r="KS545" s="23"/>
      <c r="KT545" s="23"/>
      <c r="KU545" s="23"/>
      <c r="KV545" s="23"/>
      <c r="KW545" s="23"/>
      <c r="KX545" s="23"/>
      <c r="KY545" s="23"/>
      <c r="KZ545" s="23"/>
      <c r="LA545" s="23"/>
      <c r="LB545" s="23"/>
      <c r="LC545" s="23"/>
      <c r="LD545" s="23"/>
      <c r="LE545" s="23"/>
      <c r="LF545" s="23"/>
      <c r="LG545" s="23"/>
      <c r="LH545" s="23"/>
      <c r="LI545" s="23"/>
      <c r="LJ545" s="23"/>
      <c r="LK545" s="23"/>
      <c r="LL545" s="23"/>
      <c r="LM545" s="23"/>
      <c r="LN545" s="23"/>
      <c r="LO545" s="23"/>
    </row>
    <row r="546" spans="1:327">
      <c r="A546" s="390"/>
      <c r="B546" s="23"/>
      <c r="C546" s="391"/>
      <c r="D546" s="391"/>
      <c r="E546" s="23"/>
      <c r="F546" s="23"/>
      <c r="G546" s="392"/>
      <c r="H546" s="392"/>
      <c r="I546" s="392"/>
      <c r="J546" s="392"/>
      <c r="K546" s="392"/>
      <c r="L546" s="392"/>
      <c r="M546" s="392"/>
      <c r="N546" s="23"/>
      <c r="O546" s="39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  <c r="IL546" s="23"/>
      <c r="IM546" s="23"/>
      <c r="IN546" s="23"/>
      <c r="IO546" s="23"/>
      <c r="IP546" s="23"/>
      <c r="IQ546" s="23"/>
      <c r="IR546" s="23"/>
      <c r="IS546" s="23"/>
      <c r="IT546" s="23"/>
      <c r="IU546" s="23"/>
      <c r="IV546" s="23"/>
      <c r="IW546" s="23"/>
      <c r="IX546" s="23"/>
      <c r="IY546" s="23"/>
      <c r="IZ546" s="23"/>
      <c r="JA546" s="23"/>
      <c r="JB546" s="23"/>
      <c r="JC546" s="23"/>
      <c r="JD546" s="23"/>
      <c r="JE546" s="23"/>
      <c r="JF546" s="23"/>
      <c r="JG546" s="23"/>
      <c r="JH546" s="23"/>
      <c r="JI546" s="23"/>
      <c r="JJ546" s="23"/>
      <c r="JK546" s="23"/>
      <c r="JL546" s="23"/>
      <c r="JM546" s="23"/>
      <c r="JN546" s="23"/>
      <c r="JO546" s="23"/>
      <c r="JP546" s="23"/>
      <c r="JQ546" s="23"/>
      <c r="JR546" s="23"/>
      <c r="JS546" s="23"/>
      <c r="JT546" s="23"/>
      <c r="JU546" s="23"/>
      <c r="JV546" s="23"/>
      <c r="JW546" s="23"/>
      <c r="JX546" s="23"/>
      <c r="JY546" s="23"/>
      <c r="JZ546" s="23"/>
      <c r="KA546" s="23"/>
      <c r="KB546" s="23"/>
      <c r="KC546" s="23"/>
      <c r="KD546" s="23"/>
      <c r="KE546" s="23"/>
      <c r="KF546" s="23"/>
      <c r="KG546" s="23"/>
      <c r="KH546" s="23"/>
      <c r="KI546" s="23"/>
      <c r="KJ546" s="23"/>
      <c r="KK546" s="23"/>
      <c r="KL546" s="23"/>
      <c r="KM546" s="23"/>
      <c r="KN546" s="23"/>
      <c r="KO546" s="23"/>
      <c r="KP546" s="23"/>
      <c r="KQ546" s="23"/>
      <c r="KR546" s="23"/>
      <c r="KS546" s="23"/>
      <c r="KT546" s="23"/>
      <c r="KU546" s="23"/>
      <c r="KV546" s="23"/>
      <c r="KW546" s="23"/>
      <c r="KX546" s="23"/>
      <c r="KY546" s="23"/>
      <c r="KZ546" s="23"/>
      <c r="LA546" s="23"/>
      <c r="LB546" s="23"/>
      <c r="LC546" s="23"/>
      <c r="LD546" s="23"/>
      <c r="LE546" s="23"/>
      <c r="LF546" s="23"/>
      <c r="LG546" s="23"/>
      <c r="LH546" s="23"/>
      <c r="LI546" s="23"/>
      <c r="LJ546" s="23"/>
      <c r="LK546" s="23"/>
      <c r="LL546" s="23"/>
      <c r="LM546" s="23"/>
      <c r="LN546" s="23"/>
      <c r="LO546" s="23"/>
    </row>
    <row r="547" spans="1:327">
      <c r="A547" s="390"/>
      <c r="B547" s="23"/>
      <c r="C547" s="391"/>
      <c r="D547" s="391"/>
      <c r="E547" s="23"/>
      <c r="F547" s="23"/>
      <c r="G547" s="392"/>
      <c r="H547" s="392"/>
      <c r="I547" s="392"/>
      <c r="J547" s="392"/>
      <c r="K547" s="392"/>
      <c r="L547" s="392"/>
      <c r="M547" s="392"/>
      <c r="N547" s="23"/>
      <c r="O547" s="39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  <c r="IL547" s="23"/>
      <c r="IM547" s="23"/>
      <c r="IN547" s="23"/>
      <c r="IO547" s="23"/>
      <c r="IP547" s="23"/>
      <c r="IQ547" s="23"/>
      <c r="IR547" s="23"/>
      <c r="IS547" s="23"/>
      <c r="IT547" s="23"/>
      <c r="IU547" s="23"/>
      <c r="IV547" s="23"/>
      <c r="IW547" s="23"/>
      <c r="IX547" s="23"/>
      <c r="IY547" s="23"/>
      <c r="IZ547" s="23"/>
      <c r="JA547" s="23"/>
      <c r="JB547" s="23"/>
      <c r="JC547" s="23"/>
      <c r="JD547" s="23"/>
      <c r="JE547" s="23"/>
      <c r="JF547" s="23"/>
      <c r="JG547" s="23"/>
      <c r="JH547" s="23"/>
      <c r="JI547" s="23"/>
      <c r="JJ547" s="23"/>
      <c r="JK547" s="23"/>
      <c r="JL547" s="23"/>
      <c r="JM547" s="23"/>
      <c r="JN547" s="23"/>
      <c r="JO547" s="23"/>
      <c r="JP547" s="23"/>
      <c r="JQ547" s="23"/>
      <c r="JR547" s="23"/>
      <c r="JS547" s="23"/>
      <c r="JT547" s="23"/>
      <c r="JU547" s="23"/>
      <c r="JV547" s="23"/>
      <c r="JW547" s="23"/>
      <c r="JX547" s="23"/>
      <c r="JY547" s="23"/>
      <c r="JZ547" s="23"/>
      <c r="KA547" s="23"/>
      <c r="KB547" s="23"/>
      <c r="KC547" s="23"/>
      <c r="KD547" s="23"/>
      <c r="KE547" s="23"/>
      <c r="KF547" s="23"/>
      <c r="KG547" s="23"/>
      <c r="KH547" s="23"/>
      <c r="KI547" s="23"/>
      <c r="KJ547" s="23"/>
      <c r="KK547" s="23"/>
      <c r="KL547" s="23"/>
      <c r="KM547" s="23"/>
      <c r="KN547" s="23"/>
      <c r="KO547" s="23"/>
      <c r="KP547" s="23"/>
      <c r="KQ547" s="23"/>
      <c r="KR547" s="23"/>
      <c r="KS547" s="23"/>
      <c r="KT547" s="23"/>
      <c r="KU547" s="23"/>
      <c r="KV547" s="23"/>
      <c r="KW547" s="23"/>
      <c r="KX547" s="23"/>
      <c r="KY547" s="23"/>
      <c r="KZ547" s="23"/>
      <c r="LA547" s="23"/>
      <c r="LB547" s="23"/>
      <c r="LC547" s="23"/>
      <c r="LD547" s="23"/>
      <c r="LE547" s="23"/>
      <c r="LF547" s="23"/>
      <c r="LG547" s="23"/>
      <c r="LH547" s="23"/>
      <c r="LI547" s="23"/>
      <c r="LJ547" s="23"/>
      <c r="LK547" s="23"/>
      <c r="LL547" s="23"/>
      <c r="LM547" s="23"/>
      <c r="LN547" s="23"/>
      <c r="LO547" s="23"/>
    </row>
    <row r="548" spans="1:327">
      <c r="A548" s="390"/>
      <c r="B548" s="23"/>
      <c r="C548" s="391"/>
      <c r="D548" s="391"/>
      <c r="E548" s="23"/>
      <c r="F548" s="23"/>
      <c r="G548" s="392"/>
      <c r="H548" s="392"/>
      <c r="I548" s="392"/>
      <c r="J548" s="392"/>
      <c r="K548" s="392"/>
      <c r="L548" s="392"/>
      <c r="M548" s="392"/>
      <c r="N548" s="23"/>
      <c r="O548" s="39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  <c r="IL548" s="23"/>
      <c r="IM548" s="23"/>
      <c r="IN548" s="23"/>
      <c r="IO548" s="23"/>
      <c r="IP548" s="23"/>
      <c r="IQ548" s="23"/>
      <c r="IR548" s="23"/>
      <c r="IS548" s="23"/>
      <c r="IT548" s="23"/>
      <c r="IU548" s="23"/>
      <c r="IV548" s="23"/>
      <c r="IW548" s="23"/>
      <c r="IX548" s="23"/>
      <c r="IY548" s="23"/>
      <c r="IZ548" s="23"/>
      <c r="JA548" s="23"/>
      <c r="JB548" s="23"/>
      <c r="JC548" s="23"/>
      <c r="JD548" s="23"/>
      <c r="JE548" s="23"/>
      <c r="JF548" s="23"/>
      <c r="JG548" s="23"/>
      <c r="JH548" s="23"/>
      <c r="JI548" s="23"/>
      <c r="JJ548" s="23"/>
      <c r="JK548" s="23"/>
      <c r="JL548" s="23"/>
      <c r="JM548" s="23"/>
      <c r="JN548" s="23"/>
      <c r="JO548" s="23"/>
      <c r="JP548" s="23"/>
      <c r="JQ548" s="23"/>
      <c r="JR548" s="23"/>
      <c r="JS548" s="23"/>
      <c r="JT548" s="23"/>
      <c r="JU548" s="23"/>
      <c r="JV548" s="23"/>
      <c r="JW548" s="23"/>
      <c r="JX548" s="23"/>
      <c r="JY548" s="23"/>
      <c r="JZ548" s="23"/>
      <c r="KA548" s="23"/>
      <c r="KB548" s="23"/>
      <c r="KC548" s="23"/>
      <c r="KD548" s="23"/>
      <c r="KE548" s="23"/>
      <c r="KF548" s="23"/>
      <c r="KG548" s="23"/>
      <c r="KH548" s="23"/>
      <c r="KI548" s="23"/>
      <c r="KJ548" s="23"/>
      <c r="KK548" s="23"/>
      <c r="KL548" s="23"/>
      <c r="KM548" s="23"/>
      <c r="KN548" s="23"/>
      <c r="KO548" s="23"/>
      <c r="KP548" s="23"/>
      <c r="KQ548" s="23"/>
      <c r="KR548" s="23"/>
      <c r="KS548" s="23"/>
      <c r="KT548" s="23"/>
      <c r="KU548" s="23"/>
      <c r="KV548" s="23"/>
      <c r="KW548" s="23"/>
      <c r="KX548" s="23"/>
      <c r="KY548" s="23"/>
      <c r="KZ548" s="23"/>
      <c r="LA548" s="23"/>
      <c r="LB548" s="23"/>
      <c r="LC548" s="23"/>
      <c r="LD548" s="23"/>
      <c r="LE548" s="23"/>
      <c r="LF548" s="23"/>
      <c r="LG548" s="23"/>
      <c r="LH548" s="23"/>
      <c r="LI548" s="23"/>
      <c r="LJ548" s="23"/>
      <c r="LK548" s="23"/>
      <c r="LL548" s="23"/>
      <c r="LM548" s="23"/>
      <c r="LN548" s="23"/>
      <c r="LO548" s="23"/>
    </row>
    <row r="549" spans="1:327">
      <c r="A549" s="390"/>
      <c r="B549" s="23"/>
      <c r="C549" s="391"/>
      <c r="D549" s="391"/>
      <c r="E549" s="23"/>
      <c r="F549" s="23"/>
      <c r="G549" s="392"/>
      <c r="H549" s="392"/>
      <c r="I549" s="392"/>
      <c r="J549" s="392"/>
      <c r="K549" s="392"/>
      <c r="L549" s="392"/>
      <c r="M549" s="392"/>
      <c r="N549" s="23"/>
      <c r="O549" s="39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  <c r="IL549" s="23"/>
      <c r="IM549" s="23"/>
      <c r="IN549" s="23"/>
      <c r="IO549" s="23"/>
      <c r="IP549" s="23"/>
      <c r="IQ549" s="23"/>
      <c r="IR549" s="23"/>
      <c r="IS549" s="23"/>
      <c r="IT549" s="23"/>
      <c r="IU549" s="23"/>
      <c r="IV549" s="23"/>
      <c r="IW549" s="23"/>
      <c r="IX549" s="23"/>
      <c r="IY549" s="23"/>
      <c r="IZ549" s="23"/>
      <c r="JA549" s="23"/>
      <c r="JB549" s="23"/>
      <c r="JC549" s="23"/>
      <c r="JD549" s="23"/>
      <c r="JE549" s="23"/>
      <c r="JF549" s="23"/>
      <c r="JG549" s="23"/>
      <c r="JH549" s="23"/>
      <c r="JI549" s="23"/>
      <c r="JJ549" s="23"/>
      <c r="JK549" s="23"/>
      <c r="JL549" s="23"/>
      <c r="JM549" s="23"/>
      <c r="JN549" s="23"/>
      <c r="JO549" s="23"/>
      <c r="JP549" s="23"/>
      <c r="JQ549" s="23"/>
      <c r="JR549" s="23"/>
      <c r="JS549" s="23"/>
      <c r="JT549" s="23"/>
      <c r="JU549" s="23"/>
      <c r="JV549" s="23"/>
      <c r="JW549" s="23"/>
      <c r="JX549" s="23"/>
      <c r="JY549" s="23"/>
      <c r="JZ549" s="23"/>
      <c r="KA549" s="23"/>
      <c r="KB549" s="23"/>
      <c r="KC549" s="23"/>
      <c r="KD549" s="23"/>
      <c r="KE549" s="23"/>
      <c r="KF549" s="23"/>
      <c r="KG549" s="23"/>
      <c r="KH549" s="23"/>
      <c r="KI549" s="23"/>
      <c r="KJ549" s="23"/>
      <c r="KK549" s="23"/>
      <c r="KL549" s="23"/>
      <c r="KM549" s="23"/>
      <c r="KN549" s="23"/>
      <c r="KO549" s="23"/>
      <c r="KP549" s="23"/>
      <c r="KQ549" s="23"/>
      <c r="KR549" s="23"/>
      <c r="KS549" s="23"/>
      <c r="KT549" s="23"/>
      <c r="KU549" s="23"/>
      <c r="KV549" s="23"/>
      <c r="KW549" s="23"/>
      <c r="KX549" s="23"/>
      <c r="KY549" s="23"/>
      <c r="KZ549" s="23"/>
      <c r="LA549" s="23"/>
      <c r="LB549" s="23"/>
      <c r="LC549" s="23"/>
      <c r="LD549" s="23"/>
      <c r="LE549" s="23"/>
      <c r="LF549" s="23"/>
      <c r="LG549" s="23"/>
      <c r="LH549" s="23"/>
      <c r="LI549" s="23"/>
      <c r="LJ549" s="23"/>
      <c r="LK549" s="23"/>
      <c r="LL549" s="23"/>
      <c r="LM549" s="23"/>
      <c r="LN549" s="23"/>
      <c r="LO549" s="23"/>
    </row>
    <row r="550" spans="1:327">
      <c r="A550" s="390"/>
      <c r="B550" s="23"/>
      <c r="C550" s="391"/>
      <c r="D550" s="391"/>
      <c r="E550" s="23"/>
      <c r="F550" s="23"/>
      <c r="G550" s="392"/>
      <c r="H550" s="392"/>
      <c r="I550" s="392"/>
      <c r="J550" s="392"/>
      <c r="K550" s="392"/>
      <c r="L550" s="392"/>
      <c r="M550" s="392"/>
      <c r="N550" s="23"/>
      <c r="O550" s="39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  <c r="IL550" s="23"/>
      <c r="IM550" s="23"/>
      <c r="IN550" s="23"/>
      <c r="IO550" s="23"/>
      <c r="IP550" s="23"/>
      <c r="IQ550" s="23"/>
      <c r="IR550" s="23"/>
      <c r="IS550" s="23"/>
      <c r="IT550" s="23"/>
      <c r="IU550" s="23"/>
      <c r="IV550" s="23"/>
      <c r="IW550" s="23"/>
      <c r="IX550" s="23"/>
      <c r="IY550" s="23"/>
      <c r="IZ550" s="23"/>
      <c r="JA550" s="23"/>
      <c r="JB550" s="23"/>
      <c r="JC550" s="23"/>
      <c r="JD550" s="23"/>
      <c r="JE550" s="23"/>
      <c r="JF550" s="23"/>
      <c r="JG550" s="23"/>
      <c r="JH550" s="23"/>
      <c r="JI550" s="23"/>
      <c r="JJ550" s="23"/>
      <c r="JK550" s="23"/>
      <c r="JL550" s="23"/>
      <c r="JM550" s="23"/>
      <c r="JN550" s="23"/>
      <c r="JO550" s="23"/>
      <c r="JP550" s="23"/>
      <c r="JQ550" s="23"/>
      <c r="JR550" s="23"/>
      <c r="JS550" s="23"/>
      <c r="JT550" s="23"/>
      <c r="JU550" s="23"/>
      <c r="JV550" s="23"/>
      <c r="JW550" s="23"/>
      <c r="JX550" s="23"/>
      <c r="JY550" s="23"/>
      <c r="JZ550" s="23"/>
      <c r="KA550" s="23"/>
      <c r="KB550" s="23"/>
      <c r="KC550" s="23"/>
      <c r="KD550" s="23"/>
      <c r="KE550" s="23"/>
      <c r="KF550" s="23"/>
      <c r="KG550" s="23"/>
      <c r="KH550" s="23"/>
      <c r="KI550" s="23"/>
      <c r="KJ550" s="23"/>
      <c r="KK550" s="23"/>
      <c r="KL550" s="23"/>
      <c r="KM550" s="23"/>
      <c r="KN550" s="23"/>
      <c r="KO550" s="23"/>
      <c r="KP550" s="23"/>
      <c r="KQ550" s="23"/>
      <c r="KR550" s="23"/>
      <c r="KS550" s="23"/>
      <c r="KT550" s="23"/>
      <c r="KU550" s="23"/>
      <c r="KV550" s="23"/>
      <c r="KW550" s="23"/>
      <c r="KX550" s="23"/>
      <c r="KY550" s="23"/>
      <c r="KZ550" s="23"/>
      <c r="LA550" s="23"/>
      <c r="LB550" s="23"/>
      <c r="LC550" s="23"/>
      <c r="LD550" s="23"/>
      <c r="LE550" s="23"/>
      <c r="LF550" s="23"/>
      <c r="LG550" s="23"/>
      <c r="LH550" s="23"/>
      <c r="LI550" s="23"/>
      <c r="LJ550" s="23"/>
      <c r="LK550" s="23"/>
      <c r="LL550" s="23"/>
      <c r="LM550" s="23"/>
      <c r="LN550" s="23"/>
      <c r="LO550" s="23"/>
    </row>
    <row r="551" spans="1:327">
      <c r="A551" s="390"/>
      <c r="B551" s="23"/>
      <c r="C551" s="391"/>
      <c r="D551" s="391"/>
      <c r="E551" s="23"/>
      <c r="F551" s="23"/>
      <c r="G551" s="392"/>
      <c r="H551" s="392"/>
      <c r="I551" s="392"/>
      <c r="J551" s="392"/>
      <c r="K551" s="392"/>
      <c r="L551" s="392"/>
      <c r="M551" s="392"/>
      <c r="N551" s="23"/>
      <c r="O551" s="39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  <c r="IL551" s="23"/>
      <c r="IM551" s="23"/>
      <c r="IN551" s="23"/>
      <c r="IO551" s="23"/>
      <c r="IP551" s="23"/>
      <c r="IQ551" s="23"/>
      <c r="IR551" s="23"/>
      <c r="IS551" s="23"/>
      <c r="IT551" s="23"/>
      <c r="IU551" s="23"/>
      <c r="IV551" s="23"/>
      <c r="IW551" s="23"/>
      <c r="IX551" s="23"/>
      <c r="IY551" s="23"/>
      <c r="IZ551" s="23"/>
      <c r="JA551" s="23"/>
      <c r="JB551" s="23"/>
      <c r="JC551" s="23"/>
      <c r="JD551" s="23"/>
      <c r="JE551" s="23"/>
      <c r="JF551" s="23"/>
      <c r="JG551" s="23"/>
      <c r="JH551" s="23"/>
      <c r="JI551" s="23"/>
      <c r="JJ551" s="23"/>
      <c r="JK551" s="23"/>
      <c r="JL551" s="23"/>
      <c r="JM551" s="23"/>
      <c r="JN551" s="23"/>
      <c r="JO551" s="23"/>
      <c r="JP551" s="23"/>
      <c r="JQ551" s="23"/>
      <c r="JR551" s="23"/>
      <c r="JS551" s="23"/>
      <c r="JT551" s="23"/>
      <c r="JU551" s="23"/>
      <c r="JV551" s="23"/>
      <c r="JW551" s="23"/>
      <c r="JX551" s="23"/>
      <c r="JY551" s="23"/>
      <c r="JZ551" s="23"/>
      <c r="KA551" s="23"/>
      <c r="KB551" s="23"/>
      <c r="KC551" s="23"/>
      <c r="KD551" s="23"/>
      <c r="KE551" s="23"/>
      <c r="KF551" s="23"/>
      <c r="KG551" s="23"/>
      <c r="KH551" s="23"/>
      <c r="KI551" s="23"/>
      <c r="KJ551" s="23"/>
      <c r="KK551" s="23"/>
      <c r="KL551" s="23"/>
      <c r="KM551" s="23"/>
      <c r="KN551" s="23"/>
      <c r="KO551" s="23"/>
      <c r="KP551" s="23"/>
      <c r="KQ551" s="23"/>
      <c r="KR551" s="23"/>
      <c r="KS551" s="23"/>
      <c r="KT551" s="23"/>
      <c r="KU551" s="23"/>
      <c r="KV551" s="23"/>
      <c r="KW551" s="23"/>
      <c r="KX551" s="23"/>
      <c r="KY551" s="23"/>
      <c r="KZ551" s="23"/>
      <c r="LA551" s="23"/>
      <c r="LB551" s="23"/>
      <c r="LC551" s="23"/>
      <c r="LD551" s="23"/>
      <c r="LE551" s="23"/>
      <c r="LF551" s="23"/>
      <c r="LG551" s="23"/>
      <c r="LH551" s="23"/>
      <c r="LI551" s="23"/>
      <c r="LJ551" s="23"/>
      <c r="LK551" s="23"/>
      <c r="LL551" s="23"/>
      <c r="LM551" s="23"/>
      <c r="LN551" s="23"/>
      <c r="LO551" s="23"/>
    </row>
    <row r="552" spans="1:327">
      <c r="A552" s="390"/>
      <c r="B552" s="23"/>
      <c r="C552" s="391"/>
      <c r="D552" s="391"/>
      <c r="E552" s="23"/>
      <c r="F552" s="23"/>
      <c r="G552" s="392"/>
      <c r="H552" s="392"/>
      <c r="I552" s="392"/>
      <c r="J552" s="392"/>
      <c r="K552" s="392"/>
      <c r="L552" s="392"/>
      <c r="M552" s="392"/>
      <c r="N552" s="23"/>
      <c r="O552" s="39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  <c r="IL552" s="23"/>
      <c r="IM552" s="23"/>
      <c r="IN552" s="23"/>
      <c r="IO552" s="23"/>
      <c r="IP552" s="23"/>
      <c r="IQ552" s="23"/>
      <c r="IR552" s="23"/>
      <c r="IS552" s="23"/>
      <c r="IT552" s="23"/>
      <c r="IU552" s="23"/>
      <c r="IV552" s="23"/>
      <c r="IW552" s="23"/>
      <c r="IX552" s="23"/>
      <c r="IY552" s="23"/>
      <c r="IZ552" s="23"/>
      <c r="JA552" s="23"/>
      <c r="JB552" s="23"/>
      <c r="JC552" s="23"/>
      <c r="JD552" s="23"/>
      <c r="JE552" s="23"/>
      <c r="JF552" s="23"/>
      <c r="JG552" s="23"/>
      <c r="JH552" s="23"/>
      <c r="JI552" s="23"/>
      <c r="JJ552" s="23"/>
      <c r="JK552" s="23"/>
      <c r="JL552" s="23"/>
      <c r="JM552" s="23"/>
      <c r="JN552" s="23"/>
      <c r="JO552" s="23"/>
      <c r="JP552" s="23"/>
      <c r="JQ552" s="23"/>
      <c r="JR552" s="23"/>
      <c r="JS552" s="23"/>
      <c r="JT552" s="23"/>
      <c r="JU552" s="23"/>
      <c r="JV552" s="23"/>
      <c r="JW552" s="23"/>
      <c r="JX552" s="23"/>
      <c r="JY552" s="23"/>
      <c r="JZ552" s="23"/>
      <c r="KA552" s="23"/>
      <c r="KB552" s="23"/>
      <c r="KC552" s="23"/>
      <c r="KD552" s="23"/>
      <c r="KE552" s="23"/>
      <c r="KF552" s="23"/>
      <c r="KG552" s="23"/>
      <c r="KH552" s="23"/>
      <c r="KI552" s="23"/>
      <c r="KJ552" s="23"/>
      <c r="KK552" s="23"/>
      <c r="KL552" s="23"/>
      <c r="KM552" s="23"/>
      <c r="KN552" s="23"/>
      <c r="KO552" s="23"/>
      <c r="KP552" s="23"/>
      <c r="KQ552" s="23"/>
      <c r="KR552" s="23"/>
      <c r="KS552" s="23"/>
      <c r="KT552" s="23"/>
      <c r="KU552" s="23"/>
      <c r="KV552" s="23"/>
      <c r="KW552" s="23"/>
      <c r="KX552" s="23"/>
      <c r="KY552" s="23"/>
      <c r="KZ552" s="23"/>
      <c r="LA552" s="23"/>
      <c r="LB552" s="23"/>
      <c r="LC552" s="23"/>
      <c r="LD552" s="23"/>
      <c r="LE552" s="23"/>
      <c r="LF552" s="23"/>
      <c r="LG552" s="23"/>
      <c r="LH552" s="23"/>
      <c r="LI552" s="23"/>
      <c r="LJ552" s="23"/>
      <c r="LK552" s="23"/>
      <c r="LL552" s="23"/>
      <c r="LM552" s="23"/>
      <c r="LN552" s="23"/>
      <c r="LO552" s="23"/>
    </row>
    <row r="553" spans="1:327">
      <c r="A553" s="390"/>
      <c r="B553" s="23"/>
      <c r="C553" s="391"/>
      <c r="D553" s="391"/>
      <c r="E553" s="23"/>
      <c r="F553" s="23"/>
      <c r="G553" s="392"/>
      <c r="H553" s="392"/>
      <c r="I553" s="392"/>
      <c r="J553" s="392"/>
      <c r="K553" s="392"/>
      <c r="L553" s="392"/>
      <c r="M553" s="392"/>
      <c r="N553" s="23"/>
      <c r="O553" s="39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  <c r="IL553" s="23"/>
      <c r="IM553" s="23"/>
      <c r="IN553" s="23"/>
      <c r="IO553" s="23"/>
      <c r="IP553" s="23"/>
      <c r="IQ553" s="23"/>
      <c r="IR553" s="23"/>
      <c r="IS553" s="23"/>
      <c r="IT553" s="23"/>
      <c r="IU553" s="23"/>
      <c r="IV553" s="23"/>
      <c r="IW553" s="23"/>
      <c r="IX553" s="23"/>
      <c r="IY553" s="23"/>
      <c r="IZ553" s="23"/>
      <c r="JA553" s="23"/>
      <c r="JB553" s="23"/>
      <c r="JC553" s="23"/>
      <c r="JD553" s="23"/>
      <c r="JE553" s="23"/>
      <c r="JF553" s="23"/>
      <c r="JG553" s="23"/>
      <c r="JH553" s="23"/>
      <c r="JI553" s="23"/>
      <c r="JJ553" s="23"/>
      <c r="JK553" s="23"/>
      <c r="JL553" s="23"/>
      <c r="JM553" s="23"/>
      <c r="JN553" s="23"/>
      <c r="JO553" s="23"/>
      <c r="JP553" s="23"/>
      <c r="JQ553" s="23"/>
      <c r="JR553" s="23"/>
      <c r="JS553" s="23"/>
      <c r="JT553" s="23"/>
      <c r="JU553" s="23"/>
      <c r="JV553" s="23"/>
      <c r="JW553" s="23"/>
      <c r="JX553" s="23"/>
      <c r="JY553" s="23"/>
      <c r="JZ553" s="23"/>
      <c r="KA553" s="23"/>
      <c r="KB553" s="23"/>
      <c r="KC553" s="23"/>
      <c r="KD553" s="23"/>
      <c r="KE553" s="23"/>
      <c r="KF553" s="23"/>
      <c r="KG553" s="23"/>
      <c r="KH553" s="23"/>
      <c r="KI553" s="23"/>
      <c r="KJ553" s="23"/>
      <c r="KK553" s="23"/>
      <c r="KL553" s="23"/>
      <c r="KM553" s="23"/>
      <c r="KN553" s="23"/>
      <c r="KO553" s="23"/>
      <c r="KP553" s="23"/>
      <c r="KQ553" s="23"/>
      <c r="KR553" s="23"/>
      <c r="KS553" s="23"/>
      <c r="KT553" s="23"/>
      <c r="KU553" s="23"/>
      <c r="KV553" s="23"/>
      <c r="KW553" s="23"/>
      <c r="KX553" s="23"/>
      <c r="KY553" s="23"/>
      <c r="KZ553" s="23"/>
      <c r="LA553" s="23"/>
      <c r="LB553" s="23"/>
      <c r="LC553" s="23"/>
      <c r="LD553" s="23"/>
      <c r="LE553" s="23"/>
      <c r="LF553" s="23"/>
      <c r="LG553" s="23"/>
      <c r="LH553" s="23"/>
      <c r="LI553" s="23"/>
      <c r="LJ553" s="23"/>
      <c r="LK553" s="23"/>
      <c r="LL553" s="23"/>
      <c r="LM553" s="23"/>
      <c r="LN553" s="23"/>
      <c r="LO553" s="23"/>
    </row>
    <row r="554" spans="1:327">
      <c r="A554" s="390"/>
      <c r="B554" s="23"/>
      <c r="C554" s="391"/>
      <c r="D554" s="391"/>
      <c r="E554" s="23"/>
      <c r="F554" s="23"/>
      <c r="G554" s="392"/>
      <c r="H554" s="392"/>
      <c r="I554" s="392"/>
      <c r="J554" s="392"/>
      <c r="K554" s="392"/>
      <c r="L554" s="392"/>
      <c r="M554" s="392"/>
      <c r="N554" s="23"/>
      <c r="O554" s="39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  <c r="IL554" s="23"/>
      <c r="IM554" s="23"/>
      <c r="IN554" s="23"/>
      <c r="IO554" s="23"/>
      <c r="IP554" s="23"/>
      <c r="IQ554" s="23"/>
      <c r="IR554" s="23"/>
      <c r="IS554" s="23"/>
      <c r="IT554" s="23"/>
      <c r="IU554" s="23"/>
      <c r="IV554" s="23"/>
      <c r="IW554" s="23"/>
      <c r="IX554" s="23"/>
      <c r="IY554" s="23"/>
      <c r="IZ554" s="23"/>
      <c r="JA554" s="23"/>
      <c r="JB554" s="23"/>
      <c r="JC554" s="23"/>
      <c r="JD554" s="23"/>
      <c r="JE554" s="23"/>
      <c r="JF554" s="23"/>
      <c r="JG554" s="23"/>
      <c r="JH554" s="23"/>
      <c r="JI554" s="23"/>
      <c r="JJ554" s="23"/>
      <c r="JK554" s="23"/>
      <c r="JL554" s="23"/>
      <c r="JM554" s="23"/>
      <c r="JN554" s="23"/>
      <c r="JO554" s="23"/>
      <c r="JP554" s="23"/>
      <c r="JQ554" s="23"/>
      <c r="JR554" s="23"/>
      <c r="JS554" s="23"/>
      <c r="JT554" s="23"/>
      <c r="JU554" s="23"/>
      <c r="JV554" s="23"/>
      <c r="JW554" s="23"/>
      <c r="JX554" s="23"/>
      <c r="JY554" s="23"/>
      <c r="JZ554" s="23"/>
      <c r="KA554" s="23"/>
      <c r="KB554" s="23"/>
      <c r="KC554" s="23"/>
      <c r="KD554" s="23"/>
      <c r="KE554" s="23"/>
      <c r="KF554" s="23"/>
      <c r="KG554" s="23"/>
      <c r="KH554" s="23"/>
      <c r="KI554" s="23"/>
      <c r="KJ554" s="23"/>
      <c r="KK554" s="23"/>
      <c r="KL554" s="23"/>
      <c r="KM554" s="23"/>
      <c r="KN554" s="23"/>
      <c r="KO554" s="23"/>
      <c r="KP554" s="23"/>
      <c r="KQ554" s="23"/>
      <c r="KR554" s="23"/>
      <c r="KS554" s="23"/>
      <c r="KT554" s="23"/>
      <c r="KU554" s="23"/>
      <c r="KV554" s="23"/>
      <c r="KW554" s="23"/>
      <c r="KX554" s="23"/>
      <c r="KY554" s="23"/>
      <c r="KZ554" s="23"/>
      <c r="LA554" s="23"/>
      <c r="LB554" s="23"/>
      <c r="LC554" s="23"/>
      <c r="LD554" s="23"/>
      <c r="LE554" s="23"/>
      <c r="LF554" s="23"/>
      <c r="LG554" s="23"/>
      <c r="LH554" s="23"/>
      <c r="LI554" s="23"/>
      <c r="LJ554" s="23"/>
      <c r="LK554" s="23"/>
      <c r="LL554" s="23"/>
      <c r="LM554" s="23"/>
      <c r="LN554" s="23"/>
      <c r="LO554" s="23"/>
    </row>
    <row r="555" spans="1:327">
      <c r="A555" s="390"/>
      <c r="B555" s="23"/>
      <c r="C555" s="391"/>
      <c r="D555" s="391"/>
      <c r="E555" s="23"/>
      <c r="F555" s="23"/>
      <c r="G555" s="392"/>
      <c r="H555" s="392"/>
      <c r="I555" s="392"/>
      <c r="J555" s="392"/>
      <c r="K555" s="392"/>
      <c r="L555" s="392"/>
      <c r="M555" s="392"/>
      <c r="N555" s="23"/>
      <c r="O555" s="39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  <c r="IL555" s="23"/>
      <c r="IM555" s="23"/>
      <c r="IN555" s="23"/>
      <c r="IO555" s="23"/>
      <c r="IP555" s="23"/>
      <c r="IQ555" s="23"/>
      <c r="IR555" s="23"/>
      <c r="IS555" s="23"/>
      <c r="IT555" s="23"/>
      <c r="IU555" s="23"/>
      <c r="IV555" s="23"/>
      <c r="IW555" s="23"/>
      <c r="IX555" s="23"/>
      <c r="IY555" s="23"/>
      <c r="IZ555" s="23"/>
      <c r="JA555" s="23"/>
      <c r="JB555" s="23"/>
      <c r="JC555" s="23"/>
      <c r="JD555" s="23"/>
      <c r="JE555" s="23"/>
      <c r="JF555" s="23"/>
      <c r="JG555" s="23"/>
      <c r="JH555" s="23"/>
      <c r="JI555" s="23"/>
      <c r="JJ555" s="23"/>
      <c r="JK555" s="23"/>
      <c r="JL555" s="23"/>
      <c r="JM555" s="23"/>
      <c r="JN555" s="23"/>
      <c r="JO555" s="23"/>
      <c r="JP555" s="23"/>
      <c r="JQ555" s="23"/>
      <c r="JR555" s="23"/>
      <c r="JS555" s="23"/>
      <c r="JT555" s="23"/>
      <c r="JU555" s="23"/>
      <c r="JV555" s="23"/>
      <c r="JW555" s="23"/>
      <c r="JX555" s="23"/>
      <c r="JY555" s="23"/>
      <c r="JZ555" s="23"/>
      <c r="KA555" s="23"/>
      <c r="KB555" s="23"/>
      <c r="KC555" s="23"/>
      <c r="KD555" s="23"/>
      <c r="KE555" s="23"/>
      <c r="KF555" s="23"/>
      <c r="KG555" s="23"/>
      <c r="KH555" s="23"/>
      <c r="KI555" s="23"/>
      <c r="KJ555" s="23"/>
      <c r="KK555" s="23"/>
      <c r="KL555" s="23"/>
      <c r="KM555" s="23"/>
      <c r="KN555" s="23"/>
      <c r="KO555" s="23"/>
      <c r="KP555" s="23"/>
      <c r="KQ555" s="23"/>
      <c r="KR555" s="23"/>
      <c r="KS555" s="23"/>
      <c r="KT555" s="23"/>
      <c r="KU555" s="23"/>
      <c r="KV555" s="23"/>
      <c r="KW555" s="23"/>
      <c r="KX555" s="23"/>
      <c r="KY555" s="23"/>
      <c r="KZ555" s="23"/>
      <c r="LA555" s="23"/>
      <c r="LB555" s="23"/>
      <c r="LC555" s="23"/>
      <c r="LD555" s="23"/>
      <c r="LE555" s="23"/>
      <c r="LF555" s="23"/>
      <c r="LG555" s="23"/>
      <c r="LH555" s="23"/>
      <c r="LI555" s="23"/>
      <c r="LJ555" s="23"/>
      <c r="LK555" s="23"/>
      <c r="LL555" s="23"/>
      <c r="LM555" s="23"/>
      <c r="LN555" s="23"/>
      <c r="LO555" s="23"/>
    </row>
    <row r="556" spans="1:327">
      <c r="A556" s="390"/>
      <c r="B556" s="23"/>
      <c r="C556" s="391"/>
      <c r="D556" s="391"/>
      <c r="E556" s="23"/>
      <c r="F556" s="23"/>
      <c r="G556" s="392"/>
      <c r="H556" s="392"/>
      <c r="I556" s="392"/>
      <c r="J556" s="392"/>
      <c r="K556" s="392"/>
      <c r="L556" s="392"/>
      <c r="M556" s="392"/>
      <c r="N556" s="23"/>
      <c r="O556" s="39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  <c r="IL556" s="23"/>
      <c r="IM556" s="23"/>
      <c r="IN556" s="23"/>
      <c r="IO556" s="23"/>
      <c r="IP556" s="23"/>
      <c r="IQ556" s="23"/>
      <c r="IR556" s="23"/>
      <c r="IS556" s="23"/>
      <c r="IT556" s="23"/>
      <c r="IU556" s="23"/>
      <c r="IV556" s="23"/>
      <c r="IW556" s="23"/>
      <c r="IX556" s="23"/>
      <c r="IY556" s="23"/>
      <c r="IZ556" s="23"/>
      <c r="JA556" s="23"/>
      <c r="JB556" s="23"/>
      <c r="JC556" s="23"/>
      <c r="JD556" s="23"/>
      <c r="JE556" s="23"/>
      <c r="JF556" s="23"/>
      <c r="JG556" s="23"/>
      <c r="JH556" s="23"/>
      <c r="JI556" s="23"/>
      <c r="JJ556" s="23"/>
      <c r="JK556" s="23"/>
      <c r="JL556" s="23"/>
      <c r="JM556" s="23"/>
      <c r="JN556" s="23"/>
      <c r="JO556" s="23"/>
      <c r="JP556" s="23"/>
      <c r="JQ556" s="23"/>
      <c r="JR556" s="23"/>
      <c r="JS556" s="23"/>
      <c r="JT556" s="23"/>
      <c r="JU556" s="23"/>
      <c r="JV556" s="23"/>
      <c r="JW556" s="23"/>
      <c r="JX556" s="23"/>
      <c r="JY556" s="23"/>
      <c r="JZ556" s="23"/>
      <c r="KA556" s="23"/>
      <c r="KB556" s="23"/>
      <c r="KC556" s="23"/>
      <c r="KD556" s="23"/>
      <c r="KE556" s="23"/>
      <c r="KF556" s="23"/>
      <c r="KG556" s="23"/>
      <c r="KH556" s="23"/>
      <c r="KI556" s="23"/>
      <c r="KJ556" s="23"/>
      <c r="KK556" s="23"/>
      <c r="KL556" s="23"/>
      <c r="KM556" s="23"/>
      <c r="KN556" s="23"/>
      <c r="KO556" s="23"/>
      <c r="KP556" s="23"/>
      <c r="KQ556" s="23"/>
      <c r="KR556" s="23"/>
      <c r="KS556" s="23"/>
      <c r="KT556" s="23"/>
      <c r="KU556" s="23"/>
      <c r="KV556" s="23"/>
      <c r="KW556" s="23"/>
      <c r="KX556" s="23"/>
      <c r="KY556" s="23"/>
      <c r="KZ556" s="23"/>
      <c r="LA556" s="23"/>
      <c r="LB556" s="23"/>
      <c r="LC556" s="23"/>
      <c r="LD556" s="23"/>
      <c r="LE556" s="23"/>
      <c r="LF556" s="23"/>
      <c r="LG556" s="23"/>
      <c r="LH556" s="23"/>
      <c r="LI556" s="23"/>
      <c r="LJ556" s="23"/>
      <c r="LK556" s="23"/>
      <c r="LL556" s="23"/>
      <c r="LM556" s="23"/>
      <c r="LN556" s="23"/>
      <c r="LO556" s="23"/>
    </row>
    <row r="557" spans="1:327">
      <c r="A557" s="390"/>
      <c r="B557" s="23"/>
      <c r="C557" s="391"/>
      <c r="D557" s="391"/>
      <c r="E557" s="23"/>
      <c r="F557" s="23"/>
      <c r="G557" s="392"/>
      <c r="H557" s="392"/>
      <c r="I557" s="392"/>
      <c r="J557" s="392"/>
      <c r="K557" s="392"/>
      <c r="L557" s="392"/>
      <c r="M557" s="392"/>
      <c r="N557" s="23"/>
      <c r="O557" s="39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  <c r="IL557" s="23"/>
      <c r="IM557" s="23"/>
      <c r="IN557" s="23"/>
      <c r="IO557" s="23"/>
      <c r="IP557" s="23"/>
      <c r="IQ557" s="23"/>
      <c r="IR557" s="23"/>
      <c r="IS557" s="23"/>
      <c r="IT557" s="23"/>
      <c r="IU557" s="23"/>
      <c r="IV557" s="23"/>
      <c r="IW557" s="23"/>
      <c r="IX557" s="23"/>
      <c r="IY557" s="23"/>
      <c r="IZ557" s="23"/>
      <c r="JA557" s="23"/>
      <c r="JB557" s="23"/>
      <c r="JC557" s="23"/>
      <c r="JD557" s="23"/>
      <c r="JE557" s="23"/>
      <c r="JF557" s="23"/>
      <c r="JG557" s="23"/>
      <c r="JH557" s="23"/>
      <c r="JI557" s="23"/>
      <c r="JJ557" s="23"/>
      <c r="JK557" s="23"/>
      <c r="JL557" s="23"/>
      <c r="JM557" s="23"/>
      <c r="JN557" s="23"/>
      <c r="JO557" s="23"/>
      <c r="JP557" s="23"/>
      <c r="JQ557" s="23"/>
      <c r="JR557" s="23"/>
      <c r="JS557" s="23"/>
      <c r="JT557" s="23"/>
      <c r="JU557" s="23"/>
      <c r="JV557" s="23"/>
      <c r="JW557" s="23"/>
      <c r="JX557" s="23"/>
      <c r="JY557" s="23"/>
      <c r="JZ557" s="23"/>
      <c r="KA557" s="23"/>
      <c r="KB557" s="23"/>
      <c r="KC557" s="23"/>
      <c r="KD557" s="23"/>
      <c r="KE557" s="23"/>
      <c r="KF557" s="23"/>
      <c r="KG557" s="23"/>
      <c r="KH557" s="23"/>
      <c r="KI557" s="23"/>
      <c r="KJ557" s="23"/>
      <c r="KK557" s="23"/>
      <c r="KL557" s="23"/>
      <c r="KM557" s="23"/>
      <c r="KN557" s="23"/>
      <c r="KO557" s="23"/>
      <c r="KP557" s="23"/>
      <c r="KQ557" s="23"/>
      <c r="KR557" s="23"/>
      <c r="KS557" s="23"/>
      <c r="KT557" s="23"/>
      <c r="KU557" s="23"/>
      <c r="KV557" s="23"/>
      <c r="KW557" s="23"/>
      <c r="KX557" s="23"/>
      <c r="KY557" s="23"/>
      <c r="KZ557" s="23"/>
      <c r="LA557" s="23"/>
      <c r="LB557" s="23"/>
      <c r="LC557" s="23"/>
      <c r="LD557" s="23"/>
      <c r="LE557" s="23"/>
      <c r="LF557" s="23"/>
      <c r="LG557" s="23"/>
      <c r="LH557" s="23"/>
      <c r="LI557" s="23"/>
      <c r="LJ557" s="23"/>
      <c r="LK557" s="23"/>
      <c r="LL557" s="23"/>
      <c r="LM557" s="23"/>
      <c r="LN557" s="23"/>
      <c r="LO557" s="23"/>
    </row>
    <row r="558" spans="1:327">
      <c r="A558" s="390"/>
      <c r="B558" s="23"/>
      <c r="C558" s="391"/>
      <c r="D558" s="391"/>
      <c r="E558" s="23"/>
      <c r="F558" s="23"/>
      <c r="G558" s="392"/>
      <c r="H558" s="392"/>
      <c r="I558" s="392"/>
      <c r="J558" s="392"/>
      <c r="K558" s="392"/>
      <c r="L558" s="392"/>
      <c r="M558" s="392"/>
      <c r="N558" s="23"/>
      <c r="O558" s="39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  <c r="IL558" s="23"/>
      <c r="IM558" s="23"/>
      <c r="IN558" s="23"/>
      <c r="IO558" s="23"/>
      <c r="IP558" s="23"/>
      <c r="IQ558" s="23"/>
      <c r="IR558" s="23"/>
      <c r="IS558" s="23"/>
      <c r="IT558" s="23"/>
      <c r="IU558" s="23"/>
      <c r="IV558" s="23"/>
      <c r="IW558" s="23"/>
      <c r="IX558" s="23"/>
      <c r="IY558" s="23"/>
      <c r="IZ558" s="23"/>
      <c r="JA558" s="23"/>
      <c r="JB558" s="23"/>
      <c r="JC558" s="23"/>
      <c r="JD558" s="23"/>
      <c r="JE558" s="23"/>
      <c r="JF558" s="23"/>
      <c r="JG558" s="23"/>
      <c r="JH558" s="23"/>
      <c r="JI558" s="23"/>
      <c r="JJ558" s="23"/>
      <c r="JK558" s="23"/>
      <c r="JL558" s="23"/>
      <c r="JM558" s="23"/>
      <c r="JN558" s="23"/>
      <c r="JO558" s="23"/>
      <c r="JP558" s="23"/>
      <c r="JQ558" s="23"/>
      <c r="JR558" s="23"/>
      <c r="JS558" s="23"/>
      <c r="JT558" s="23"/>
      <c r="JU558" s="23"/>
      <c r="JV558" s="23"/>
      <c r="JW558" s="23"/>
      <c r="JX558" s="23"/>
      <c r="JY558" s="23"/>
      <c r="JZ558" s="23"/>
      <c r="KA558" s="23"/>
      <c r="KB558" s="23"/>
      <c r="KC558" s="23"/>
      <c r="KD558" s="23"/>
      <c r="KE558" s="23"/>
      <c r="KF558" s="23"/>
      <c r="KG558" s="23"/>
      <c r="KH558" s="23"/>
      <c r="KI558" s="23"/>
      <c r="KJ558" s="23"/>
      <c r="KK558" s="23"/>
      <c r="KL558" s="23"/>
      <c r="KM558" s="23"/>
      <c r="KN558" s="23"/>
      <c r="KO558" s="23"/>
      <c r="KP558" s="23"/>
      <c r="KQ558" s="23"/>
      <c r="KR558" s="23"/>
      <c r="KS558" s="23"/>
      <c r="KT558" s="23"/>
      <c r="KU558" s="23"/>
      <c r="KV558" s="23"/>
      <c r="KW558" s="23"/>
      <c r="KX558" s="23"/>
      <c r="KY558" s="23"/>
      <c r="KZ558" s="23"/>
      <c r="LA558" s="23"/>
      <c r="LB558" s="23"/>
      <c r="LC558" s="23"/>
      <c r="LD558" s="23"/>
      <c r="LE558" s="23"/>
      <c r="LF558" s="23"/>
      <c r="LG558" s="23"/>
      <c r="LH558" s="23"/>
      <c r="LI558" s="23"/>
      <c r="LJ558" s="23"/>
      <c r="LK558" s="23"/>
      <c r="LL558" s="23"/>
      <c r="LM558" s="23"/>
      <c r="LN558" s="23"/>
      <c r="LO558" s="23"/>
    </row>
    <row r="559" spans="1:327">
      <c r="A559" s="390"/>
      <c r="B559" s="23"/>
      <c r="C559" s="391"/>
      <c r="D559" s="391"/>
      <c r="E559" s="23"/>
      <c r="F559" s="23"/>
      <c r="G559" s="392"/>
      <c r="H559" s="392"/>
      <c r="I559" s="392"/>
      <c r="J559" s="392"/>
      <c r="K559" s="392"/>
      <c r="L559" s="392"/>
      <c r="M559" s="392"/>
      <c r="N559" s="23"/>
      <c r="O559" s="39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  <c r="IL559" s="23"/>
      <c r="IM559" s="23"/>
      <c r="IN559" s="23"/>
      <c r="IO559" s="23"/>
      <c r="IP559" s="23"/>
      <c r="IQ559" s="23"/>
      <c r="IR559" s="23"/>
      <c r="IS559" s="23"/>
      <c r="IT559" s="23"/>
      <c r="IU559" s="23"/>
      <c r="IV559" s="23"/>
      <c r="IW559" s="23"/>
      <c r="IX559" s="23"/>
      <c r="IY559" s="23"/>
      <c r="IZ559" s="23"/>
      <c r="JA559" s="23"/>
      <c r="JB559" s="23"/>
      <c r="JC559" s="23"/>
      <c r="JD559" s="23"/>
      <c r="JE559" s="23"/>
      <c r="JF559" s="23"/>
      <c r="JG559" s="23"/>
      <c r="JH559" s="23"/>
      <c r="JI559" s="23"/>
      <c r="JJ559" s="23"/>
      <c r="JK559" s="23"/>
      <c r="JL559" s="23"/>
      <c r="JM559" s="23"/>
      <c r="JN559" s="23"/>
      <c r="JO559" s="23"/>
      <c r="JP559" s="23"/>
      <c r="JQ559" s="23"/>
      <c r="JR559" s="23"/>
      <c r="JS559" s="23"/>
      <c r="JT559" s="23"/>
      <c r="JU559" s="23"/>
      <c r="JV559" s="23"/>
      <c r="JW559" s="23"/>
      <c r="JX559" s="23"/>
      <c r="JY559" s="23"/>
      <c r="JZ559" s="23"/>
      <c r="KA559" s="23"/>
      <c r="KB559" s="23"/>
      <c r="KC559" s="23"/>
      <c r="KD559" s="23"/>
      <c r="KE559" s="23"/>
      <c r="KF559" s="23"/>
      <c r="KG559" s="23"/>
      <c r="KH559" s="23"/>
      <c r="KI559" s="23"/>
      <c r="KJ559" s="23"/>
      <c r="KK559" s="23"/>
      <c r="KL559" s="23"/>
      <c r="KM559" s="23"/>
      <c r="KN559" s="23"/>
      <c r="KO559" s="23"/>
      <c r="KP559" s="23"/>
      <c r="KQ559" s="23"/>
      <c r="KR559" s="23"/>
      <c r="KS559" s="23"/>
      <c r="KT559" s="23"/>
      <c r="KU559" s="23"/>
      <c r="KV559" s="23"/>
      <c r="KW559" s="23"/>
      <c r="KX559" s="23"/>
      <c r="KY559" s="23"/>
      <c r="KZ559" s="23"/>
      <c r="LA559" s="23"/>
      <c r="LB559" s="23"/>
      <c r="LC559" s="23"/>
      <c r="LD559" s="23"/>
      <c r="LE559" s="23"/>
      <c r="LF559" s="23"/>
      <c r="LG559" s="23"/>
      <c r="LH559" s="23"/>
      <c r="LI559" s="23"/>
      <c r="LJ559" s="23"/>
      <c r="LK559" s="23"/>
      <c r="LL559" s="23"/>
      <c r="LM559" s="23"/>
      <c r="LN559" s="23"/>
      <c r="LO559" s="23"/>
    </row>
    <row r="560" spans="1:327">
      <c r="A560" s="390"/>
      <c r="B560" s="23"/>
      <c r="C560" s="391"/>
      <c r="D560" s="391"/>
      <c r="E560" s="23"/>
      <c r="F560" s="23"/>
      <c r="G560" s="392"/>
      <c r="H560" s="392"/>
      <c r="I560" s="392"/>
      <c r="J560" s="392"/>
      <c r="K560" s="392"/>
      <c r="L560" s="392"/>
      <c r="M560" s="392"/>
      <c r="N560" s="23"/>
      <c r="O560" s="39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  <c r="IL560" s="23"/>
      <c r="IM560" s="23"/>
      <c r="IN560" s="23"/>
      <c r="IO560" s="23"/>
      <c r="IP560" s="23"/>
      <c r="IQ560" s="23"/>
      <c r="IR560" s="23"/>
      <c r="IS560" s="23"/>
      <c r="IT560" s="23"/>
      <c r="IU560" s="23"/>
      <c r="IV560" s="23"/>
      <c r="IW560" s="23"/>
      <c r="IX560" s="23"/>
      <c r="IY560" s="23"/>
      <c r="IZ560" s="23"/>
      <c r="JA560" s="23"/>
      <c r="JB560" s="23"/>
      <c r="JC560" s="23"/>
      <c r="JD560" s="23"/>
      <c r="JE560" s="23"/>
      <c r="JF560" s="23"/>
      <c r="JG560" s="23"/>
      <c r="JH560" s="23"/>
      <c r="JI560" s="23"/>
      <c r="JJ560" s="23"/>
      <c r="JK560" s="23"/>
      <c r="JL560" s="23"/>
      <c r="JM560" s="23"/>
      <c r="JN560" s="23"/>
      <c r="JO560" s="23"/>
      <c r="JP560" s="23"/>
      <c r="JQ560" s="23"/>
      <c r="JR560" s="23"/>
      <c r="JS560" s="23"/>
      <c r="JT560" s="23"/>
      <c r="JU560" s="23"/>
      <c r="JV560" s="23"/>
      <c r="JW560" s="23"/>
      <c r="JX560" s="23"/>
      <c r="JY560" s="23"/>
      <c r="JZ560" s="23"/>
      <c r="KA560" s="23"/>
      <c r="KB560" s="23"/>
      <c r="KC560" s="23"/>
      <c r="KD560" s="23"/>
      <c r="KE560" s="23"/>
      <c r="KF560" s="23"/>
      <c r="KG560" s="23"/>
      <c r="KH560" s="23"/>
      <c r="KI560" s="23"/>
      <c r="KJ560" s="23"/>
      <c r="KK560" s="23"/>
      <c r="KL560" s="23"/>
      <c r="KM560" s="23"/>
      <c r="KN560" s="23"/>
      <c r="KO560" s="23"/>
      <c r="KP560" s="23"/>
      <c r="KQ560" s="23"/>
      <c r="KR560" s="23"/>
      <c r="KS560" s="23"/>
      <c r="KT560" s="23"/>
      <c r="KU560" s="23"/>
      <c r="KV560" s="23"/>
      <c r="KW560" s="23"/>
      <c r="KX560" s="23"/>
      <c r="KY560" s="23"/>
      <c r="KZ560" s="23"/>
      <c r="LA560" s="23"/>
      <c r="LB560" s="23"/>
      <c r="LC560" s="23"/>
      <c r="LD560" s="23"/>
      <c r="LE560" s="23"/>
      <c r="LF560" s="23"/>
      <c r="LG560" s="23"/>
      <c r="LH560" s="23"/>
      <c r="LI560" s="23"/>
      <c r="LJ560" s="23"/>
      <c r="LK560" s="23"/>
      <c r="LL560" s="23"/>
      <c r="LM560" s="23"/>
      <c r="LN560" s="23"/>
      <c r="LO560" s="23"/>
    </row>
    <row r="561" spans="1:327">
      <c r="A561" s="390"/>
      <c r="B561" s="23"/>
      <c r="C561" s="391"/>
      <c r="D561" s="391"/>
      <c r="E561" s="23"/>
      <c r="F561" s="23"/>
      <c r="G561" s="392"/>
      <c r="H561" s="392"/>
      <c r="I561" s="392"/>
      <c r="J561" s="392"/>
      <c r="K561" s="392"/>
      <c r="L561" s="392"/>
      <c r="M561" s="392"/>
      <c r="N561" s="23"/>
      <c r="O561" s="39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  <c r="IL561" s="23"/>
      <c r="IM561" s="23"/>
      <c r="IN561" s="23"/>
      <c r="IO561" s="23"/>
      <c r="IP561" s="23"/>
      <c r="IQ561" s="23"/>
      <c r="IR561" s="23"/>
      <c r="IS561" s="23"/>
      <c r="IT561" s="23"/>
      <c r="IU561" s="23"/>
      <c r="IV561" s="23"/>
      <c r="IW561" s="23"/>
      <c r="IX561" s="23"/>
      <c r="IY561" s="23"/>
      <c r="IZ561" s="23"/>
      <c r="JA561" s="23"/>
      <c r="JB561" s="23"/>
      <c r="JC561" s="23"/>
      <c r="JD561" s="23"/>
      <c r="JE561" s="23"/>
      <c r="JF561" s="23"/>
      <c r="JG561" s="23"/>
      <c r="JH561" s="23"/>
      <c r="JI561" s="23"/>
      <c r="JJ561" s="23"/>
      <c r="JK561" s="23"/>
      <c r="JL561" s="23"/>
      <c r="JM561" s="23"/>
      <c r="JN561" s="23"/>
      <c r="JO561" s="23"/>
      <c r="JP561" s="23"/>
      <c r="JQ561" s="23"/>
      <c r="JR561" s="23"/>
      <c r="JS561" s="23"/>
      <c r="JT561" s="23"/>
      <c r="JU561" s="23"/>
      <c r="JV561" s="23"/>
      <c r="JW561" s="23"/>
      <c r="JX561" s="23"/>
      <c r="JY561" s="23"/>
      <c r="JZ561" s="23"/>
      <c r="KA561" s="23"/>
      <c r="KB561" s="23"/>
      <c r="KC561" s="23"/>
      <c r="KD561" s="23"/>
      <c r="KE561" s="23"/>
      <c r="KF561" s="23"/>
      <c r="KG561" s="23"/>
      <c r="KH561" s="23"/>
      <c r="KI561" s="23"/>
      <c r="KJ561" s="23"/>
      <c r="KK561" s="23"/>
      <c r="KL561" s="23"/>
      <c r="KM561" s="23"/>
      <c r="KN561" s="23"/>
      <c r="KO561" s="23"/>
      <c r="KP561" s="23"/>
      <c r="KQ561" s="23"/>
      <c r="KR561" s="23"/>
      <c r="KS561" s="23"/>
      <c r="KT561" s="23"/>
      <c r="KU561" s="23"/>
      <c r="KV561" s="23"/>
      <c r="KW561" s="23"/>
      <c r="KX561" s="23"/>
      <c r="KY561" s="23"/>
      <c r="KZ561" s="23"/>
      <c r="LA561" s="23"/>
      <c r="LB561" s="23"/>
      <c r="LC561" s="23"/>
      <c r="LD561" s="23"/>
      <c r="LE561" s="23"/>
      <c r="LF561" s="23"/>
      <c r="LG561" s="23"/>
      <c r="LH561" s="23"/>
      <c r="LI561" s="23"/>
      <c r="LJ561" s="23"/>
      <c r="LK561" s="23"/>
      <c r="LL561" s="23"/>
      <c r="LM561" s="23"/>
      <c r="LN561" s="23"/>
      <c r="LO561" s="23"/>
    </row>
    <row r="562" spans="1:327">
      <c r="A562" s="390"/>
      <c r="B562" s="23"/>
      <c r="C562" s="391"/>
      <c r="D562" s="391"/>
      <c r="E562" s="23"/>
      <c r="F562" s="23"/>
      <c r="G562" s="392"/>
      <c r="H562" s="392"/>
      <c r="I562" s="392"/>
      <c r="J562" s="392"/>
      <c r="K562" s="392"/>
      <c r="L562" s="392"/>
      <c r="M562" s="392"/>
      <c r="N562" s="23"/>
      <c r="O562" s="39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  <c r="IL562" s="23"/>
      <c r="IM562" s="23"/>
      <c r="IN562" s="23"/>
      <c r="IO562" s="23"/>
      <c r="IP562" s="23"/>
      <c r="IQ562" s="23"/>
      <c r="IR562" s="23"/>
      <c r="IS562" s="23"/>
      <c r="IT562" s="23"/>
      <c r="IU562" s="23"/>
      <c r="IV562" s="23"/>
      <c r="IW562" s="23"/>
      <c r="IX562" s="23"/>
      <c r="IY562" s="23"/>
      <c r="IZ562" s="23"/>
      <c r="JA562" s="23"/>
      <c r="JB562" s="23"/>
      <c r="JC562" s="23"/>
      <c r="JD562" s="23"/>
      <c r="JE562" s="23"/>
      <c r="JF562" s="23"/>
      <c r="JG562" s="23"/>
      <c r="JH562" s="23"/>
      <c r="JI562" s="23"/>
      <c r="JJ562" s="23"/>
      <c r="JK562" s="23"/>
      <c r="JL562" s="23"/>
      <c r="JM562" s="23"/>
      <c r="JN562" s="23"/>
      <c r="JO562" s="23"/>
      <c r="JP562" s="23"/>
      <c r="JQ562" s="23"/>
      <c r="JR562" s="23"/>
      <c r="JS562" s="23"/>
      <c r="JT562" s="23"/>
      <c r="JU562" s="23"/>
      <c r="JV562" s="23"/>
      <c r="JW562" s="23"/>
      <c r="JX562" s="23"/>
      <c r="JY562" s="23"/>
      <c r="JZ562" s="23"/>
      <c r="KA562" s="23"/>
      <c r="KB562" s="23"/>
      <c r="KC562" s="23"/>
      <c r="KD562" s="23"/>
      <c r="KE562" s="23"/>
      <c r="KF562" s="23"/>
      <c r="KG562" s="23"/>
      <c r="KH562" s="23"/>
      <c r="KI562" s="23"/>
      <c r="KJ562" s="23"/>
      <c r="KK562" s="23"/>
      <c r="KL562" s="23"/>
      <c r="KM562" s="23"/>
      <c r="KN562" s="23"/>
      <c r="KO562" s="23"/>
      <c r="KP562" s="23"/>
      <c r="KQ562" s="23"/>
      <c r="KR562" s="23"/>
      <c r="KS562" s="23"/>
      <c r="KT562" s="23"/>
      <c r="KU562" s="23"/>
      <c r="KV562" s="23"/>
      <c r="KW562" s="23"/>
      <c r="KX562" s="23"/>
      <c r="KY562" s="23"/>
      <c r="KZ562" s="23"/>
      <c r="LA562" s="23"/>
      <c r="LB562" s="23"/>
      <c r="LC562" s="23"/>
      <c r="LD562" s="23"/>
      <c r="LE562" s="23"/>
      <c r="LF562" s="23"/>
      <c r="LG562" s="23"/>
      <c r="LH562" s="23"/>
      <c r="LI562" s="23"/>
      <c r="LJ562" s="23"/>
      <c r="LK562" s="23"/>
      <c r="LL562" s="23"/>
      <c r="LM562" s="23"/>
      <c r="LN562" s="23"/>
      <c r="LO562" s="23"/>
    </row>
    <row r="563" spans="1:327">
      <c r="A563" s="390"/>
      <c r="B563" s="23"/>
      <c r="C563" s="391"/>
      <c r="D563" s="391"/>
      <c r="E563" s="23"/>
      <c r="F563" s="23"/>
      <c r="G563" s="392"/>
      <c r="H563" s="392"/>
      <c r="I563" s="392"/>
      <c r="J563" s="392"/>
      <c r="K563" s="392"/>
      <c r="L563" s="392"/>
      <c r="M563" s="392"/>
      <c r="N563" s="23"/>
      <c r="O563" s="39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  <c r="IL563" s="23"/>
      <c r="IM563" s="23"/>
      <c r="IN563" s="23"/>
      <c r="IO563" s="23"/>
      <c r="IP563" s="23"/>
      <c r="IQ563" s="23"/>
      <c r="IR563" s="23"/>
      <c r="IS563" s="23"/>
      <c r="IT563" s="23"/>
      <c r="IU563" s="23"/>
      <c r="IV563" s="23"/>
      <c r="IW563" s="23"/>
      <c r="IX563" s="23"/>
      <c r="IY563" s="23"/>
      <c r="IZ563" s="23"/>
      <c r="JA563" s="23"/>
      <c r="JB563" s="23"/>
      <c r="JC563" s="23"/>
      <c r="JD563" s="23"/>
      <c r="JE563" s="23"/>
      <c r="JF563" s="23"/>
      <c r="JG563" s="23"/>
      <c r="JH563" s="23"/>
      <c r="JI563" s="23"/>
      <c r="JJ563" s="23"/>
      <c r="JK563" s="23"/>
      <c r="JL563" s="23"/>
      <c r="JM563" s="23"/>
      <c r="JN563" s="23"/>
      <c r="JO563" s="23"/>
      <c r="JP563" s="23"/>
      <c r="JQ563" s="23"/>
      <c r="JR563" s="23"/>
      <c r="JS563" s="23"/>
      <c r="JT563" s="23"/>
      <c r="JU563" s="23"/>
      <c r="JV563" s="23"/>
      <c r="JW563" s="23"/>
      <c r="JX563" s="23"/>
      <c r="JY563" s="23"/>
      <c r="JZ563" s="23"/>
      <c r="KA563" s="23"/>
      <c r="KB563" s="23"/>
      <c r="KC563" s="23"/>
      <c r="KD563" s="23"/>
      <c r="KE563" s="23"/>
      <c r="KF563" s="23"/>
      <c r="KG563" s="23"/>
      <c r="KH563" s="23"/>
      <c r="KI563" s="23"/>
      <c r="KJ563" s="23"/>
      <c r="KK563" s="23"/>
      <c r="KL563" s="23"/>
      <c r="KM563" s="23"/>
      <c r="KN563" s="23"/>
      <c r="KO563" s="23"/>
      <c r="KP563" s="23"/>
      <c r="KQ563" s="23"/>
      <c r="KR563" s="23"/>
      <c r="KS563" s="23"/>
      <c r="KT563" s="23"/>
      <c r="KU563" s="23"/>
      <c r="KV563" s="23"/>
      <c r="KW563" s="23"/>
      <c r="KX563" s="23"/>
      <c r="KY563" s="23"/>
      <c r="KZ563" s="23"/>
      <c r="LA563" s="23"/>
      <c r="LB563" s="23"/>
      <c r="LC563" s="23"/>
      <c r="LD563" s="23"/>
      <c r="LE563" s="23"/>
      <c r="LF563" s="23"/>
      <c r="LG563" s="23"/>
      <c r="LH563" s="23"/>
      <c r="LI563" s="23"/>
      <c r="LJ563" s="23"/>
      <c r="LK563" s="23"/>
      <c r="LL563" s="23"/>
      <c r="LM563" s="23"/>
      <c r="LN563" s="23"/>
      <c r="LO563" s="23"/>
    </row>
    <row r="564" spans="1:327">
      <c r="A564" s="390"/>
      <c r="B564" s="23"/>
      <c r="C564" s="391"/>
      <c r="D564" s="391"/>
      <c r="E564" s="23"/>
      <c r="F564" s="23"/>
      <c r="G564" s="392"/>
      <c r="H564" s="392"/>
      <c r="I564" s="392"/>
      <c r="J564" s="392"/>
      <c r="K564" s="392"/>
      <c r="L564" s="392"/>
      <c r="M564" s="392"/>
      <c r="N564" s="23"/>
      <c r="O564" s="39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  <c r="IL564" s="23"/>
      <c r="IM564" s="23"/>
      <c r="IN564" s="23"/>
      <c r="IO564" s="23"/>
      <c r="IP564" s="23"/>
      <c r="IQ564" s="23"/>
      <c r="IR564" s="23"/>
      <c r="IS564" s="23"/>
      <c r="IT564" s="23"/>
      <c r="IU564" s="23"/>
      <c r="IV564" s="23"/>
      <c r="IW564" s="23"/>
      <c r="IX564" s="23"/>
      <c r="IY564" s="23"/>
      <c r="IZ564" s="23"/>
      <c r="JA564" s="23"/>
      <c r="JB564" s="23"/>
      <c r="JC564" s="23"/>
      <c r="JD564" s="23"/>
      <c r="JE564" s="23"/>
      <c r="JF564" s="23"/>
      <c r="JG564" s="23"/>
      <c r="JH564" s="23"/>
      <c r="JI564" s="23"/>
      <c r="JJ564" s="23"/>
      <c r="JK564" s="23"/>
      <c r="JL564" s="23"/>
      <c r="JM564" s="23"/>
      <c r="JN564" s="23"/>
      <c r="JO564" s="23"/>
      <c r="JP564" s="23"/>
      <c r="JQ564" s="23"/>
      <c r="JR564" s="23"/>
      <c r="JS564" s="23"/>
      <c r="JT564" s="23"/>
      <c r="JU564" s="23"/>
      <c r="JV564" s="23"/>
      <c r="JW564" s="23"/>
      <c r="JX564" s="23"/>
      <c r="JY564" s="23"/>
      <c r="JZ564" s="23"/>
      <c r="KA564" s="23"/>
      <c r="KB564" s="23"/>
      <c r="KC564" s="23"/>
      <c r="KD564" s="23"/>
      <c r="KE564" s="23"/>
      <c r="KF564" s="23"/>
      <c r="KG564" s="23"/>
      <c r="KH564" s="23"/>
      <c r="KI564" s="23"/>
      <c r="KJ564" s="23"/>
      <c r="KK564" s="23"/>
      <c r="KL564" s="23"/>
      <c r="KM564" s="23"/>
      <c r="KN564" s="23"/>
      <c r="KO564" s="23"/>
      <c r="KP564" s="23"/>
      <c r="KQ564" s="23"/>
      <c r="KR564" s="23"/>
      <c r="KS564" s="23"/>
      <c r="KT564" s="23"/>
      <c r="KU564" s="23"/>
      <c r="KV564" s="23"/>
      <c r="KW564" s="23"/>
      <c r="KX564" s="23"/>
      <c r="KY564" s="23"/>
      <c r="KZ564" s="23"/>
      <c r="LA564" s="23"/>
      <c r="LB564" s="23"/>
      <c r="LC564" s="23"/>
      <c r="LD564" s="23"/>
      <c r="LE564" s="23"/>
      <c r="LF564" s="23"/>
      <c r="LG564" s="23"/>
      <c r="LH564" s="23"/>
      <c r="LI564" s="23"/>
      <c r="LJ564" s="23"/>
      <c r="LK564" s="23"/>
      <c r="LL564" s="23"/>
      <c r="LM564" s="23"/>
      <c r="LN564" s="23"/>
      <c r="LO564" s="23"/>
    </row>
    <row r="565" spans="1:327">
      <c r="A565" s="390"/>
      <c r="B565" s="23"/>
      <c r="C565" s="391"/>
      <c r="D565" s="391"/>
      <c r="E565" s="23"/>
      <c r="F565" s="23"/>
      <c r="G565" s="392"/>
      <c r="H565" s="392"/>
      <c r="I565" s="392"/>
      <c r="J565" s="392"/>
      <c r="K565" s="392"/>
      <c r="L565" s="392"/>
      <c r="M565" s="392"/>
      <c r="N565" s="23"/>
      <c r="O565" s="39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  <c r="IL565" s="23"/>
      <c r="IM565" s="23"/>
      <c r="IN565" s="23"/>
      <c r="IO565" s="23"/>
      <c r="IP565" s="23"/>
      <c r="IQ565" s="23"/>
      <c r="IR565" s="23"/>
      <c r="IS565" s="23"/>
      <c r="IT565" s="23"/>
      <c r="IU565" s="23"/>
      <c r="IV565" s="23"/>
      <c r="IW565" s="23"/>
      <c r="IX565" s="23"/>
      <c r="IY565" s="23"/>
      <c r="IZ565" s="23"/>
      <c r="JA565" s="23"/>
      <c r="JB565" s="23"/>
      <c r="JC565" s="23"/>
      <c r="JD565" s="23"/>
      <c r="JE565" s="23"/>
      <c r="JF565" s="23"/>
      <c r="JG565" s="23"/>
      <c r="JH565" s="23"/>
      <c r="JI565" s="23"/>
      <c r="JJ565" s="23"/>
      <c r="JK565" s="23"/>
      <c r="JL565" s="23"/>
      <c r="JM565" s="23"/>
      <c r="JN565" s="23"/>
      <c r="JO565" s="23"/>
      <c r="JP565" s="23"/>
      <c r="JQ565" s="23"/>
      <c r="JR565" s="23"/>
      <c r="JS565" s="23"/>
      <c r="JT565" s="23"/>
      <c r="JU565" s="23"/>
      <c r="JV565" s="23"/>
      <c r="JW565" s="23"/>
      <c r="JX565" s="23"/>
      <c r="JY565" s="23"/>
      <c r="JZ565" s="23"/>
      <c r="KA565" s="23"/>
      <c r="KB565" s="23"/>
      <c r="KC565" s="23"/>
      <c r="KD565" s="23"/>
      <c r="KE565" s="23"/>
      <c r="KF565" s="23"/>
      <c r="KG565" s="23"/>
      <c r="KH565" s="23"/>
      <c r="KI565" s="23"/>
      <c r="KJ565" s="23"/>
      <c r="KK565" s="23"/>
      <c r="KL565" s="23"/>
      <c r="KM565" s="23"/>
      <c r="KN565" s="23"/>
      <c r="KO565" s="23"/>
      <c r="KP565" s="23"/>
      <c r="KQ565" s="23"/>
      <c r="KR565" s="23"/>
      <c r="KS565" s="23"/>
      <c r="KT565" s="23"/>
      <c r="KU565" s="23"/>
      <c r="KV565" s="23"/>
      <c r="KW565" s="23"/>
      <c r="KX565" s="23"/>
      <c r="KY565" s="23"/>
      <c r="KZ565" s="23"/>
      <c r="LA565" s="23"/>
      <c r="LB565" s="23"/>
      <c r="LC565" s="23"/>
      <c r="LD565" s="23"/>
      <c r="LE565" s="23"/>
      <c r="LF565" s="23"/>
      <c r="LG565" s="23"/>
      <c r="LH565" s="23"/>
      <c r="LI565" s="23"/>
      <c r="LJ565" s="23"/>
      <c r="LK565" s="23"/>
      <c r="LL565" s="23"/>
      <c r="LM565" s="23"/>
      <c r="LN565" s="23"/>
      <c r="LO565" s="23"/>
    </row>
    <row r="566" spans="1:327">
      <c r="A566" s="390"/>
      <c r="B566" s="23"/>
      <c r="C566" s="391"/>
      <c r="D566" s="391"/>
      <c r="E566" s="23"/>
      <c r="F566" s="23"/>
      <c r="G566" s="392"/>
      <c r="H566" s="392"/>
      <c r="I566" s="392"/>
      <c r="J566" s="392"/>
      <c r="K566" s="392"/>
      <c r="L566" s="392"/>
      <c r="M566" s="392"/>
      <c r="N566" s="23"/>
      <c r="O566" s="39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  <c r="IL566" s="23"/>
      <c r="IM566" s="23"/>
      <c r="IN566" s="23"/>
      <c r="IO566" s="23"/>
      <c r="IP566" s="23"/>
      <c r="IQ566" s="23"/>
      <c r="IR566" s="23"/>
      <c r="IS566" s="23"/>
      <c r="IT566" s="23"/>
      <c r="IU566" s="23"/>
      <c r="IV566" s="23"/>
      <c r="IW566" s="23"/>
      <c r="IX566" s="23"/>
      <c r="IY566" s="23"/>
      <c r="IZ566" s="23"/>
      <c r="JA566" s="23"/>
      <c r="JB566" s="23"/>
      <c r="JC566" s="23"/>
      <c r="JD566" s="23"/>
      <c r="JE566" s="23"/>
      <c r="JF566" s="23"/>
      <c r="JG566" s="23"/>
      <c r="JH566" s="23"/>
      <c r="JI566" s="23"/>
      <c r="JJ566" s="23"/>
      <c r="JK566" s="23"/>
      <c r="JL566" s="23"/>
      <c r="JM566" s="23"/>
      <c r="JN566" s="23"/>
      <c r="JO566" s="23"/>
      <c r="JP566" s="23"/>
      <c r="JQ566" s="23"/>
      <c r="JR566" s="23"/>
      <c r="JS566" s="23"/>
      <c r="JT566" s="23"/>
      <c r="JU566" s="23"/>
      <c r="JV566" s="23"/>
      <c r="JW566" s="23"/>
      <c r="JX566" s="23"/>
      <c r="JY566" s="23"/>
      <c r="JZ566" s="23"/>
      <c r="KA566" s="23"/>
      <c r="KB566" s="23"/>
      <c r="KC566" s="23"/>
      <c r="KD566" s="23"/>
      <c r="KE566" s="23"/>
      <c r="KF566" s="23"/>
      <c r="KG566" s="23"/>
      <c r="KH566" s="23"/>
      <c r="KI566" s="23"/>
      <c r="KJ566" s="23"/>
      <c r="KK566" s="23"/>
      <c r="KL566" s="23"/>
      <c r="KM566" s="23"/>
      <c r="KN566" s="23"/>
      <c r="KO566" s="23"/>
      <c r="KP566" s="23"/>
      <c r="KQ566" s="23"/>
      <c r="KR566" s="23"/>
      <c r="KS566" s="23"/>
      <c r="KT566" s="23"/>
      <c r="KU566" s="23"/>
      <c r="KV566" s="23"/>
      <c r="KW566" s="23"/>
      <c r="KX566" s="23"/>
      <c r="KY566" s="23"/>
      <c r="KZ566" s="23"/>
      <c r="LA566" s="23"/>
      <c r="LB566" s="23"/>
      <c r="LC566" s="23"/>
      <c r="LD566" s="23"/>
      <c r="LE566" s="23"/>
      <c r="LF566" s="23"/>
      <c r="LG566" s="23"/>
      <c r="LH566" s="23"/>
      <c r="LI566" s="23"/>
      <c r="LJ566" s="23"/>
      <c r="LK566" s="23"/>
      <c r="LL566" s="23"/>
      <c r="LM566" s="23"/>
      <c r="LN566" s="23"/>
      <c r="LO566" s="23"/>
    </row>
    <row r="567" spans="1:327">
      <c r="A567" s="390"/>
      <c r="B567" s="23"/>
      <c r="C567" s="391"/>
      <c r="D567" s="391"/>
      <c r="E567" s="23"/>
      <c r="F567" s="23"/>
      <c r="G567" s="392"/>
      <c r="H567" s="392"/>
      <c r="I567" s="392"/>
      <c r="J567" s="392"/>
      <c r="K567" s="392"/>
      <c r="L567" s="392"/>
      <c r="M567" s="392"/>
      <c r="N567" s="23"/>
      <c r="O567" s="39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  <c r="IL567" s="23"/>
      <c r="IM567" s="23"/>
      <c r="IN567" s="23"/>
      <c r="IO567" s="23"/>
      <c r="IP567" s="23"/>
      <c r="IQ567" s="23"/>
      <c r="IR567" s="23"/>
      <c r="IS567" s="23"/>
      <c r="IT567" s="23"/>
      <c r="IU567" s="23"/>
      <c r="IV567" s="23"/>
      <c r="IW567" s="23"/>
      <c r="IX567" s="23"/>
      <c r="IY567" s="23"/>
      <c r="IZ567" s="23"/>
      <c r="JA567" s="23"/>
      <c r="JB567" s="23"/>
      <c r="JC567" s="23"/>
      <c r="JD567" s="23"/>
      <c r="JE567" s="23"/>
      <c r="JF567" s="23"/>
      <c r="JG567" s="23"/>
      <c r="JH567" s="23"/>
      <c r="JI567" s="23"/>
      <c r="JJ567" s="23"/>
      <c r="JK567" s="23"/>
      <c r="JL567" s="23"/>
      <c r="JM567" s="23"/>
      <c r="JN567" s="23"/>
      <c r="JO567" s="23"/>
      <c r="JP567" s="23"/>
      <c r="JQ567" s="23"/>
      <c r="JR567" s="23"/>
      <c r="JS567" s="23"/>
      <c r="JT567" s="23"/>
      <c r="JU567" s="23"/>
      <c r="JV567" s="23"/>
      <c r="JW567" s="23"/>
      <c r="JX567" s="23"/>
      <c r="JY567" s="23"/>
      <c r="JZ567" s="23"/>
      <c r="KA567" s="23"/>
      <c r="KB567" s="23"/>
      <c r="KC567" s="23"/>
      <c r="KD567" s="23"/>
      <c r="KE567" s="23"/>
      <c r="KF567" s="23"/>
      <c r="KG567" s="23"/>
      <c r="KH567" s="23"/>
      <c r="KI567" s="23"/>
      <c r="KJ567" s="23"/>
      <c r="KK567" s="23"/>
      <c r="KL567" s="23"/>
      <c r="KM567" s="23"/>
      <c r="KN567" s="23"/>
      <c r="KO567" s="23"/>
      <c r="KP567" s="23"/>
      <c r="KQ567" s="23"/>
      <c r="KR567" s="23"/>
      <c r="KS567" s="23"/>
      <c r="KT567" s="23"/>
      <c r="KU567" s="23"/>
      <c r="KV567" s="23"/>
      <c r="KW567" s="23"/>
      <c r="KX567" s="23"/>
      <c r="KY567" s="23"/>
      <c r="KZ567" s="23"/>
      <c r="LA567" s="23"/>
      <c r="LB567" s="23"/>
      <c r="LC567" s="23"/>
      <c r="LD567" s="23"/>
      <c r="LE567" s="23"/>
      <c r="LF567" s="23"/>
      <c r="LG567" s="23"/>
      <c r="LH567" s="23"/>
      <c r="LI567" s="23"/>
      <c r="LJ567" s="23"/>
      <c r="LK567" s="23"/>
      <c r="LL567" s="23"/>
      <c r="LM567" s="23"/>
      <c r="LN567" s="23"/>
      <c r="LO567" s="23"/>
    </row>
    <row r="568" spans="1:327">
      <c r="A568" s="390"/>
      <c r="B568" s="23"/>
      <c r="C568" s="391"/>
      <c r="D568" s="391"/>
      <c r="E568" s="23"/>
      <c r="F568" s="23"/>
      <c r="G568" s="392"/>
      <c r="H568" s="392"/>
      <c r="I568" s="392"/>
      <c r="J568" s="392"/>
      <c r="K568" s="392"/>
      <c r="L568" s="392"/>
      <c r="M568" s="392"/>
      <c r="N568" s="23"/>
      <c r="O568" s="39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  <c r="IL568" s="23"/>
      <c r="IM568" s="23"/>
      <c r="IN568" s="23"/>
      <c r="IO568" s="23"/>
      <c r="IP568" s="23"/>
      <c r="IQ568" s="23"/>
      <c r="IR568" s="23"/>
      <c r="IS568" s="23"/>
      <c r="IT568" s="23"/>
      <c r="IU568" s="23"/>
      <c r="IV568" s="23"/>
      <c r="IW568" s="23"/>
      <c r="IX568" s="23"/>
      <c r="IY568" s="23"/>
      <c r="IZ568" s="23"/>
      <c r="JA568" s="23"/>
      <c r="JB568" s="23"/>
      <c r="JC568" s="23"/>
      <c r="JD568" s="23"/>
      <c r="JE568" s="23"/>
      <c r="JF568" s="23"/>
      <c r="JG568" s="23"/>
      <c r="JH568" s="23"/>
      <c r="JI568" s="23"/>
      <c r="JJ568" s="23"/>
      <c r="JK568" s="23"/>
      <c r="JL568" s="23"/>
      <c r="JM568" s="23"/>
      <c r="JN568" s="23"/>
      <c r="JO568" s="23"/>
      <c r="JP568" s="23"/>
      <c r="JQ568" s="23"/>
      <c r="JR568" s="23"/>
      <c r="JS568" s="23"/>
      <c r="JT568" s="23"/>
      <c r="JU568" s="23"/>
      <c r="JV568" s="23"/>
      <c r="JW568" s="23"/>
      <c r="JX568" s="23"/>
      <c r="JY568" s="23"/>
      <c r="JZ568" s="23"/>
      <c r="KA568" s="23"/>
      <c r="KB568" s="23"/>
      <c r="KC568" s="23"/>
      <c r="KD568" s="23"/>
      <c r="KE568" s="23"/>
      <c r="KF568" s="23"/>
      <c r="KG568" s="23"/>
      <c r="KH568" s="23"/>
      <c r="KI568" s="23"/>
      <c r="KJ568" s="23"/>
      <c r="KK568" s="23"/>
      <c r="KL568" s="23"/>
      <c r="KM568" s="23"/>
      <c r="KN568" s="23"/>
      <c r="KO568" s="23"/>
      <c r="KP568" s="23"/>
      <c r="KQ568" s="23"/>
      <c r="KR568" s="23"/>
      <c r="KS568" s="23"/>
      <c r="KT568" s="23"/>
      <c r="KU568" s="23"/>
      <c r="KV568" s="23"/>
      <c r="KW568" s="23"/>
      <c r="KX568" s="23"/>
      <c r="KY568" s="23"/>
      <c r="KZ568" s="23"/>
      <c r="LA568" s="23"/>
      <c r="LB568" s="23"/>
      <c r="LC568" s="23"/>
      <c r="LD568" s="23"/>
      <c r="LE568" s="23"/>
      <c r="LF568" s="23"/>
      <c r="LG568" s="23"/>
      <c r="LH568" s="23"/>
      <c r="LI568" s="23"/>
      <c r="LJ568" s="23"/>
      <c r="LK568" s="23"/>
      <c r="LL568" s="23"/>
      <c r="LM568" s="23"/>
      <c r="LN568" s="23"/>
      <c r="LO568" s="23"/>
    </row>
    <row r="569" spans="1:327">
      <c r="A569" s="390"/>
      <c r="B569" s="23"/>
      <c r="C569" s="391"/>
      <c r="D569" s="391"/>
      <c r="E569" s="23"/>
      <c r="F569" s="23"/>
      <c r="G569" s="392"/>
      <c r="H569" s="392"/>
      <c r="I569" s="392"/>
      <c r="J569" s="392"/>
      <c r="K569" s="392"/>
      <c r="L569" s="392"/>
      <c r="M569" s="392"/>
      <c r="N569" s="23"/>
      <c r="O569" s="39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  <c r="IL569" s="23"/>
      <c r="IM569" s="23"/>
      <c r="IN569" s="23"/>
      <c r="IO569" s="23"/>
      <c r="IP569" s="23"/>
      <c r="IQ569" s="23"/>
      <c r="IR569" s="23"/>
      <c r="IS569" s="23"/>
      <c r="IT569" s="23"/>
      <c r="IU569" s="23"/>
      <c r="IV569" s="23"/>
      <c r="IW569" s="23"/>
      <c r="IX569" s="23"/>
      <c r="IY569" s="23"/>
      <c r="IZ569" s="23"/>
      <c r="JA569" s="23"/>
      <c r="JB569" s="23"/>
      <c r="JC569" s="23"/>
      <c r="JD569" s="23"/>
      <c r="JE569" s="23"/>
      <c r="JF569" s="23"/>
      <c r="JG569" s="23"/>
      <c r="JH569" s="23"/>
      <c r="JI569" s="23"/>
      <c r="JJ569" s="23"/>
      <c r="JK569" s="23"/>
      <c r="JL569" s="23"/>
      <c r="JM569" s="23"/>
      <c r="JN569" s="23"/>
      <c r="JO569" s="23"/>
      <c r="JP569" s="23"/>
      <c r="JQ569" s="23"/>
      <c r="JR569" s="23"/>
      <c r="JS569" s="23"/>
      <c r="JT569" s="23"/>
      <c r="JU569" s="23"/>
      <c r="JV569" s="23"/>
      <c r="JW569" s="23"/>
      <c r="JX569" s="23"/>
      <c r="JY569" s="23"/>
      <c r="JZ569" s="23"/>
      <c r="KA569" s="23"/>
      <c r="KB569" s="23"/>
      <c r="KC569" s="23"/>
      <c r="KD569" s="23"/>
      <c r="KE569" s="23"/>
      <c r="KF569" s="23"/>
      <c r="KG569" s="23"/>
      <c r="KH569" s="23"/>
      <c r="KI569" s="23"/>
      <c r="KJ569" s="23"/>
      <c r="KK569" s="23"/>
      <c r="KL569" s="23"/>
      <c r="KM569" s="23"/>
      <c r="KN569" s="23"/>
      <c r="KO569" s="23"/>
      <c r="KP569" s="23"/>
      <c r="KQ569" s="23"/>
      <c r="KR569" s="23"/>
      <c r="KS569" s="23"/>
      <c r="KT569" s="23"/>
      <c r="KU569" s="23"/>
      <c r="KV569" s="23"/>
      <c r="KW569" s="23"/>
      <c r="KX569" s="23"/>
      <c r="KY569" s="23"/>
      <c r="KZ569" s="23"/>
      <c r="LA569" s="23"/>
      <c r="LB569" s="23"/>
      <c r="LC569" s="23"/>
      <c r="LD569" s="23"/>
      <c r="LE569" s="23"/>
      <c r="LF569" s="23"/>
      <c r="LG569" s="23"/>
      <c r="LH569" s="23"/>
      <c r="LI569" s="23"/>
      <c r="LJ569" s="23"/>
      <c r="LK569" s="23"/>
      <c r="LL569" s="23"/>
      <c r="LM569" s="23"/>
      <c r="LN569" s="23"/>
      <c r="LO569" s="23"/>
    </row>
    <row r="570" spans="1:327">
      <c r="A570" s="390"/>
      <c r="B570" s="23"/>
      <c r="C570" s="391"/>
      <c r="D570" s="391"/>
      <c r="E570" s="23"/>
      <c r="F570" s="23"/>
      <c r="G570" s="392"/>
      <c r="H570" s="392"/>
      <c r="I570" s="392"/>
      <c r="J570" s="392"/>
      <c r="K570" s="392"/>
      <c r="L570" s="392"/>
      <c r="M570" s="392"/>
      <c r="N570" s="23"/>
      <c r="O570" s="39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  <c r="IL570" s="23"/>
      <c r="IM570" s="23"/>
      <c r="IN570" s="23"/>
      <c r="IO570" s="23"/>
      <c r="IP570" s="23"/>
      <c r="IQ570" s="23"/>
      <c r="IR570" s="23"/>
      <c r="IS570" s="23"/>
      <c r="IT570" s="23"/>
      <c r="IU570" s="23"/>
      <c r="IV570" s="23"/>
      <c r="IW570" s="23"/>
      <c r="IX570" s="23"/>
      <c r="IY570" s="23"/>
      <c r="IZ570" s="23"/>
      <c r="JA570" s="23"/>
      <c r="JB570" s="23"/>
      <c r="JC570" s="23"/>
      <c r="JD570" s="23"/>
      <c r="JE570" s="23"/>
      <c r="JF570" s="23"/>
      <c r="JG570" s="23"/>
      <c r="JH570" s="23"/>
      <c r="JI570" s="23"/>
      <c r="JJ570" s="23"/>
      <c r="JK570" s="23"/>
      <c r="JL570" s="23"/>
      <c r="JM570" s="23"/>
      <c r="JN570" s="23"/>
      <c r="JO570" s="23"/>
      <c r="JP570" s="23"/>
      <c r="JQ570" s="23"/>
      <c r="JR570" s="23"/>
      <c r="JS570" s="23"/>
      <c r="JT570" s="23"/>
      <c r="JU570" s="23"/>
      <c r="JV570" s="23"/>
      <c r="JW570" s="23"/>
      <c r="JX570" s="23"/>
      <c r="JY570" s="23"/>
      <c r="JZ570" s="23"/>
      <c r="KA570" s="23"/>
      <c r="KB570" s="23"/>
      <c r="KC570" s="23"/>
      <c r="KD570" s="23"/>
      <c r="KE570" s="23"/>
      <c r="KF570" s="23"/>
      <c r="KG570" s="23"/>
      <c r="KH570" s="23"/>
      <c r="KI570" s="23"/>
      <c r="KJ570" s="23"/>
      <c r="KK570" s="23"/>
      <c r="KL570" s="23"/>
      <c r="KM570" s="23"/>
      <c r="KN570" s="23"/>
      <c r="KO570" s="23"/>
      <c r="KP570" s="23"/>
      <c r="KQ570" s="23"/>
      <c r="KR570" s="23"/>
      <c r="KS570" s="23"/>
      <c r="KT570" s="23"/>
      <c r="KU570" s="23"/>
      <c r="KV570" s="23"/>
      <c r="KW570" s="23"/>
      <c r="KX570" s="23"/>
      <c r="KY570" s="23"/>
      <c r="KZ570" s="23"/>
      <c r="LA570" s="23"/>
      <c r="LB570" s="23"/>
      <c r="LC570" s="23"/>
      <c r="LD570" s="23"/>
      <c r="LE570" s="23"/>
      <c r="LF570" s="23"/>
      <c r="LG570" s="23"/>
      <c r="LH570" s="23"/>
      <c r="LI570" s="23"/>
      <c r="LJ570" s="23"/>
      <c r="LK570" s="23"/>
      <c r="LL570" s="23"/>
      <c r="LM570" s="23"/>
      <c r="LN570" s="23"/>
      <c r="LO570" s="23"/>
    </row>
    <row r="571" spans="1:327">
      <c r="A571" s="390"/>
      <c r="B571" s="23"/>
      <c r="C571" s="391"/>
      <c r="D571" s="391"/>
      <c r="E571" s="23"/>
      <c r="F571" s="23"/>
      <c r="G571" s="392"/>
      <c r="H571" s="392"/>
      <c r="I571" s="392"/>
      <c r="J571" s="392"/>
      <c r="K571" s="392"/>
      <c r="L571" s="392"/>
      <c r="M571" s="392"/>
      <c r="N571" s="23"/>
      <c r="O571" s="39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  <c r="IL571" s="23"/>
      <c r="IM571" s="23"/>
      <c r="IN571" s="23"/>
      <c r="IO571" s="23"/>
      <c r="IP571" s="23"/>
      <c r="IQ571" s="23"/>
      <c r="IR571" s="23"/>
      <c r="IS571" s="23"/>
      <c r="IT571" s="23"/>
      <c r="IU571" s="23"/>
      <c r="IV571" s="23"/>
      <c r="IW571" s="23"/>
      <c r="IX571" s="23"/>
      <c r="IY571" s="23"/>
      <c r="IZ571" s="23"/>
      <c r="JA571" s="23"/>
      <c r="JB571" s="23"/>
      <c r="JC571" s="23"/>
      <c r="JD571" s="23"/>
      <c r="JE571" s="23"/>
      <c r="JF571" s="23"/>
      <c r="JG571" s="23"/>
      <c r="JH571" s="23"/>
      <c r="JI571" s="23"/>
      <c r="JJ571" s="23"/>
      <c r="JK571" s="23"/>
      <c r="JL571" s="23"/>
      <c r="JM571" s="23"/>
      <c r="JN571" s="23"/>
      <c r="JO571" s="23"/>
      <c r="JP571" s="23"/>
      <c r="JQ571" s="23"/>
      <c r="JR571" s="23"/>
      <c r="JS571" s="23"/>
      <c r="JT571" s="23"/>
      <c r="JU571" s="23"/>
      <c r="JV571" s="23"/>
      <c r="JW571" s="23"/>
      <c r="JX571" s="23"/>
      <c r="JY571" s="23"/>
      <c r="JZ571" s="23"/>
      <c r="KA571" s="23"/>
      <c r="KB571" s="23"/>
      <c r="KC571" s="23"/>
      <c r="KD571" s="23"/>
      <c r="KE571" s="23"/>
      <c r="KF571" s="23"/>
      <c r="KG571" s="23"/>
      <c r="KH571" s="23"/>
      <c r="KI571" s="23"/>
      <c r="KJ571" s="23"/>
      <c r="KK571" s="23"/>
      <c r="KL571" s="23"/>
      <c r="KM571" s="23"/>
      <c r="KN571" s="23"/>
      <c r="KO571" s="23"/>
      <c r="KP571" s="23"/>
      <c r="KQ571" s="23"/>
      <c r="KR571" s="23"/>
      <c r="KS571" s="23"/>
      <c r="KT571" s="23"/>
      <c r="KU571" s="23"/>
      <c r="KV571" s="23"/>
      <c r="KW571" s="23"/>
      <c r="KX571" s="23"/>
      <c r="KY571" s="23"/>
      <c r="KZ571" s="23"/>
      <c r="LA571" s="23"/>
      <c r="LB571" s="23"/>
      <c r="LC571" s="23"/>
      <c r="LD571" s="23"/>
      <c r="LE571" s="23"/>
      <c r="LF571" s="23"/>
      <c r="LG571" s="23"/>
      <c r="LH571" s="23"/>
      <c r="LI571" s="23"/>
      <c r="LJ571" s="23"/>
      <c r="LK571" s="23"/>
      <c r="LL571" s="23"/>
      <c r="LM571" s="23"/>
      <c r="LN571" s="23"/>
      <c r="LO571" s="23"/>
    </row>
    <row r="572" spans="1:327">
      <c r="A572" s="390"/>
      <c r="B572" s="23"/>
      <c r="C572" s="391"/>
      <c r="D572" s="391"/>
      <c r="E572" s="23"/>
      <c r="F572" s="23"/>
      <c r="G572" s="392"/>
      <c r="H572" s="392"/>
      <c r="I572" s="392"/>
      <c r="J572" s="392"/>
      <c r="K572" s="392"/>
      <c r="L572" s="392"/>
      <c r="M572" s="392"/>
      <c r="N572" s="23"/>
      <c r="O572" s="39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  <c r="IL572" s="23"/>
      <c r="IM572" s="23"/>
      <c r="IN572" s="23"/>
      <c r="IO572" s="23"/>
      <c r="IP572" s="23"/>
      <c r="IQ572" s="23"/>
      <c r="IR572" s="23"/>
      <c r="IS572" s="23"/>
      <c r="IT572" s="23"/>
      <c r="IU572" s="23"/>
      <c r="IV572" s="23"/>
      <c r="IW572" s="23"/>
      <c r="IX572" s="23"/>
      <c r="IY572" s="23"/>
      <c r="IZ572" s="23"/>
      <c r="JA572" s="23"/>
      <c r="JB572" s="23"/>
      <c r="JC572" s="23"/>
      <c r="JD572" s="23"/>
      <c r="JE572" s="23"/>
      <c r="JF572" s="23"/>
      <c r="JG572" s="23"/>
      <c r="JH572" s="23"/>
      <c r="JI572" s="23"/>
      <c r="JJ572" s="23"/>
      <c r="JK572" s="23"/>
      <c r="JL572" s="23"/>
      <c r="JM572" s="23"/>
      <c r="JN572" s="23"/>
      <c r="JO572" s="23"/>
      <c r="JP572" s="23"/>
      <c r="JQ572" s="23"/>
      <c r="JR572" s="23"/>
      <c r="JS572" s="23"/>
      <c r="JT572" s="23"/>
      <c r="JU572" s="23"/>
      <c r="JV572" s="23"/>
      <c r="JW572" s="23"/>
      <c r="JX572" s="23"/>
      <c r="JY572" s="23"/>
      <c r="JZ572" s="23"/>
      <c r="KA572" s="23"/>
      <c r="KB572" s="23"/>
      <c r="KC572" s="23"/>
      <c r="KD572" s="23"/>
      <c r="KE572" s="23"/>
      <c r="KF572" s="23"/>
      <c r="KG572" s="23"/>
      <c r="KH572" s="23"/>
      <c r="KI572" s="23"/>
      <c r="KJ572" s="23"/>
      <c r="KK572" s="23"/>
      <c r="KL572" s="23"/>
      <c r="KM572" s="23"/>
      <c r="KN572" s="23"/>
      <c r="KO572" s="23"/>
      <c r="KP572" s="23"/>
      <c r="KQ572" s="23"/>
      <c r="KR572" s="23"/>
      <c r="KS572" s="23"/>
      <c r="KT572" s="23"/>
      <c r="KU572" s="23"/>
      <c r="KV572" s="23"/>
      <c r="KW572" s="23"/>
      <c r="KX572" s="23"/>
      <c r="KY572" s="23"/>
      <c r="KZ572" s="23"/>
      <c r="LA572" s="23"/>
      <c r="LB572" s="23"/>
      <c r="LC572" s="23"/>
      <c r="LD572" s="23"/>
      <c r="LE572" s="23"/>
      <c r="LF572" s="23"/>
      <c r="LG572" s="23"/>
      <c r="LH572" s="23"/>
      <c r="LI572" s="23"/>
      <c r="LJ572" s="23"/>
      <c r="LK572" s="23"/>
      <c r="LL572" s="23"/>
      <c r="LM572" s="23"/>
      <c r="LN572" s="23"/>
      <c r="LO572" s="23"/>
    </row>
    <row r="573" spans="1:327">
      <c r="A573" s="390"/>
      <c r="B573" s="23"/>
      <c r="C573" s="391"/>
      <c r="D573" s="391"/>
      <c r="E573" s="23"/>
      <c r="F573" s="23"/>
      <c r="G573" s="392"/>
      <c r="H573" s="392"/>
      <c r="I573" s="392"/>
      <c r="J573" s="392"/>
      <c r="K573" s="392"/>
      <c r="L573" s="392"/>
      <c r="M573" s="392"/>
      <c r="N573" s="23"/>
      <c r="O573" s="39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  <c r="IL573" s="23"/>
      <c r="IM573" s="23"/>
      <c r="IN573" s="23"/>
      <c r="IO573" s="23"/>
      <c r="IP573" s="23"/>
      <c r="IQ573" s="23"/>
      <c r="IR573" s="23"/>
      <c r="IS573" s="23"/>
      <c r="IT573" s="23"/>
      <c r="IU573" s="23"/>
      <c r="IV573" s="23"/>
      <c r="IW573" s="23"/>
      <c r="IX573" s="23"/>
      <c r="IY573" s="23"/>
      <c r="IZ573" s="23"/>
      <c r="JA573" s="23"/>
      <c r="JB573" s="23"/>
      <c r="JC573" s="23"/>
      <c r="JD573" s="23"/>
      <c r="JE573" s="23"/>
      <c r="JF573" s="23"/>
      <c r="JG573" s="23"/>
      <c r="JH573" s="23"/>
      <c r="JI573" s="23"/>
      <c r="JJ573" s="23"/>
      <c r="JK573" s="23"/>
      <c r="JL573" s="23"/>
      <c r="JM573" s="23"/>
      <c r="JN573" s="23"/>
      <c r="JO573" s="23"/>
      <c r="JP573" s="23"/>
      <c r="JQ573" s="23"/>
      <c r="JR573" s="23"/>
      <c r="JS573" s="23"/>
      <c r="JT573" s="23"/>
      <c r="JU573" s="23"/>
      <c r="JV573" s="23"/>
      <c r="JW573" s="23"/>
      <c r="JX573" s="23"/>
      <c r="JY573" s="23"/>
      <c r="JZ573" s="23"/>
      <c r="KA573" s="23"/>
      <c r="KB573" s="23"/>
      <c r="KC573" s="23"/>
      <c r="KD573" s="23"/>
      <c r="KE573" s="23"/>
      <c r="KF573" s="23"/>
      <c r="KG573" s="23"/>
      <c r="KH573" s="23"/>
      <c r="KI573" s="23"/>
      <c r="KJ573" s="23"/>
      <c r="KK573" s="23"/>
      <c r="KL573" s="23"/>
      <c r="KM573" s="23"/>
      <c r="KN573" s="23"/>
      <c r="KO573" s="23"/>
      <c r="KP573" s="23"/>
      <c r="KQ573" s="23"/>
      <c r="KR573" s="23"/>
      <c r="KS573" s="23"/>
      <c r="KT573" s="23"/>
      <c r="KU573" s="23"/>
      <c r="KV573" s="23"/>
      <c r="KW573" s="23"/>
      <c r="KX573" s="23"/>
      <c r="KY573" s="23"/>
      <c r="KZ573" s="23"/>
      <c r="LA573" s="23"/>
      <c r="LB573" s="23"/>
      <c r="LC573" s="23"/>
      <c r="LD573" s="23"/>
      <c r="LE573" s="23"/>
      <c r="LF573" s="23"/>
      <c r="LG573" s="23"/>
      <c r="LH573" s="23"/>
      <c r="LI573" s="23"/>
      <c r="LJ573" s="23"/>
      <c r="LK573" s="23"/>
      <c r="LL573" s="23"/>
      <c r="LM573" s="23"/>
      <c r="LN573" s="23"/>
      <c r="LO573" s="23"/>
    </row>
    <row r="574" spans="1:327">
      <c r="A574" s="390"/>
      <c r="B574" s="23"/>
      <c r="C574" s="391"/>
      <c r="D574" s="391"/>
      <c r="E574" s="23"/>
      <c r="F574" s="23"/>
      <c r="G574" s="392"/>
      <c r="H574" s="392"/>
      <c r="I574" s="392"/>
      <c r="J574" s="392"/>
      <c r="K574" s="392"/>
      <c r="L574" s="392"/>
      <c r="M574" s="392"/>
      <c r="N574" s="23"/>
      <c r="O574" s="39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  <c r="IL574" s="23"/>
      <c r="IM574" s="23"/>
      <c r="IN574" s="23"/>
      <c r="IO574" s="23"/>
      <c r="IP574" s="23"/>
      <c r="IQ574" s="23"/>
      <c r="IR574" s="23"/>
      <c r="IS574" s="23"/>
      <c r="IT574" s="23"/>
      <c r="IU574" s="23"/>
      <c r="IV574" s="23"/>
      <c r="IW574" s="23"/>
      <c r="IX574" s="23"/>
      <c r="IY574" s="23"/>
      <c r="IZ574" s="23"/>
      <c r="JA574" s="23"/>
      <c r="JB574" s="23"/>
      <c r="JC574" s="23"/>
      <c r="JD574" s="23"/>
      <c r="JE574" s="23"/>
      <c r="JF574" s="23"/>
      <c r="JG574" s="23"/>
      <c r="JH574" s="23"/>
      <c r="JI574" s="23"/>
      <c r="JJ574" s="23"/>
      <c r="JK574" s="23"/>
      <c r="JL574" s="23"/>
      <c r="JM574" s="23"/>
      <c r="JN574" s="23"/>
      <c r="JO574" s="23"/>
      <c r="JP574" s="23"/>
      <c r="JQ574" s="23"/>
      <c r="JR574" s="23"/>
      <c r="JS574" s="23"/>
      <c r="JT574" s="23"/>
      <c r="JU574" s="23"/>
      <c r="JV574" s="23"/>
      <c r="JW574" s="23"/>
      <c r="JX574" s="23"/>
      <c r="JY574" s="23"/>
      <c r="JZ574" s="23"/>
      <c r="KA574" s="23"/>
      <c r="KB574" s="23"/>
      <c r="KC574" s="23"/>
      <c r="KD574" s="23"/>
      <c r="KE574" s="23"/>
      <c r="KF574" s="23"/>
      <c r="KG574" s="23"/>
      <c r="KH574" s="23"/>
      <c r="KI574" s="23"/>
      <c r="KJ574" s="23"/>
      <c r="KK574" s="23"/>
      <c r="KL574" s="23"/>
      <c r="KM574" s="23"/>
      <c r="KN574" s="23"/>
      <c r="KO574" s="23"/>
      <c r="KP574" s="23"/>
      <c r="KQ574" s="23"/>
      <c r="KR574" s="23"/>
      <c r="KS574" s="23"/>
      <c r="KT574" s="23"/>
      <c r="KU574" s="23"/>
      <c r="KV574" s="23"/>
      <c r="KW574" s="23"/>
      <c r="KX574" s="23"/>
      <c r="KY574" s="23"/>
      <c r="KZ574" s="23"/>
      <c r="LA574" s="23"/>
      <c r="LB574" s="23"/>
      <c r="LC574" s="23"/>
      <c r="LD574" s="23"/>
      <c r="LE574" s="23"/>
      <c r="LF574" s="23"/>
      <c r="LG574" s="23"/>
      <c r="LH574" s="23"/>
      <c r="LI574" s="23"/>
      <c r="LJ574" s="23"/>
      <c r="LK574" s="23"/>
      <c r="LL574" s="23"/>
      <c r="LM574" s="23"/>
      <c r="LN574" s="23"/>
      <c r="LO574" s="23"/>
    </row>
    <row r="575" spans="1:327">
      <c r="A575" s="390"/>
      <c r="B575" s="23"/>
      <c r="C575" s="391"/>
      <c r="D575" s="391"/>
      <c r="E575" s="23"/>
      <c r="F575" s="23"/>
      <c r="G575" s="392"/>
      <c r="H575" s="392"/>
      <c r="I575" s="392"/>
      <c r="J575" s="392"/>
      <c r="K575" s="392"/>
      <c r="L575" s="392"/>
      <c r="M575" s="392"/>
      <c r="N575" s="23"/>
      <c r="O575" s="39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  <c r="IL575" s="23"/>
      <c r="IM575" s="23"/>
      <c r="IN575" s="23"/>
      <c r="IO575" s="23"/>
      <c r="IP575" s="23"/>
      <c r="IQ575" s="23"/>
      <c r="IR575" s="23"/>
      <c r="IS575" s="23"/>
      <c r="IT575" s="23"/>
      <c r="IU575" s="23"/>
      <c r="IV575" s="23"/>
      <c r="IW575" s="23"/>
      <c r="IX575" s="23"/>
      <c r="IY575" s="23"/>
      <c r="IZ575" s="23"/>
      <c r="JA575" s="23"/>
      <c r="JB575" s="23"/>
      <c r="JC575" s="23"/>
      <c r="JD575" s="23"/>
      <c r="JE575" s="23"/>
      <c r="JF575" s="23"/>
      <c r="JG575" s="23"/>
      <c r="JH575" s="23"/>
      <c r="JI575" s="23"/>
      <c r="JJ575" s="23"/>
      <c r="JK575" s="23"/>
      <c r="JL575" s="23"/>
      <c r="JM575" s="23"/>
      <c r="JN575" s="23"/>
      <c r="JO575" s="23"/>
      <c r="JP575" s="23"/>
      <c r="JQ575" s="23"/>
      <c r="JR575" s="23"/>
      <c r="JS575" s="23"/>
      <c r="JT575" s="23"/>
      <c r="JU575" s="23"/>
      <c r="JV575" s="23"/>
      <c r="JW575" s="23"/>
      <c r="JX575" s="23"/>
      <c r="JY575" s="23"/>
      <c r="JZ575" s="23"/>
      <c r="KA575" s="23"/>
      <c r="KB575" s="23"/>
      <c r="KC575" s="23"/>
      <c r="KD575" s="23"/>
      <c r="KE575" s="23"/>
      <c r="KF575" s="23"/>
      <c r="KG575" s="23"/>
      <c r="KH575" s="23"/>
      <c r="KI575" s="23"/>
      <c r="KJ575" s="23"/>
      <c r="KK575" s="23"/>
      <c r="KL575" s="23"/>
      <c r="KM575" s="23"/>
      <c r="KN575" s="23"/>
      <c r="KO575" s="23"/>
      <c r="KP575" s="23"/>
      <c r="KQ575" s="23"/>
      <c r="KR575" s="23"/>
      <c r="KS575" s="23"/>
      <c r="KT575" s="23"/>
      <c r="KU575" s="23"/>
      <c r="KV575" s="23"/>
      <c r="KW575" s="23"/>
      <c r="KX575" s="23"/>
      <c r="KY575" s="23"/>
      <c r="KZ575" s="23"/>
      <c r="LA575" s="23"/>
      <c r="LB575" s="23"/>
      <c r="LC575" s="23"/>
      <c r="LD575" s="23"/>
      <c r="LE575" s="23"/>
      <c r="LF575" s="23"/>
      <c r="LG575" s="23"/>
      <c r="LH575" s="23"/>
      <c r="LI575" s="23"/>
      <c r="LJ575" s="23"/>
      <c r="LK575" s="23"/>
      <c r="LL575" s="23"/>
      <c r="LM575" s="23"/>
      <c r="LN575" s="23"/>
      <c r="LO575" s="23"/>
    </row>
    <row r="576" spans="1:327">
      <c r="A576" s="390"/>
      <c r="B576" s="23"/>
      <c r="C576" s="391"/>
      <c r="D576" s="391"/>
      <c r="E576" s="23"/>
      <c r="F576" s="23"/>
      <c r="G576" s="392"/>
      <c r="H576" s="392"/>
      <c r="I576" s="392"/>
      <c r="J576" s="392"/>
      <c r="K576" s="392"/>
      <c r="L576" s="392"/>
      <c r="M576" s="392"/>
      <c r="N576" s="23"/>
      <c r="O576" s="39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  <c r="IL576" s="23"/>
      <c r="IM576" s="23"/>
      <c r="IN576" s="23"/>
      <c r="IO576" s="23"/>
      <c r="IP576" s="23"/>
      <c r="IQ576" s="23"/>
      <c r="IR576" s="23"/>
      <c r="IS576" s="23"/>
      <c r="IT576" s="23"/>
      <c r="IU576" s="23"/>
      <c r="IV576" s="23"/>
      <c r="IW576" s="23"/>
      <c r="IX576" s="23"/>
      <c r="IY576" s="23"/>
      <c r="IZ576" s="23"/>
      <c r="JA576" s="23"/>
      <c r="JB576" s="23"/>
      <c r="JC576" s="23"/>
      <c r="JD576" s="23"/>
      <c r="JE576" s="23"/>
      <c r="JF576" s="23"/>
      <c r="JG576" s="23"/>
      <c r="JH576" s="23"/>
      <c r="JI576" s="23"/>
      <c r="JJ576" s="23"/>
      <c r="JK576" s="23"/>
      <c r="JL576" s="23"/>
      <c r="JM576" s="23"/>
      <c r="JN576" s="23"/>
      <c r="JO576" s="23"/>
      <c r="JP576" s="23"/>
      <c r="JQ576" s="23"/>
      <c r="JR576" s="23"/>
      <c r="JS576" s="23"/>
      <c r="JT576" s="23"/>
      <c r="JU576" s="23"/>
      <c r="JV576" s="23"/>
      <c r="JW576" s="23"/>
      <c r="JX576" s="23"/>
      <c r="JY576" s="23"/>
      <c r="JZ576" s="23"/>
      <c r="KA576" s="23"/>
      <c r="KB576" s="23"/>
      <c r="KC576" s="23"/>
      <c r="KD576" s="23"/>
      <c r="KE576" s="23"/>
      <c r="KF576" s="23"/>
      <c r="KG576" s="23"/>
      <c r="KH576" s="23"/>
      <c r="KI576" s="23"/>
      <c r="KJ576" s="23"/>
      <c r="KK576" s="23"/>
      <c r="KL576" s="23"/>
      <c r="KM576" s="23"/>
      <c r="KN576" s="23"/>
      <c r="KO576" s="23"/>
      <c r="KP576" s="23"/>
      <c r="KQ576" s="23"/>
      <c r="KR576" s="23"/>
      <c r="KS576" s="23"/>
      <c r="KT576" s="23"/>
      <c r="KU576" s="23"/>
      <c r="KV576" s="23"/>
      <c r="KW576" s="23"/>
      <c r="KX576" s="23"/>
      <c r="KY576" s="23"/>
      <c r="KZ576" s="23"/>
      <c r="LA576" s="23"/>
      <c r="LB576" s="23"/>
      <c r="LC576" s="23"/>
      <c r="LD576" s="23"/>
      <c r="LE576" s="23"/>
      <c r="LF576" s="23"/>
      <c r="LG576" s="23"/>
      <c r="LH576" s="23"/>
      <c r="LI576" s="23"/>
      <c r="LJ576" s="23"/>
      <c r="LK576" s="23"/>
      <c r="LL576" s="23"/>
      <c r="LM576" s="23"/>
      <c r="LN576" s="23"/>
      <c r="LO576" s="23"/>
    </row>
    <row r="577" spans="1:327">
      <c r="A577" s="390"/>
      <c r="B577" s="23"/>
      <c r="C577" s="391"/>
      <c r="D577" s="391"/>
      <c r="E577" s="23"/>
      <c r="F577" s="23"/>
      <c r="G577" s="392"/>
      <c r="H577" s="392"/>
      <c r="I577" s="392"/>
      <c r="J577" s="392"/>
      <c r="K577" s="392"/>
      <c r="L577" s="392"/>
      <c r="M577" s="392"/>
      <c r="N577" s="23"/>
      <c r="O577" s="39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  <c r="IL577" s="23"/>
      <c r="IM577" s="23"/>
      <c r="IN577" s="23"/>
      <c r="IO577" s="23"/>
      <c r="IP577" s="23"/>
      <c r="IQ577" s="23"/>
      <c r="IR577" s="23"/>
      <c r="IS577" s="23"/>
      <c r="IT577" s="23"/>
      <c r="IU577" s="23"/>
      <c r="IV577" s="23"/>
      <c r="IW577" s="23"/>
      <c r="IX577" s="23"/>
      <c r="IY577" s="23"/>
      <c r="IZ577" s="23"/>
      <c r="JA577" s="23"/>
      <c r="JB577" s="23"/>
      <c r="JC577" s="23"/>
      <c r="JD577" s="23"/>
      <c r="JE577" s="23"/>
      <c r="JF577" s="23"/>
      <c r="JG577" s="23"/>
      <c r="JH577" s="23"/>
      <c r="JI577" s="23"/>
      <c r="JJ577" s="23"/>
      <c r="JK577" s="23"/>
      <c r="JL577" s="23"/>
      <c r="JM577" s="23"/>
      <c r="JN577" s="23"/>
      <c r="JO577" s="23"/>
      <c r="JP577" s="23"/>
      <c r="JQ577" s="23"/>
      <c r="JR577" s="23"/>
      <c r="JS577" s="23"/>
      <c r="JT577" s="23"/>
      <c r="JU577" s="23"/>
      <c r="JV577" s="23"/>
      <c r="JW577" s="23"/>
      <c r="JX577" s="23"/>
      <c r="JY577" s="23"/>
      <c r="JZ577" s="23"/>
      <c r="KA577" s="23"/>
      <c r="KB577" s="23"/>
      <c r="KC577" s="23"/>
      <c r="KD577" s="23"/>
      <c r="KE577" s="23"/>
      <c r="KF577" s="23"/>
      <c r="KG577" s="23"/>
      <c r="KH577" s="23"/>
      <c r="KI577" s="23"/>
      <c r="KJ577" s="23"/>
      <c r="KK577" s="23"/>
      <c r="KL577" s="23"/>
      <c r="KM577" s="23"/>
      <c r="KN577" s="23"/>
      <c r="KO577" s="23"/>
      <c r="KP577" s="23"/>
      <c r="KQ577" s="23"/>
      <c r="KR577" s="23"/>
      <c r="KS577" s="23"/>
      <c r="KT577" s="23"/>
      <c r="KU577" s="23"/>
      <c r="KV577" s="23"/>
      <c r="KW577" s="23"/>
      <c r="KX577" s="23"/>
      <c r="KY577" s="23"/>
      <c r="KZ577" s="23"/>
      <c r="LA577" s="23"/>
      <c r="LB577" s="23"/>
      <c r="LC577" s="23"/>
      <c r="LD577" s="23"/>
      <c r="LE577" s="23"/>
      <c r="LF577" s="23"/>
      <c r="LG577" s="23"/>
      <c r="LH577" s="23"/>
      <c r="LI577" s="23"/>
      <c r="LJ577" s="23"/>
      <c r="LK577" s="23"/>
      <c r="LL577" s="23"/>
      <c r="LM577" s="23"/>
      <c r="LN577" s="23"/>
      <c r="LO577" s="23"/>
    </row>
    <row r="578" spans="1:327">
      <c r="A578" s="390"/>
      <c r="B578" s="23"/>
      <c r="C578" s="391"/>
      <c r="D578" s="391"/>
      <c r="E578" s="23"/>
      <c r="F578" s="23"/>
      <c r="G578" s="392"/>
      <c r="H578" s="392"/>
      <c r="I578" s="392"/>
      <c r="J578" s="392"/>
      <c r="K578" s="392"/>
      <c r="L578" s="392"/>
      <c r="M578" s="392"/>
      <c r="N578" s="23"/>
      <c r="O578" s="39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  <c r="IL578" s="23"/>
      <c r="IM578" s="23"/>
      <c r="IN578" s="23"/>
      <c r="IO578" s="23"/>
      <c r="IP578" s="23"/>
      <c r="IQ578" s="23"/>
      <c r="IR578" s="23"/>
      <c r="IS578" s="23"/>
      <c r="IT578" s="23"/>
      <c r="IU578" s="23"/>
      <c r="IV578" s="23"/>
      <c r="IW578" s="23"/>
      <c r="IX578" s="23"/>
      <c r="IY578" s="23"/>
      <c r="IZ578" s="23"/>
      <c r="JA578" s="23"/>
      <c r="JB578" s="23"/>
      <c r="JC578" s="23"/>
      <c r="JD578" s="23"/>
      <c r="JE578" s="23"/>
      <c r="JF578" s="23"/>
      <c r="JG578" s="23"/>
      <c r="JH578" s="23"/>
      <c r="JI578" s="23"/>
      <c r="JJ578" s="23"/>
      <c r="JK578" s="23"/>
      <c r="JL578" s="23"/>
      <c r="JM578" s="23"/>
      <c r="JN578" s="23"/>
      <c r="JO578" s="23"/>
      <c r="JP578" s="23"/>
      <c r="JQ578" s="23"/>
      <c r="JR578" s="23"/>
      <c r="JS578" s="23"/>
      <c r="JT578" s="23"/>
      <c r="JU578" s="23"/>
      <c r="JV578" s="23"/>
      <c r="JW578" s="23"/>
      <c r="JX578" s="23"/>
      <c r="JY578" s="23"/>
      <c r="JZ578" s="23"/>
      <c r="KA578" s="23"/>
      <c r="KB578" s="23"/>
      <c r="KC578" s="23"/>
      <c r="KD578" s="23"/>
      <c r="KE578" s="23"/>
      <c r="KF578" s="23"/>
      <c r="KG578" s="23"/>
      <c r="KH578" s="23"/>
      <c r="KI578" s="23"/>
      <c r="KJ578" s="23"/>
      <c r="KK578" s="23"/>
      <c r="KL578" s="23"/>
      <c r="KM578" s="23"/>
      <c r="KN578" s="23"/>
      <c r="KO578" s="23"/>
      <c r="KP578" s="23"/>
      <c r="KQ578" s="23"/>
      <c r="KR578" s="23"/>
      <c r="KS578" s="23"/>
      <c r="KT578" s="23"/>
      <c r="KU578" s="23"/>
      <c r="KV578" s="23"/>
      <c r="KW578" s="23"/>
      <c r="KX578" s="23"/>
      <c r="KY578" s="23"/>
      <c r="KZ578" s="23"/>
      <c r="LA578" s="23"/>
      <c r="LB578" s="23"/>
      <c r="LC578" s="23"/>
      <c r="LD578" s="23"/>
      <c r="LE578" s="23"/>
      <c r="LF578" s="23"/>
      <c r="LG578" s="23"/>
      <c r="LH578" s="23"/>
      <c r="LI578" s="23"/>
      <c r="LJ578" s="23"/>
      <c r="LK578" s="23"/>
      <c r="LL578" s="23"/>
      <c r="LM578" s="23"/>
      <c r="LN578" s="23"/>
      <c r="LO578" s="23"/>
    </row>
    <row r="579" spans="1:327">
      <c r="A579" s="390"/>
      <c r="B579" s="23"/>
      <c r="C579" s="391"/>
      <c r="D579" s="391"/>
      <c r="E579" s="23"/>
      <c r="F579" s="23"/>
      <c r="G579" s="392"/>
      <c r="H579" s="392"/>
      <c r="I579" s="392"/>
      <c r="J579" s="392"/>
      <c r="K579" s="392"/>
      <c r="L579" s="392"/>
      <c r="M579" s="392"/>
      <c r="N579" s="23"/>
      <c r="O579" s="39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  <c r="IL579" s="23"/>
      <c r="IM579" s="23"/>
      <c r="IN579" s="23"/>
      <c r="IO579" s="23"/>
      <c r="IP579" s="23"/>
      <c r="IQ579" s="23"/>
      <c r="IR579" s="23"/>
      <c r="IS579" s="23"/>
      <c r="IT579" s="23"/>
      <c r="IU579" s="23"/>
      <c r="IV579" s="23"/>
      <c r="IW579" s="23"/>
      <c r="IX579" s="23"/>
      <c r="IY579" s="23"/>
      <c r="IZ579" s="23"/>
      <c r="JA579" s="23"/>
      <c r="JB579" s="23"/>
      <c r="JC579" s="23"/>
      <c r="JD579" s="23"/>
      <c r="JE579" s="23"/>
      <c r="JF579" s="23"/>
      <c r="JG579" s="23"/>
      <c r="JH579" s="23"/>
      <c r="JI579" s="23"/>
      <c r="JJ579" s="23"/>
      <c r="JK579" s="23"/>
      <c r="JL579" s="23"/>
      <c r="JM579" s="23"/>
      <c r="JN579" s="23"/>
      <c r="JO579" s="23"/>
      <c r="JP579" s="23"/>
      <c r="JQ579" s="23"/>
      <c r="JR579" s="23"/>
      <c r="JS579" s="23"/>
      <c r="JT579" s="23"/>
      <c r="JU579" s="23"/>
      <c r="JV579" s="23"/>
      <c r="JW579" s="23"/>
      <c r="JX579" s="23"/>
      <c r="JY579" s="23"/>
      <c r="JZ579" s="23"/>
      <c r="KA579" s="23"/>
      <c r="KB579" s="23"/>
      <c r="KC579" s="23"/>
      <c r="KD579" s="23"/>
      <c r="KE579" s="23"/>
      <c r="KF579" s="23"/>
      <c r="KG579" s="23"/>
      <c r="KH579" s="23"/>
      <c r="KI579" s="23"/>
      <c r="KJ579" s="23"/>
      <c r="KK579" s="23"/>
      <c r="KL579" s="23"/>
      <c r="KM579" s="23"/>
      <c r="KN579" s="23"/>
      <c r="KO579" s="23"/>
      <c r="KP579" s="23"/>
      <c r="KQ579" s="23"/>
      <c r="KR579" s="23"/>
      <c r="KS579" s="23"/>
      <c r="KT579" s="23"/>
      <c r="KU579" s="23"/>
      <c r="KV579" s="23"/>
      <c r="KW579" s="23"/>
      <c r="KX579" s="23"/>
      <c r="KY579" s="23"/>
      <c r="KZ579" s="23"/>
      <c r="LA579" s="23"/>
      <c r="LB579" s="23"/>
      <c r="LC579" s="23"/>
      <c r="LD579" s="23"/>
      <c r="LE579" s="23"/>
      <c r="LF579" s="23"/>
      <c r="LG579" s="23"/>
      <c r="LH579" s="23"/>
      <c r="LI579" s="23"/>
      <c r="LJ579" s="23"/>
      <c r="LK579" s="23"/>
      <c r="LL579" s="23"/>
      <c r="LM579" s="23"/>
      <c r="LN579" s="23"/>
      <c r="LO579" s="23"/>
    </row>
    <row r="580" spans="1:327">
      <c r="A580" s="390"/>
      <c r="B580" s="23"/>
      <c r="C580" s="391"/>
      <c r="D580" s="391"/>
      <c r="E580" s="23"/>
      <c r="F580" s="23"/>
      <c r="G580" s="392"/>
      <c r="H580" s="392"/>
      <c r="I580" s="392"/>
      <c r="J580" s="392"/>
      <c r="K580" s="392"/>
      <c r="L580" s="392"/>
      <c r="M580" s="392"/>
      <c r="N580" s="23"/>
      <c r="O580" s="39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  <c r="IL580" s="23"/>
      <c r="IM580" s="23"/>
      <c r="IN580" s="23"/>
      <c r="IO580" s="23"/>
      <c r="IP580" s="23"/>
      <c r="IQ580" s="23"/>
      <c r="IR580" s="23"/>
      <c r="IS580" s="23"/>
      <c r="IT580" s="23"/>
      <c r="IU580" s="23"/>
      <c r="IV580" s="23"/>
      <c r="IW580" s="23"/>
      <c r="IX580" s="23"/>
      <c r="IY580" s="23"/>
      <c r="IZ580" s="23"/>
      <c r="JA580" s="23"/>
      <c r="JB580" s="23"/>
      <c r="JC580" s="23"/>
      <c r="JD580" s="23"/>
      <c r="JE580" s="23"/>
      <c r="JF580" s="23"/>
      <c r="JG580" s="23"/>
      <c r="JH580" s="23"/>
      <c r="JI580" s="23"/>
      <c r="JJ580" s="23"/>
      <c r="JK580" s="23"/>
      <c r="JL580" s="23"/>
      <c r="JM580" s="23"/>
      <c r="JN580" s="23"/>
      <c r="JO580" s="23"/>
      <c r="JP580" s="23"/>
      <c r="JQ580" s="23"/>
      <c r="JR580" s="23"/>
      <c r="JS580" s="23"/>
      <c r="JT580" s="23"/>
      <c r="JU580" s="23"/>
      <c r="JV580" s="23"/>
      <c r="JW580" s="23"/>
      <c r="JX580" s="23"/>
      <c r="JY580" s="23"/>
      <c r="JZ580" s="23"/>
      <c r="KA580" s="23"/>
      <c r="KB580" s="23"/>
      <c r="KC580" s="23"/>
      <c r="KD580" s="23"/>
      <c r="KE580" s="23"/>
      <c r="KF580" s="23"/>
      <c r="KG580" s="23"/>
      <c r="KH580" s="23"/>
      <c r="KI580" s="23"/>
      <c r="KJ580" s="23"/>
      <c r="KK580" s="23"/>
      <c r="KL580" s="23"/>
      <c r="KM580" s="23"/>
      <c r="KN580" s="23"/>
      <c r="KO580" s="23"/>
      <c r="KP580" s="23"/>
      <c r="KQ580" s="23"/>
      <c r="KR580" s="23"/>
      <c r="KS580" s="23"/>
      <c r="KT580" s="23"/>
      <c r="KU580" s="23"/>
      <c r="KV580" s="23"/>
      <c r="KW580" s="23"/>
      <c r="KX580" s="23"/>
      <c r="KY580" s="23"/>
      <c r="KZ580" s="23"/>
      <c r="LA580" s="23"/>
      <c r="LB580" s="23"/>
      <c r="LC580" s="23"/>
      <c r="LD580" s="23"/>
      <c r="LE580" s="23"/>
      <c r="LF580" s="23"/>
      <c r="LG580" s="23"/>
      <c r="LH580" s="23"/>
      <c r="LI580" s="23"/>
      <c r="LJ580" s="23"/>
      <c r="LK580" s="23"/>
      <c r="LL580" s="23"/>
      <c r="LM580" s="23"/>
      <c r="LN580" s="23"/>
      <c r="LO580" s="23"/>
    </row>
    <row r="581" spans="1:327">
      <c r="A581" s="390"/>
      <c r="B581" s="23"/>
      <c r="C581" s="391"/>
      <c r="D581" s="391"/>
      <c r="E581" s="23"/>
      <c r="F581" s="23"/>
      <c r="G581" s="392"/>
      <c r="H581" s="392"/>
      <c r="I581" s="392"/>
      <c r="J581" s="392"/>
      <c r="K581" s="392"/>
      <c r="L581" s="392"/>
      <c r="M581" s="392"/>
      <c r="N581" s="23"/>
      <c r="O581" s="39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  <c r="IL581" s="23"/>
      <c r="IM581" s="23"/>
      <c r="IN581" s="23"/>
      <c r="IO581" s="23"/>
      <c r="IP581" s="23"/>
      <c r="IQ581" s="23"/>
      <c r="IR581" s="23"/>
      <c r="IS581" s="23"/>
      <c r="IT581" s="23"/>
      <c r="IU581" s="23"/>
      <c r="IV581" s="23"/>
      <c r="IW581" s="23"/>
      <c r="IX581" s="23"/>
      <c r="IY581" s="23"/>
      <c r="IZ581" s="23"/>
      <c r="JA581" s="23"/>
      <c r="JB581" s="23"/>
      <c r="JC581" s="23"/>
      <c r="JD581" s="23"/>
      <c r="JE581" s="23"/>
      <c r="JF581" s="23"/>
      <c r="JG581" s="23"/>
      <c r="JH581" s="23"/>
      <c r="JI581" s="23"/>
      <c r="JJ581" s="23"/>
      <c r="JK581" s="23"/>
      <c r="JL581" s="23"/>
      <c r="JM581" s="23"/>
      <c r="JN581" s="23"/>
      <c r="JO581" s="23"/>
      <c r="JP581" s="23"/>
      <c r="JQ581" s="23"/>
      <c r="JR581" s="23"/>
      <c r="JS581" s="23"/>
      <c r="JT581" s="23"/>
      <c r="JU581" s="23"/>
      <c r="JV581" s="23"/>
      <c r="JW581" s="23"/>
      <c r="JX581" s="23"/>
      <c r="JY581" s="23"/>
      <c r="JZ581" s="23"/>
      <c r="KA581" s="23"/>
      <c r="KB581" s="23"/>
      <c r="KC581" s="23"/>
      <c r="KD581" s="23"/>
      <c r="KE581" s="23"/>
      <c r="KF581" s="23"/>
      <c r="KG581" s="23"/>
      <c r="KH581" s="23"/>
      <c r="KI581" s="23"/>
      <c r="KJ581" s="23"/>
      <c r="KK581" s="23"/>
      <c r="KL581" s="23"/>
      <c r="KM581" s="23"/>
      <c r="KN581" s="23"/>
      <c r="KO581" s="23"/>
      <c r="KP581" s="23"/>
      <c r="KQ581" s="23"/>
      <c r="KR581" s="23"/>
      <c r="KS581" s="23"/>
      <c r="KT581" s="23"/>
      <c r="KU581" s="23"/>
      <c r="KV581" s="23"/>
      <c r="KW581" s="23"/>
      <c r="KX581" s="23"/>
      <c r="KY581" s="23"/>
      <c r="KZ581" s="23"/>
      <c r="LA581" s="23"/>
      <c r="LB581" s="23"/>
      <c r="LC581" s="23"/>
      <c r="LD581" s="23"/>
      <c r="LE581" s="23"/>
      <c r="LF581" s="23"/>
      <c r="LG581" s="23"/>
      <c r="LH581" s="23"/>
      <c r="LI581" s="23"/>
      <c r="LJ581" s="23"/>
      <c r="LK581" s="23"/>
      <c r="LL581" s="23"/>
      <c r="LM581" s="23"/>
      <c r="LN581" s="23"/>
      <c r="LO581" s="23"/>
    </row>
    <row r="582" spans="1:327">
      <c r="A582" s="390"/>
      <c r="B582" s="23"/>
      <c r="C582" s="391"/>
      <c r="D582" s="391"/>
      <c r="E582" s="23"/>
      <c r="F582" s="23"/>
      <c r="G582" s="392"/>
      <c r="H582" s="392"/>
      <c r="I582" s="392"/>
      <c r="J582" s="392"/>
      <c r="K582" s="392"/>
      <c r="L582" s="392"/>
      <c r="M582" s="392"/>
      <c r="N582" s="23"/>
      <c r="O582" s="39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  <c r="IL582" s="23"/>
      <c r="IM582" s="23"/>
      <c r="IN582" s="23"/>
      <c r="IO582" s="23"/>
      <c r="IP582" s="23"/>
      <c r="IQ582" s="23"/>
      <c r="IR582" s="23"/>
      <c r="IS582" s="23"/>
      <c r="IT582" s="23"/>
      <c r="IU582" s="23"/>
      <c r="IV582" s="23"/>
      <c r="IW582" s="23"/>
      <c r="IX582" s="23"/>
      <c r="IY582" s="23"/>
      <c r="IZ582" s="23"/>
      <c r="JA582" s="23"/>
      <c r="JB582" s="23"/>
      <c r="JC582" s="23"/>
      <c r="JD582" s="23"/>
      <c r="JE582" s="23"/>
      <c r="JF582" s="23"/>
      <c r="JG582" s="23"/>
      <c r="JH582" s="23"/>
      <c r="JI582" s="23"/>
      <c r="JJ582" s="23"/>
      <c r="JK582" s="23"/>
      <c r="JL582" s="23"/>
      <c r="JM582" s="23"/>
      <c r="JN582" s="23"/>
      <c r="JO582" s="23"/>
      <c r="JP582" s="23"/>
      <c r="JQ582" s="23"/>
      <c r="JR582" s="23"/>
      <c r="JS582" s="23"/>
      <c r="JT582" s="23"/>
      <c r="JU582" s="23"/>
      <c r="JV582" s="23"/>
      <c r="JW582" s="23"/>
      <c r="JX582" s="23"/>
      <c r="JY582" s="23"/>
      <c r="JZ582" s="23"/>
      <c r="KA582" s="23"/>
      <c r="KB582" s="23"/>
      <c r="KC582" s="23"/>
      <c r="KD582" s="23"/>
      <c r="KE582" s="23"/>
      <c r="KF582" s="23"/>
      <c r="KG582" s="23"/>
      <c r="KH582" s="23"/>
      <c r="KI582" s="23"/>
      <c r="KJ582" s="23"/>
      <c r="KK582" s="23"/>
      <c r="KL582" s="23"/>
      <c r="KM582" s="23"/>
      <c r="KN582" s="23"/>
      <c r="KO582" s="23"/>
      <c r="KP582" s="23"/>
      <c r="KQ582" s="23"/>
      <c r="KR582" s="23"/>
      <c r="KS582" s="23"/>
      <c r="KT582" s="23"/>
      <c r="KU582" s="23"/>
      <c r="KV582" s="23"/>
      <c r="KW582" s="23"/>
      <c r="KX582" s="23"/>
      <c r="KY582" s="23"/>
      <c r="KZ582" s="23"/>
      <c r="LA582" s="23"/>
      <c r="LB582" s="23"/>
      <c r="LC582" s="23"/>
      <c r="LD582" s="23"/>
      <c r="LE582" s="23"/>
      <c r="LF582" s="23"/>
      <c r="LG582" s="23"/>
      <c r="LH582" s="23"/>
      <c r="LI582" s="23"/>
      <c r="LJ582" s="23"/>
      <c r="LK582" s="23"/>
      <c r="LL582" s="23"/>
      <c r="LM582" s="23"/>
      <c r="LN582" s="23"/>
      <c r="LO582" s="23"/>
    </row>
    <row r="583" spans="1:327">
      <c r="A583" s="390"/>
      <c r="B583" s="23"/>
      <c r="C583" s="391"/>
      <c r="D583" s="391"/>
      <c r="E583" s="23"/>
      <c r="F583" s="23"/>
      <c r="G583" s="392"/>
      <c r="H583" s="392"/>
      <c r="I583" s="392"/>
      <c r="J583" s="392"/>
      <c r="K583" s="392"/>
      <c r="L583" s="392"/>
      <c r="M583" s="392"/>
      <c r="N583" s="23"/>
      <c r="O583" s="39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  <c r="IL583" s="23"/>
      <c r="IM583" s="23"/>
      <c r="IN583" s="23"/>
      <c r="IO583" s="23"/>
      <c r="IP583" s="23"/>
      <c r="IQ583" s="23"/>
      <c r="IR583" s="23"/>
      <c r="IS583" s="23"/>
      <c r="IT583" s="23"/>
      <c r="IU583" s="23"/>
      <c r="IV583" s="23"/>
      <c r="IW583" s="23"/>
      <c r="IX583" s="23"/>
      <c r="IY583" s="23"/>
      <c r="IZ583" s="23"/>
      <c r="JA583" s="23"/>
      <c r="JB583" s="23"/>
      <c r="JC583" s="23"/>
      <c r="JD583" s="23"/>
      <c r="JE583" s="23"/>
      <c r="JF583" s="23"/>
      <c r="JG583" s="23"/>
      <c r="JH583" s="23"/>
      <c r="JI583" s="23"/>
      <c r="JJ583" s="23"/>
      <c r="JK583" s="23"/>
      <c r="JL583" s="23"/>
      <c r="JM583" s="23"/>
      <c r="JN583" s="23"/>
      <c r="JO583" s="23"/>
      <c r="JP583" s="23"/>
      <c r="JQ583" s="23"/>
      <c r="JR583" s="23"/>
      <c r="JS583" s="23"/>
      <c r="JT583" s="23"/>
      <c r="JU583" s="23"/>
      <c r="JV583" s="23"/>
      <c r="JW583" s="23"/>
      <c r="JX583" s="23"/>
      <c r="JY583" s="23"/>
      <c r="JZ583" s="23"/>
      <c r="KA583" s="23"/>
      <c r="KB583" s="23"/>
      <c r="KC583" s="23"/>
      <c r="KD583" s="23"/>
      <c r="KE583" s="23"/>
      <c r="KF583" s="23"/>
      <c r="KG583" s="23"/>
      <c r="KH583" s="23"/>
      <c r="KI583" s="23"/>
      <c r="KJ583" s="23"/>
      <c r="KK583" s="23"/>
      <c r="KL583" s="23"/>
      <c r="KM583" s="23"/>
      <c r="KN583" s="23"/>
      <c r="KO583" s="23"/>
      <c r="KP583" s="23"/>
      <c r="KQ583" s="23"/>
      <c r="KR583" s="23"/>
      <c r="KS583" s="23"/>
      <c r="KT583" s="23"/>
      <c r="KU583" s="23"/>
      <c r="KV583" s="23"/>
      <c r="KW583" s="23"/>
      <c r="KX583" s="23"/>
      <c r="KY583" s="23"/>
      <c r="KZ583" s="23"/>
      <c r="LA583" s="23"/>
      <c r="LB583" s="23"/>
      <c r="LC583" s="23"/>
      <c r="LD583" s="23"/>
      <c r="LE583" s="23"/>
      <c r="LF583" s="23"/>
      <c r="LG583" s="23"/>
      <c r="LH583" s="23"/>
      <c r="LI583" s="23"/>
      <c r="LJ583" s="23"/>
      <c r="LK583" s="23"/>
      <c r="LL583" s="23"/>
      <c r="LM583" s="23"/>
      <c r="LN583" s="23"/>
      <c r="LO583" s="23"/>
    </row>
    <row r="584" spans="1:327">
      <c r="A584" s="390"/>
      <c r="B584" s="23"/>
      <c r="C584" s="391"/>
      <c r="D584" s="391"/>
      <c r="E584" s="23"/>
      <c r="F584" s="23"/>
      <c r="G584" s="392"/>
      <c r="H584" s="392"/>
      <c r="I584" s="392"/>
      <c r="J584" s="392"/>
      <c r="K584" s="392"/>
      <c r="L584" s="392"/>
      <c r="M584" s="392"/>
      <c r="N584" s="23"/>
      <c r="O584" s="39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  <c r="IL584" s="23"/>
      <c r="IM584" s="23"/>
      <c r="IN584" s="23"/>
      <c r="IO584" s="23"/>
      <c r="IP584" s="23"/>
      <c r="IQ584" s="23"/>
      <c r="IR584" s="23"/>
      <c r="IS584" s="23"/>
      <c r="IT584" s="23"/>
      <c r="IU584" s="23"/>
      <c r="IV584" s="23"/>
      <c r="IW584" s="23"/>
      <c r="IX584" s="23"/>
      <c r="IY584" s="23"/>
      <c r="IZ584" s="23"/>
      <c r="JA584" s="23"/>
      <c r="JB584" s="23"/>
      <c r="JC584" s="23"/>
      <c r="JD584" s="23"/>
      <c r="JE584" s="23"/>
      <c r="JF584" s="23"/>
      <c r="JG584" s="23"/>
      <c r="JH584" s="23"/>
      <c r="JI584" s="23"/>
      <c r="JJ584" s="23"/>
      <c r="JK584" s="23"/>
      <c r="JL584" s="23"/>
      <c r="JM584" s="23"/>
      <c r="JN584" s="23"/>
      <c r="JO584" s="23"/>
      <c r="JP584" s="23"/>
      <c r="JQ584" s="23"/>
      <c r="JR584" s="23"/>
      <c r="JS584" s="23"/>
      <c r="JT584" s="23"/>
      <c r="JU584" s="23"/>
      <c r="JV584" s="23"/>
      <c r="JW584" s="23"/>
      <c r="JX584" s="23"/>
      <c r="JY584" s="23"/>
      <c r="JZ584" s="23"/>
      <c r="KA584" s="23"/>
      <c r="KB584" s="23"/>
      <c r="KC584" s="23"/>
      <c r="KD584" s="23"/>
      <c r="KE584" s="23"/>
      <c r="KF584" s="23"/>
      <c r="KG584" s="23"/>
      <c r="KH584" s="23"/>
      <c r="KI584" s="23"/>
      <c r="KJ584" s="23"/>
      <c r="KK584" s="23"/>
      <c r="KL584" s="23"/>
      <c r="KM584" s="23"/>
      <c r="KN584" s="23"/>
      <c r="KO584" s="23"/>
      <c r="KP584" s="23"/>
      <c r="KQ584" s="23"/>
      <c r="KR584" s="23"/>
      <c r="KS584" s="23"/>
      <c r="KT584" s="23"/>
      <c r="KU584" s="23"/>
      <c r="KV584" s="23"/>
      <c r="KW584" s="23"/>
      <c r="KX584" s="23"/>
      <c r="KY584" s="23"/>
      <c r="KZ584" s="23"/>
      <c r="LA584" s="23"/>
      <c r="LB584" s="23"/>
      <c r="LC584" s="23"/>
      <c r="LD584" s="23"/>
      <c r="LE584" s="23"/>
      <c r="LF584" s="23"/>
      <c r="LG584" s="23"/>
      <c r="LH584" s="23"/>
      <c r="LI584" s="23"/>
      <c r="LJ584" s="23"/>
      <c r="LK584" s="23"/>
      <c r="LL584" s="23"/>
      <c r="LM584" s="23"/>
      <c r="LN584" s="23"/>
      <c r="LO584" s="23"/>
    </row>
    <row r="585" spans="1:327">
      <c r="A585" s="390"/>
      <c r="B585" s="23"/>
      <c r="C585" s="391"/>
      <c r="D585" s="391"/>
      <c r="E585" s="23"/>
      <c r="F585" s="23"/>
      <c r="G585" s="392"/>
      <c r="H585" s="392"/>
      <c r="I585" s="392"/>
      <c r="J585" s="392"/>
      <c r="K585" s="392"/>
      <c r="L585" s="392"/>
      <c r="M585" s="392"/>
      <c r="N585" s="23"/>
      <c r="O585" s="39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  <c r="IL585" s="23"/>
      <c r="IM585" s="23"/>
      <c r="IN585" s="23"/>
      <c r="IO585" s="23"/>
      <c r="IP585" s="23"/>
      <c r="IQ585" s="23"/>
      <c r="IR585" s="23"/>
      <c r="IS585" s="23"/>
      <c r="IT585" s="23"/>
      <c r="IU585" s="23"/>
      <c r="IV585" s="23"/>
      <c r="IW585" s="23"/>
      <c r="IX585" s="23"/>
      <c r="IY585" s="23"/>
      <c r="IZ585" s="23"/>
      <c r="JA585" s="23"/>
      <c r="JB585" s="23"/>
      <c r="JC585" s="23"/>
      <c r="JD585" s="23"/>
      <c r="JE585" s="23"/>
      <c r="JF585" s="23"/>
      <c r="JG585" s="23"/>
      <c r="JH585" s="23"/>
      <c r="JI585" s="23"/>
      <c r="JJ585" s="23"/>
      <c r="JK585" s="23"/>
      <c r="JL585" s="23"/>
      <c r="JM585" s="23"/>
      <c r="JN585" s="23"/>
      <c r="JO585" s="23"/>
      <c r="JP585" s="23"/>
      <c r="JQ585" s="23"/>
      <c r="JR585" s="23"/>
      <c r="JS585" s="23"/>
      <c r="JT585" s="23"/>
      <c r="JU585" s="23"/>
      <c r="JV585" s="23"/>
      <c r="JW585" s="23"/>
      <c r="JX585" s="23"/>
      <c r="JY585" s="23"/>
      <c r="JZ585" s="23"/>
      <c r="KA585" s="23"/>
      <c r="KB585" s="23"/>
      <c r="KC585" s="23"/>
      <c r="KD585" s="23"/>
      <c r="KE585" s="23"/>
      <c r="KF585" s="23"/>
      <c r="KG585" s="23"/>
      <c r="KH585" s="23"/>
      <c r="KI585" s="23"/>
      <c r="KJ585" s="23"/>
      <c r="KK585" s="23"/>
      <c r="KL585" s="23"/>
      <c r="KM585" s="23"/>
      <c r="KN585" s="23"/>
      <c r="KO585" s="23"/>
      <c r="KP585" s="23"/>
      <c r="KQ585" s="23"/>
      <c r="KR585" s="23"/>
      <c r="KS585" s="23"/>
      <c r="KT585" s="23"/>
      <c r="KU585" s="23"/>
      <c r="KV585" s="23"/>
      <c r="KW585" s="23"/>
      <c r="KX585" s="23"/>
      <c r="KY585" s="23"/>
      <c r="KZ585" s="23"/>
      <c r="LA585" s="23"/>
      <c r="LB585" s="23"/>
      <c r="LC585" s="23"/>
      <c r="LD585" s="23"/>
      <c r="LE585" s="23"/>
      <c r="LF585" s="23"/>
      <c r="LG585" s="23"/>
      <c r="LH585" s="23"/>
      <c r="LI585" s="23"/>
      <c r="LJ585" s="23"/>
      <c r="LK585" s="23"/>
      <c r="LL585" s="23"/>
      <c r="LM585" s="23"/>
      <c r="LN585" s="23"/>
      <c r="LO585" s="23"/>
    </row>
    <row r="586" spans="1:327">
      <c r="A586" s="390"/>
      <c r="B586" s="23"/>
      <c r="C586" s="391"/>
      <c r="D586" s="391"/>
      <c r="E586" s="23"/>
      <c r="F586" s="23"/>
      <c r="G586" s="392"/>
      <c r="H586" s="392"/>
      <c r="I586" s="392"/>
      <c r="J586" s="392"/>
      <c r="K586" s="392"/>
      <c r="L586" s="392"/>
      <c r="M586" s="392"/>
      <c r="N586" s="23"/>
      <c r="O586" s="39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  <c r="IL586" s="23"/>
      <c r="IM586" s="23"/>
      <c r="IN586" s="23"/>
      <c r="IO586" s="23"/>
      <c r="IP586" s="23"/>
      <c r="IQ586" s="23"/>
      <c r="IR586" s="23"/>
      <c r="IS586" s="23"/>
      <c r="IT586" s="23"/>
      <c r="IU586" s="23"/>
      <c r="IV586" s="23"/>
      <c r="IW586" s="23"/>
      <c r="IX586" s="23"/>
      <c r="IY586" s="23"/>
      <c r="IZ586" s="23"/>
      <c r="JA586" s="23"/>
      <c r="JB586" s="23"/>
      <c r="JC586" s="23"/>
      <c r="JD586" s="23"/>
      <c r="JE586" s="23"/>
      <c r="JF586" s="23"/>
      <c r="JG586" s="23"/>
      <c r="JH586" s="23"/>
      <c r="JI586" s="23"/>
      <c r="JJ586" s="23"/>
      <c r="JK586" s="23"/>
      <c r="JL586" s="23"/>
      <c r="JM586" s="23"/>
      <c r="JN586" s="23"/>
      <c r="JO586" s="23"/>
      <c r="JP586" s="23"/>
      <c r="JQ586" s="23"/>
      <c r="JR586" s="23"/>
      <c r="JS586" s="23"/>
      <c r="JT586" s="23"/>
      <c r="JU586" s="23"/>
      <c r="JV586" s="23"/>
      <c r="JW586" s="23"/>
      <c r="JX586" s="23"/>
      <c r="JY586" s="23"/>
      <c r="JZ586" s="23"/>
      <c r="KA586" s="23"/>
      <c r="KB586" s="23"/>
      <c r="KC586" s="23"/>
      <c r="KD586" s="23"/>
      <c r="KE586" s="23"/>
      <c r="KF586" s="23"/>
      <c r="KG586" s="23"/>
      <c r="KH586" s="23"/>
      <c r="KI586" s="23"/>
      <c r="KJ586" s="23"/>
      <c r="KK586" s="23"/>
      <c r="KL586" s="23"/>
      <c r="KM586" s="23"/>
      <c r="KN586" s="23"/>
      <c r="KO586" s="23"/>
      <c r="KP586" s="23"/>
      <c r="KQ586" s="23"/>
      <c r="KR586" s="23"/>
      <c r="KS586" s="23"/>
      <c r="KT586" s="23"/>
      <c r="KU586" s="23"/>
      <c r="KV586" s="23"/>
      <c r="KW586" s="23"/>
      <c r="KX586" s="23"/>
      <c r="KY586" s="23"/>
      <c r="KZ586" s="23"/>
      <c r="LA586" s="23"/>
      <c r="LB586" s="23"/>
      <c r="LC586" s="23"/>
      <c r="LD586" s="23"/>
      <c r="LE586" s="23"/>
      <c r="LF586" s="23"/>
      <c r="LG586" s="23"/>
      <c r="LH586" s="23"/>
      <c r="LI586" s="23"/>
      <c r="LJ586" s="23"/>
      <c r="LK586" s="23"/>
      <c r="LL586" s="23"/>
      <c r="LM586" s="23"/>
      <c r="LN586" s="23"/>
      <c r="LO586" s="23"/>
    </row>
    <row r="587" spans="1:327">
      <c r="A587" s="390"/>
      <c r="B587" s="23"/>
      <c r="C587" s="391"/>
      <c r="D587" s="391"/>
      <c r="E587" s="23"/>
      <c r="F587" s="23"/>
      <c r="G587" s="392"/>
      <c r="H587" s="392"/>
      <c r="I587" s="392"/>
      <c r="J587" s="392"/>
      <c r="K587" s="392"/>
      <c r="L587" s="392"/>
      <c r="M587" s="392"/>
      <c r="N587" s="23"/>
      <c r="O587" s="39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  <c r="IL587" s="23"/>
      <c r="IM587" s="23"/>
      <c r="IN587" s="23"/>
      <c r="IO587" s="23"/>
      <c r="IP587" s="23"/>
      <c r="IQ587" s="23"/>
      <c r="IR587" s="23"/>
      <c r="IS587" s="23"/>
      <c r="IT587" s="23"/>
      <c r="IU587" s="23"/>
      <c r="IV587" s="23"/>
      <c r="IW587" s="23"/>
      <c r="IX587" s="23"/>
      <c r="IY587" s="23"/>
      <c r="IZ587" s="23"/>
      <c r="JA587" s="23"/>
      <c r="JB587" s="23"/>
      <c r="JC587" s="23"/>
      <c r="JD587" s="23"/>
      <c r="JE587" s="23"/>
      <c r="JF587" s="23"/>
      <c r="JG587" s="23"/>
      <c r="JH587" s="23"/>
      <c r="JI587" s="23"/>
      <c r="JJ587" s="23"/>
      <c r="JK587" s="23"/>
      <c r="JL587" s="23"/>
      <c r="JM587" s="23"/>
      <c r="JN587" s="23"/>
      <c r="JO587" s="23"/>
      <c r="JP587" s="23"/>
      <c r="JQ587" s="23"/>
      <c r="JR587" s="23"/>
      <c r="JS587" s="23"/>
      <c r="JT587" s="23"/>
      <c r="JU587" s="23"/>
      <c r="JV587" s="23"/>
      <c r="JW587" s="23"/>
      <c r="JX587" s="23"/>
      <c r="JY587" s="23"/>
      <c r="JZ587" s="23"/>
      <c r="KA587" s="23"/>
      <c r="KB587" s="23"/>
      <c r="KC587" s="23"/>
      <c r="KD587" s="23"/>
      <c r="KE587" s="23"/>
      <c r="KF587" s="23"/>
      <c r="KG587" s="23"/>
      <c r="KH587" s="23"/>
      <c r="KI587" s="23"/>
      <c r="KJ587" s="23"/>
      <c r="KK587" s="23"/>
      <c r="KL587" s="23"/>
      <c r="KM587" s="23"/>
      <c r="KN587" s="23"/>
      <c r="KO587" s="23"/>
      <c r="KP587" s="23"/>
      <c r="KQ587" s="23"/>
      <c r="KR587" s="23"/>
      <c r="KS587" s="23"/>
      <c r="KT587" s="23"/>
      <c r="KU587" s="23"/>
      <c r="KV587" s="23"/>
      <c r="KW587" s="23"/>
      <c r="KX587" s="23"/>
      <c r="KY587" s="23"/>
      <c r="KZ587" s="23"/>
      <c r="LA587" s="23"/>
      <c r="LB587" s="23"/>
      <c r="LC587" s="23"/>
      <c r="LD587" s="23"/>
      <c r="LE587" s="23"/>
      <c r="LF587" s="23"/>
      <c r="LG587" s="23"/>
      <c r="LH587" s="23"/>
      <c r="LI587" s="23"/>
      <c r="LJ587" s="23"/>
      <c r="LK587" s="23"/>
      <c r="LL587" s="23"/>
      <c r="LM587" s="23"/>
      <c r="LN587" s="23"/>
      <c r="LO587" s="23"/>
    </row>
    <row r="588" spans="1:327">
      <c r="A588" s="390"/>
      <c r="B588" s="23"/>
      <c r="C588" s="391"/>
      <c r="D588" s="391"/>
      <c r="E588" s="23"/>
      <c r="F588" s="23"/>
      <c r="G588" s="392"/>
      <c r="H588" s="392"/>
      <c r="I588" s="392"/>
      <c r="J588" s="392"/>
      <c r="K588" s="392"/>
      <c r="L588" s="392"/>
      <c r="M588" s="392"/>
      <c r="N588" s="23"/>
      <c r="O588" s="39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  <c r="IL588" s="23"/>
      <c r="IM588" s="23"/>
      <c r="IN588" s="23"/>
      <c r="IO588" s="23"/>
      <c r="IP588" s="23"/>
      <c r="IQ588" s="23"/>
      <c r="IR588" s="23"/>
      <c r="IS588" s="23"/>
      <c r="IT588" s="23"/>
      <c r="IU588" s="23"/>
      <c r="IV588" s="23"/>
      <c r="IW588" s="23"/>
      <c r="IX588" s="23"/>
      <c r="IY588" s="23"/>
      <c r="IZ588" s="23"/>
      <c r="JA588" s="23"/>
      <c r="JB588" s="23"/>
      <c r="JC588" s="23"/>
      <c r="JD588" s="23"/>
      <c r="JE588" s="23"/>
      <c r="JF588" s="23"/>
      <c r="JG588" s="23"/>
      <c r="JH588" s="23"/>
      <c r="JI588" s="23"/>
      <c r="JJ588" s="23"/>
      <c r="JK588" s="23"/>
      <c r="JL588" s="23"/>
      <c r="JM588" s="23"/>
      <c r="JN588" s="23"/>
      <c r="JO588" s="23"/>
      <c r="JP588" s="23"/>
      <c r="JQ588" s="23"/>
      <c r="JR588" s="23"/>
      <c r="JS588" s="23"/>
      <c r="JT588" s="23"/>
      <c r="JU588" s="23"/>
      <c r="JV588" s="23"/>
      <c r="JW588" s="23"/>
      <c r="JX588" s="23"/>
      <c r="JY588" s="23"/>
      <c r="JZ588" s="23"/>
      <c r="KA588" s="23"/>
      <c r="KB588" s="23"/>
      <c r="KC588" s="23"/>
      <c r="KD588" s="23"/>
      <c r="KE588" s="23"/>
      <c r="KF588" s="23"/>
      <c r="KG588" s="23"/>
      <c r="KH588" s="23"/>
      <c r="KI588" s="23"/>
      <c r="KJ588" s="23"/>
      <c r="KK588" s="23"/>
      <c r="KL588" s="23"/>
      <c r="KM588" s="23"/>
      <c r="KN588" s="23"/>
      <c r="KO588" s="23"/>
      <c r="KP588" s="23"/>
      <c r="KQ588" s="23"/>
      <c r="KR588" s="23"/>
      <c r="KS588" s="23"/>
      <c r="KT588" s="23"/>
      <c r="KU588" s="23"/>
      <c r="KV588" s="23"/>
      <c r="KW588" s="23"/>
      <c r="KX588" s="23"/>
      <c r="KY588" s="23"/>
      <c r="KZ588" s="23"/>
      <c r="LA588" s="23"/>
      <c r="LB588" s="23"/>
      <c r="LC588" s="23"/>
      <c r="LD588" s="23"/>
      <c r="LE588" s="23"/>
      <c r="LF588" s="23"/>
      <c r="LG588" s="23"/>
      <c r="LH588" s="23"/>
      <c r="LI588" s="23"/>
      <c r="LJ588" s="23"/>
      <c r="LK588" s="23"/>
      <c r="LL588" s="23"/>
      <c r="LM588" s="23"/>
      <c r="LN588" s="23"/>
      <c r="LO588" s="23"/>
    </row>
    <row r="589" spans="1:327">
      <c r="A589" s="390"/>
      <c r="B589" s="23"/>
      <c r="C589" s="391"/>
      <c r="D589" s="391"/>
      <c r="E589" s="23"/>
      <c r="F589" s="23"/>
      <c r="G589" s="392"/>
      <c r="H589" s="392"/>
      <c r="I589" s="392"/>
      <c r="J589" s="392"/>
      <c r="K589" s="392"/>
      <c r="L589" s="392"/>
      <c r="M589" s="392"/>
      <c r="N589" s="23"/>
      <c r="O589" s="39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  <c r="IL589" s="23"/>
      <c r="IM589" s="23"/>
      <c r="IN589" s="23"/>
      <c r="IO589" s="23"/>
      <c r="IP589" s="23"/>
      <c r="IQ589" s="23"/>
      <c r="IR589" s="23"/>
      <c r="IS589" s="23"/>
      <c r="IT589" s="23"/>
      <c r="IU589" s="23"/>
      <c r="IV589" s="23"/>
      <c r="IW589" s="23"/>
      <c r="IX589" s="23"/>
      <c r="IY589" s="23"/>
      <c r="IZ589" s="23"/>
      <c r="JA589" s="23"/>
      <c r="JB589" s="23"/>
      <c r="JC589" s="23"/>
      <c r="JD589" s="23"/>
      <c r="JE589" s="23"/>
      <c r="JF589" s="23"/>
      <c r="JG589" s="23"/>
      <c r="JH589" s="23"/>
      <c r="JI589" s="23"/>
      <c r="JJ589" s="23"/>
      <c r="JK589" s="23"/>
      <c r="JL589" s="23"/>
      <c r="JM589" s="23"/>
      <c r="JN589" s="23"/>
      <c r="JO589" s="23"/>
      <c r="JP589" s="23"/>
      <c r="JQ589" s="23"/>
      <c r="JR589" s="23"/>
      <c r="JS589" s="23"/>
      <c r="JT589" s="23"/>
      <c r="JU589" s="23"/>
      <c r="JV589" s="23"/>
      <c r="JW589" s="23"/>
      <c r="JX589" s="23"/>
      <c r="JY589" s="23"/>
      <c r="JZ589" s="23"/>
      <c r="KA589" s="23"/>
      <c r="KB589" s="23"/>
      <c r="KC589" s="23"/>
      <c r="KD589" s="23"/>
      <c r="KE589" s="23"/>
      <c r="KF589" s="23"/>
      <c r="KG589" s="23"/>
      <c r="KH589" s="23"/>
      <c r="KI589" s="23"/>
      <c r="KJ589" s="23"/>
      <c r="KK589" s="23"/>
      <c r="KL589" s="23"/>
      <c r="KM589" s="23"/>
      <c r="KN589" s="23"/>
      <c r="KO589" s="23"/>
      <c r="KP589" s="23"/>
      <c r="KQ589" s="23"/>
      <c r="KR589" s="23"/>
      <c r="KS589" s="23"/>
      <c r="KT589" s="23"/>
      <c r="KU589" s="23"/>
      <c r="KV589" s="23"/>
      <c r="KW589" s="23"/>
      <c r="KX589" s="23"/>
      <c r="KY589" s="23"/>
      <c r="KZ589" s="23"/>
      <c r="LA589" s="23"/>
      <c r="LB589" s="23"/>
      <c r="LC589" s="23"/>
      <c r="LD589" s="23"/>
      <c r="LE589" s="23"/>
      <c r="LF589" s="23"/>
      <c r="LG589" s="23"/>
      <c r="LH589" s="23"/>
      <c r="LI589" s="23"/>
      <c r="LJ589" s="23"/>
      <c r="LK589" s="23"/>
      <c r="LL589" s="23"/>
      <c r="LM589" s="23"/>
      <c r="LN589" s="23"/>
      <c r="LO589" s="23"/>
    </row>
    <row r="590" spans="1:327">
      <c r="A590" s="390"/>
      <c r="B590" s="23"/>
      <c r="C590" s="391"/>
      <c r="D590" s="391"/>
      <c r="E590" s="23"/>
      <c r="F590" s="23"/>
      <c r="G590" s="392"/>
      <c r="H590" s="392"/>
      <c r="I590" s="392"/>
      <c r="J590" s="392"/>
      <c r="K590" s="392"/>
      <c r="L590" s="392"/>
      <c r="M590" s="392"/>
      <c r="N590" s="23"/>
      <c r="O590" s="39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  <c r="IL590" s="23"/>
      <c r="IM590" s="23"/>
      <c r="IN590" s="23"/>
      <c r="IO590" s="23"/>
      <c r="IP590" s="23"/>
      <c r="IQ590" s="23"/>
      <c r="IR590" s="23"/>
      <c r="IS590" s="23"/>
      <c r="IT590" s="23"/>
      <c r="IU590" s="23"/>
      <c r="IV590" s="23"/>
      <c r="IW590" s="23"/>
      <c r="IX590" s="23"/>
      <c r="IY590" s="23"/>
      <c r="IZ590" s="23"/>
      <c r="JA590" s="23"/>
      <c r="JB590" s="23"/>
      <c r="JC590" s="23"/>
      <c r="JD590" s="23"/>
      <c r="JE590" s="23"/>
      <c r="JF590" s="23"/>
      <c r="JG590" s="23"/>
      <c r="JH590" s="23"/>
      <c r="JI590" s="23"/>
      <c r="JJ590" s="23"/>
      <c r="JK590" s="23"/>
      <c r="JL590" s="23"/>
      <c r="JM590" s="23"/>
      <c r="JN590" s="23"/>
      <c r="JO590" s="23"/>
      <c r="JP590" s="23"/>
      <c r="JQ590" s="23"/>
      <c r="JR590" s="23"/>
      <c r="JS590" s="23"/>
      <c r="JT590" s="23"/>
      <c r="JU590" s="23"/>
      <c r="JV590" s="23"/>
      <c r="JW590" s="23"/>
      <c r="JX590" s="23"/>
      <c r="JY590" s="23"/>
      <c r="JZ590" s="23"/>
      <c r="KA590" s="23"/>
      <c r="KB590" s="23"/>
      <c r="KC590" s="23"/>
      <c r="KD590" s="23"/>
      <c r="KE590" s="23"/>
      <c r="KF590" s="23"/>
      <c r="KG590" s="23"/>
      <c r="KH590" s="23"/>
      <c r="KI590" s="23"/>
      <c r="KJ590" s="23"/>
      <c r="KK590" s="23"/>
      <c r="KL590" s="23"/>
      <c r="KM590" s="23"/>
      <c r="KN590" s="23"/>
      <c r="KO590" s="23"/>
      <c r="KP590" s="23"/>
      <c r="KQ590" s="23"/>
      <c r="KR590" s="23"/>
      <c r="KS590" s="23"/>
      <c r="KT590" s="23"/>
      <c r="KU590" s="23"/>
      <c r="KV590" s="23"/>
      <c r="KW590" s="23"/>
      <c r="KX590" s="23"/>
      <c r="KY590" s="23"/>
      <c r="KZ590" s="23"/>
      <c r="LA590" s="23"/>
      <c r="LB590" s="23"/>
      <c r="LC590" s="23"/>
      <c r="LD590" s="23"/>
      <c r="LE590" s="23"/>
      <c r="LF590" s="23"/>
      <c r="LG590" s="23"/>
      <c r="LH590" s="23"/>
      <c r="LI590" s="23"/>
      <c r="LJ590" s="23"/>
      <c r="LK590" s="23"/>
      <c r="LL590" s="23"/>
      <c r="LM590" s="23"/>
      <c r="LN590" s="23"/>
      <c r="LO590" s="23"/>
    </row>
    <row r="591" spans="1:327">
      <c r="A591" s="390"/>
      <c r="B591" s="23"/>
      <c r="C591" s="391"/>
      <c r="D591" s="391"/>
      <c r="E591" s="23"/>
      <c r="F591" s="23"/>
      <c r="G591" s="392"/>
      <c r="H591" s="392"/>
      <c r="I591" s="392"/>
      <c r="J591" s="392"/>
      <c r="K591" s="392"/>
      <c r="L591" s="392"/>
      <c r="M591" s="392"/>
      <c r="N591" s="23"/>
      <c r="O591" s="39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  <c r="IL591" s="23"/>
      <c r="IM591" s="23"/>
      <c r="IN591" s="23"/>
      <c r="IO591" s="23"/>
      <c r="IP591" s="23"/>
      <c r="IQ591" s="23"/>
      <c r="IR591" s="23"/>
      <c r="IS591" s="23"/>
      <c r="IT591" s="23"/>
      <c r="IU591" s="23"/>
      <c r="IV591" s="23"/>
      <c r="IW591" s="23"/>
      <c r="IX591" s="23"/>
      <c r="IY591" s="23"/>
      <c r="IZ591" s="23"/>
      <c r="JA591" s="23"/>
      <c r="JB591" s="23"/>
      <c r="JC591" s="23"/>
      <c r="JD591" s="23"/>
      <c r="JE591" s="23"/>
      <c r="JF591" s="23"/>
      <c r="JG591" s="23"/>
      <c r="JH591" s="23"/>
      <c r="JI591" s="23"/>
      <c r="JJ591" s="23"/>
      <c r="JK591" s="23"/>
      <c r="JL591" s="23"/>
      <c r="JM591" s="23"/>
      <c r="JN591" s="23"/>
      <c r="JO591" s="23"/>
      <c r="JP591" s="23"/>
      <c r="JQ591" s="23"/>
      <c r="JR591" s="23"/>
      <c r="JS591" s="23"/>
      <c r="JT591" s="23"/>
      <c r="JU591" s="23"/>
      <c r="JV591" s="23"/>
      <c r="JW591" s="23"/>
      <c r="JX591" s="23"/>
      <c r="JY591" s="23"/>
      <c r="JZ591" s="23"/>
      <c r="KA591" s="23"/>
      <c r="KB591" s="23"/>
      <c r="KC591" s="23"/>
      <c r="KD591" s="23"/>
      <c r="KE591" s="23"/>
      <c r="KF591" s="23"/>
      <c r="KG591" s="23"/>
      <c r="KH591" s="23"/>
      <c r="KI591" s="23"/>
      <c r="KJ591" s="23"/>
      <c r="KK591" s="23"/>
      <c r="KL591" s="23"/>
      <c r="KM591" s="23"/>
      <c r="KN591" s="23"/>
      <c r="KO591" s="23"/>
      <c r="KP591" s="23"/>
      <c r="KQ591" s="23"/>
      <c r="KR591" s="23"/>
      <c r="KS591" s="23"/>
      <c r="KT591" s="23"/>
      <c r="KU591" s="23"/>
      <c r="KV591" s="23"/>
      <c r="KW591" s="23"/>
      <c r="KX591" s="23"/>
      <c r="KY591" s="23"/>
      <c r="KZ591" s="23"/>
      <c r="LA591" s="23"/>
      <c r="LB591" s="23"/>
      <c r="LC591" s="23"/>
      <c r="LD591" s="23"/>
      <c r="LE591" s="23"/>
      <c r="LF591" s="23"/>
      <c r="LG591" s="23"/>
      <c r="LH591" s="23"/>
      <c r="LI591" s="23"/>
      <c r="LJ591" s="23"/>
      <c r="LK591" s="23"/>
      <c r="LL591" s="23"/>
      <c r="LM591" s="23"/>
      <c r="LN591" s="23"/>
      <c r="LO591" s="23"/>
    </row>
    <row r="592" spans="1:327">
      <c r="A592" s="390"/>
      <c r="B592" s="23"/>
      <c r="C592" s="391"/>
      <c r="D592" s="391"/>
      <c r="E592" s="23"/>
      <c r="F592" s="23"/>
      <c r="G592" s="392"/>
      <c r="H592" s="392"/>
      <c r="I592" s="392"/>
      <c r="J592" s="392"/>
      <c r="K592" s="392"/>
      <c r="L592" s="392"/>
      <c r="M592" s="392"/>
      <c r="N592" s="23"/>
      <c r="O592" s="39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  <c r="IL592" s="23"/>
      <c r="IM592" s="23"/>
      <c r="IN592" s="23"/>
      <c r="IO592" s="23"/>
      <c r="IP592" s="23"/>
      <c r="IQ592" s="23"/>
      <c r="IR592" s="23"/>
      <c r="IS592" s="23"/>
      <c r="IT592" s="23"/>
      <c r="IU592" s="23"/>
      <c r="IV592" s="23"/>
      <c r="IW592" s="23"/>
      <c r="IX592" s="23"/>
      <c r="IY592" s="23"/>
      <c r="IZ592" s="23"/>
      <c r="JA592" s="23"/>
      <c r="JB592" s="23"/>
      <c r="JC592" s="23"/>
      <c r="JD592" s="23"/>
      <c r="JE592" s="23"/>
      <c r="JF592" s="23"/>
      <c r="JG592" s="23"/>
      <c r="JH592" s="23"/>
      <c r="JI592" s="23"/>
      <c r="JJ592" s="23"/>
      <c r="JK592" s="23"/>
      <c r="JL592" s="23"/>
      <c r="JM592" s="23"/>
      <c r="JN592" s="23"/>
      <c r="JO592" s="23"/>
      <c r="JP592" s="23"/>
      <c r="JQ592" s="23"/>
      <c r="JR592" s="23"/>
      <c r="JS592" s="23"/>
      <c r="JT592" s="23"/>
      <c r="JU592" s="23"/>
      <c r="JV592" s="23"/>
      <c r="JW592" s="23"/>
      <c r="JX592" s="23"/>
      <c r="JY592" s="23"/>
      <c r="JZ592" s="23"/>
      <c r="KA592" s="23"/>
      <c r="KB592" s="23"/>
      <c r="KC592" s="23"/>
      <c r="KD592" s="23"/>
      <c r="KE592" s="23"/>
      <c r="KF592" s="23"/>
      <c r="KG592" s="23"/>
      <c r="KH592" s="23"/>
      <c r="KI592" s="23"/>
      <c r="KJ592" s="23"/>
      <c r="KK592" s="23"/>
      <c r="KL592" s="23"/>
      <c r="KM592" s="23"/>
      <c r="KN592" s="23"/>
      <c r="KO592" s="23"/>
      <c r="KP592" s="23"/>
      <c r="KQ592" s="23"/>
      <c r="KR592" s="23"/>
      <c r="KS592" s="23"/>
      <c r="KT592" s="23"/>
      <c r="KU592" s="23"/>
      <c r="KV592" s="23"/>
      <c r="KW592" s="23"/>
      <c r="KX592" s="23"/>
      <c r="KY592" s="23"/>
      <c r="KZ592" s="23"/>
      <c r="LA592" s="23"/>
      <c r="LB592" s="23"/>
      <c r="LC592" s="23"/>
      <c r="LD592" s="23"/>
      <c r="LE592" s="23"/>
      <c r="LF592" s="23"/>
      <c r="LG592" s="23"/>
      <c r="LH592" s="23"/>
      <c r="LI592" s="23"/>
      <c r="LJ592" s="23"/>
      <c r="LK592" s="23"/>
      <c r="LL592" s="23"/>
      <c r="LM592" s="23"/>
      <c r="LN592" s="23"/>
      <c r="LO592" s="23"/>
    </row>
    <row r="593" spans="1:327">
      <c r="A593" s="390"/>
      <c r="B593" s="23"/>
      <c r="C593" s="391"/>
      <c r="D593" s="391"/>
      <c r="E593" s="23"/>
      <c r="F593" s="23"/>
      <c r="G593" s="392"/>
      <c r="H593" s="392"/>
      <c r="I593" s="392"/>
      <c r="J593" s="392"/>
      <c r="K593" s="392"/>
      <c r="L593" s="392"/>
      <c r="M593" s="392"/>
      <c r="N593" s="23"/>
      <c r="O593" s="39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  <c r="IL593" s="23"/>
      <c r="IM593" s="23"/>
      <c r="IN593" s="23"/>
      <c r="IO593" s="23"/>
      <c r="IP593" s="23"/>
      <c r="IQ593" s="23"/>
      <c r="IR593" s="23"/>
      <c r="IS593" s="23"/>
      <c r="IT593" s="23"/>
      <c r="IU593" s="23"/>
      <c r="IV593" s="23"/>
      <c r="IW593" s="23"/>
      <c r="IX593" s="23"/>
      <c r="IY593" s="23"/>
      <c r="IZ593" s="23"/>
      <c r="JA593" s="23"/>
      <c r="JB593" s="23"/>
      <c r="JC593" s="23"/>
      <c r="JD593" s="23"/>
      <c r="JE593" s="23"/>
      <c r="JF593" s="23"/>
      <c r="JG593" s="23"/>
      <c r="JH593" s="23"/>
      <c r="JI593" s="23"/>
      <c r="JJ593" s="23"/>
      <c r="JK593" s="23"/>
      <c r="JL593" s="23"/>
      <c r="JM593" s="23"/>
      <c r="JN593" s="23"/>
      <c r="JO593" s="23"/>
      <c r="JP593" s="23"/>
      <c r="JQ593" s="23"/>
      <c r="JR593" s="23"/>
      <c r="JS593" s="23"/>
      <c r="JT593" s="23"/>
      <c r="JU593" s="23"/>
      <c r="JV593" s="23"/>
      <c r="JW593" s="23"/>
      <c r="JX593" s="23"/>
      <c r="JY593" s="23"/>
      <c r="JZ593" s="23"/>
      <c r="KA593" s="23"/>
      <c r="KB593" s="23"/>
      <c r="KC593" s="23"/>
      <c r="KD593" s="23"/>
      <c r="KE593" s="23"/>
      <c r="KF593" s="23"/>
      <c r="KG593" s="23"/>
      <c r="KH593" s="23"/>
      <c r="KI593" s="23"/>
      <c r="KJ593" s="23"/>
      <c r="KK593" s="23"/>
      <c r="KL593" s="23"/>
      <c r="KM593" s="23"/>
      <c r="KN593" s="23"/>
      <c r="KO593" s="23"/>
      <c r="KP593" s="23"/>
      <c r="KQ593" s="23"/>
      <c r="KR593" s="23"/>
      <c r="KS593" s="23"/>
      <c r="KT593" s="23"/>
      <c r="KU593" s="23"/>
      <c r="KV593" s="23"/>
      <c r="KW593" s="23"/>
      <c r="KX593" s="23"/>
      <c r="KY593" s="23"/>
      <c r="KZ593" s="23"/>
      <c r="LA593" s="23"/>
      <c r="LB593" s="23"/>
      <c r="LC593" s="23"/>
      <c r="LD593" s="23"/>
      <c r="LE593" s="23"/>
      <c r="LF593" s="23"/>
      <c r="LG593" s="23"/>
      <c r="LH593" s="23"/>
      <c r="LI593" s="23"/>
      <c r="LJ593" s="23"/>
      <c r="LK593" s="23"/>
      <c r="LL593" s="23"/>
      <c r="LM593" s="23"/>
      <c r="LN593" s="23"/>
      <c r="LO593" s="23"/>
    </row>
    <row r="594" spans="1:327">
      <c r="A594" s="390"/>
      <c r="B594" s="23"/>
      <c r="C594" s="391"/>
      <c r="D594" s="391"/>
      <c r="E594" s="23"/>
      <c r="F594" s="23"/>
      <c r="G594" s="392"/>
      <c r="H594" s="392"/>
      <c r="I594" s="392"/>
      <c r="J594" s="392"/>
      <c r="K594" s="392"/>
      <c r="L594" s="392"/>
      <c r="M594" s="392"/>
      <c r="N594" s="23"/>
      <c r="O594" s="39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  <c r="IL594" s="23"/>
      <c r="IM594" s="23"/>
      <c r="IN594" s="23"/>
      <c r="IO594" s="23"/>
      <c r="IP594" s="23"/>
      <c r="IQ594" s="23"/>
      <c r="IR594" s="23"/>
      <c r="IS594" s="23"/>
      <c r="IT594" s="23"/>
      <c r="IU594" s="23"/>
      <c r="IV594" s="23"/>
      <c r="IW594" s="23"/>
      <c r="IX594" s="23"/>
      <c r="IY594" s="23"/>
      <c r="IZ594" s="23"/>
      <c r="JA594" s="23"/>
      <c r="JB594" s="23"/>
      <c r="JC594" s="23"/>
      <c r="JD594" s="23"/>
      <c r="JE594" s="23"/>
      <c r="JF594" s="23"/>
      <c r="JG594" s="23"/>
      <c r="JH594" s="23"/>
      <c r="JI594" s="23"/>
      <c r="JJ594" s="23"/>
      <c r="JK594" s="23"/>
      <c r="JL594" s="23"/>
      <c r="JM594" s="23"/>
      <c r="JN594" s="23"/>
      <c r="JO594" s="23"/>
      <c r="JP594" s="23"/>
      <c r="JQ594" s="23"/>
      <c r="JR594" s="23"/>
      <c r="JS594" s="23"/>
      <c r="JT594" s="23"/>
      <c r="JU594" s="23"/>
      <c r="JV594" s="23"/>
      <c r="JW594" s="23"/>
      <c r="JX594" s="23"/>
      <c r="JY594" s="23"/>
      <c r="JZ594" s="23"/>
      <c r="KA594" s="23"/>
      <c r="KB594" s="23"/>
      <c r="KC594" s="23"/>
      <c r="KD594" s="23"/>
      <c r="KE594" s="23"/>
      <c r="KF594" s="23"/>
      <c r="KG594" s="23"/>
      <c r="KH594" s="23"/>
      <c r="KI594" s="23"/>
      <c r="KJ594" s="23"/>
      <c r="KK594" s="23"/>
      <c r="KL594" s="23"/>
      <c r="KM594" s="23"/>
      <c r="KN594" s="23"/>
      <c r="KO594" s="23"/>
      <c r="KP594" s="23"/>
      <c r="KQ594" s="23"/>
      <c r="KR594" s="23"/>
      <c r="KS594" s="23"/>
      <c r="KT594" s="23"/>
      <c r="KU594" s="23"/>
      <c r="KV594" s="23"/>
      <c r="KW594" s="23"/>
      <c r="KX594" s="23"/>
      <c r="KY594" s="23"/>
      <c r="KZ594" s="23"/>
      <c r="LA594" s="23"/>
      <c r="LB594" s="23"/>
      <c r="LC594" s="23"/>
      <c r="LD594" s="23"/>
      <c r="LE594" s="23"/>
      <c r="LF594" s="23"/>
      <c r="LG594" s="23"/>
      <c r="LH594" s="23"/>
      <c r="LI594" s="23"/>
      <c r="LJ594" s="23"/>
      <c r="LK594" s="23"/>
      <c r="LL594" s="23"/>
      <c r="LM594" s="23"/>
      <c r="LN594" s="23"/>
      <c r="LO594" s="23"/>
    </row>
    <row r="595" spans="1:327">
      <c r="A595" s="390"/>
      <c r="B595" s="23"/>
      <c r="C595" s="391"/>
      <c r="D595" s="391"/>
      <c r="E595" s="23"/>
      <c r="F595" s="23"/>
      <c r="G595" s="392"/>
      <c r="H595" s="392"/>
      <c r="I595" s="392"/>
      <c r="J595" s="392"/>
      <c r="K595" s="392"/>
      <c r="L595" s="392"/>
      <c r="M595" s="392"/>
      <c r="N595" s="23"/>
      <c r="O595" s="39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  <c r="IL595" s="23"/>
      <c r="IM595" s="23"/>
      <c r="IN595" s="23"/>
      <c r="IO595" s="23"/>
      <c r="IP595" s="23"/>
      <c r="IQ595" s="23"/>
      <c r="IR595" s="23"/>
      <c r="IS595" s="23"/>
      <c r="IT595" s="23"/>
      <c r="IU595" s="23"/>
      <c r="IV595" s="23"/>
      <c r="IW595" s="23"/>
      <c r="IX595" s="23"/>
      <c r="IY595" s="23"/>
      <c r="IZ595" s="23"/>
      <c r="JA595" s="23"/>
      <c r="JB595" s="23"/>
      <c r="JC595" s="23"/>
      <c r="JD595" s="23"/>
      <c r="JE595" s="23"/>
      <c r="JF595" s="23"/>
      <c r="JG595" s="23"/>
      <c r="JH595" s="23"/>
      <c r="JI595" s="23"/>
      <c r="JJ595" s="23"/>
      <c r="JK595" s="23"/>
      <c r="JL595" s="23"/>
      <c r="JM595" s="23"/>
      <c r="JN595" s="23"/>
      <c r="JO595" s="23"/>
      <c r="JP595" s="23"/>
      <c r="JQ595" s="23"/>
      <c r="JR595" s="23"/>
      <c r="JS595" s="23"/>
      <c r="JT595" s="23"/>
      <c r="JU595" s="23"/>
      <c r="JV595" s="23"/>
      <c r="JW595" s="23"/>
      <c r="JX595" s="23"/>
      <c r="JY595" s="23"/>
      <c r="JZ595" s="23"/>
      <c r="KA595" s="23"/>
      <c r="KB595" s="23"/>
      <c r="KC595" s="23"/>
      <c r="KD595" s="23"/>
      <c r="KE595" s="23"/>
      <c r="KF595" s="23"/>
      <c r="KG595" s="23"/>
      <c r="KH595" s="23"/>
      <c r="KI595" s="23"/>
      <c r="KJ595" s="23"/>
      <c r="KK595" s="23"/>
      <c r="KL595" s="23"/>
      <c r="KM595" s="23"/>
      <c r="KN595" s="23"/>
      <c r="KO595" s="23"/>
      <c r="KP595" s="23"/>
      <c r="KQ595" s="23"/>
      <c r="KR595" s="23"/>
      <c r="KS595" s="23"/>
      <c r="KT595" s="23"/>
      <c r="KU595" s="23"/>
      <c r="KV595" s="23"/>
      <c r="KW595" s="23"/>
      <c r="KX595" s="23"/>
      <c r="KY595" s="23"/>
      <c r="KZ595" s="23"/>
      <c r="LA595" s="23"/>
      <c r="LB595" s="23"/>
      <c r="LC595" s="23"/>
      <c r="LD595" s="23"/>
      <c r="LE595" s="23"/>
      <c r="LF595" s="23"/>
      <c r="LG595" s="23"/>
      <c r="LH595" s="23"/>
      <c r="LI595" s="23"/>
      <c r="LJ595" s="23"/>
      <c r="LK595" s="23"/>
      <c r="LL595" s="23"/>
      <c r="LM595" s="23"/>
      <c r="LN595" s="23"/>
      <c r="LO595" s="23"/>
    </row>
    <row r="596" spans="1:327">
      <c r="A596" s="390"/>
      <c r="B596" s="23"/>
      <c r="C596" s="391"/>
      <c r="D596" s="391"/>
      <c r="E596" s="23"/>
      <c r="F596" s="23"/>
      <c r="G596" s="392"/>
      <c r="H596" s="392"/>
      <c r="I596" s="392"/>
      <c r="J596" s="392"/>
      <c r="K596" s="392"/>
      <c r="L596" s="392"/>
      <c r="M596" s="392"/>
      <c r="N596" s="23"/>
      <c r="O596" s="39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  <c r="IL596" s="23"/>
      <c r="IM596" s="23"/>
      <c r="IN596" s="23"/>
      <c r="IO596" s="23"/>
      <c r="IP596" s="23"/>
      <c r="IQ596" s="23"/>
      <c r="IR596" s="23"/>
      <c r="IS596" s="23"/>
      <c r="IT596" s="23"/>
      <c r="IU596" s="23"/>
      <c r="IV596" s="23"/>
      <c r="IW596" s="23"/>
      <c r="IX596" s="23"/>
      <c r="IY596" s="23"/>
      <c r="IZ596" s="23"/>
      <c r="JA596" s="23"/>
      <c r="JB596" s="23"/>
      <c r="JC596" s="23"/>
      <c r="JD596" s="23"/>
      <c r="JE596" s="23"/>
      <c r="JF596" s="23"/>
      <c r="JG596" s="23"/>
      <c r="JH596" s="23"/>
      <c r="JI596" s="23"/>
      <c r="JJ596" s="23"/>
      <c r="JK596" s="23"/>
      <c r="JL596" s="23"/>
      <c r="JM596" s="23"/>
      <c r="JN596" s="23"/>
      <c r="JO596" s="23"/>
      <c r="JP596" s="23"/>
      <c r="JQ596" s="23"/>
      <c r="JR596" s="23"/>
      <c r="JS596" s="23"/>
      <c r="JT596" s="23"/>
      <c r="JU596" s="23"/>
      <c r="JV596" s="23"/>
      <c r="JW596" s="23"/>
      <c r="JX596" s="23"/>
      <c r="JY596" s="23"/>
      <c r="JZ596" s="23"/>
      <c r="KA596" s="23"/>
      <c r="KB596" s="23"/>
      <c r="KC596" s="23"/>
      <c r="KD596" s="23"/>
      <c r="KE596" s="23"/>
      <c r="KF596" s="23"/>
      <c r="KG596" s="23"/>
      <c r="KH596" s="23"/>
      <c r="KI596" s="23"/>
      <c r="KJ596" s="23"/>
      <c r="KK596" s="23"/>
      <c r="KL596" s="23"/>
      <c r="KM596" s="23"/>
      <c r="KN596" s="23"/>
      <c r="KO596" s="23"/>
      <c r="KP596" s="23"/>
      <c r="KQ596" s="23"/>
      <c r="KR596" s="23"/>
      <c r="KS596" s="23"/>
      <c r="KT596" s="23"/>
      <c r="KU596" s="23"/>
      <c r="KV596" s="23"/>
      <c r="KW596" s="23"/>
      <c r="KX596" s="23"/>
      <c r="KY596" s="23"/>
      <c r="KZ596" s="23"/>
      <c r="LA596" s="23"/>
      <c r="LB596" s="23"/>
      <c r="LC596" s="23"/>
      <c r="LD596" s="23"/>
      <c r="LE596" s="23"/>
      <c r="LF596" s="23"/>
      <c r="LG596" s="23"/>
      <c r="LH596" s="23"/>
      <c r="LI596" s="23"/>
      <c r="LJ596" s="23"/>
      <c r="LK596" s="23"/>
      <c r="LL596" s="23"/>
      <c r="LM596" s="23"/>
      <c r="LN596" s="23"/>
      <c r="LO596" s="23"/>
    </row>
    <row r="597" spans="1:327">
      <c r="A597" s="390"/>
      <c r="B597" s="23"/>
      <c r="C597" s="391"/>
      <c r="D597" s="391"/>
      <c r="E597" s="23"/>
      <c r="F597" s="23"/>
      <c r="G597" s="392"/>
      <c r="H597" s="392"/>
      <c r="I597" s="392"/>
      <c r="J597" s="392"/>
      <c r="K597" s="392"/>
      <c r="L597" s="392"/>
      <c r="M597" s="392"/>
      <c r="N597" s="23"/>
      <c r="O597" s="39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  <c r="IL597" s="23"/>
      <c r="IM597" s="23"/>
      <c r="IN597" s="23"/>
      <c r="IO597" s="23"/>
      <c r="IP597" s="23"/>
      <c r="IQ597" s="23"/>
      <c r="IR597" s="23"/>
      <c r="IS597" s="23"/>
      <c r="IT597" s="23"/>
      <c r="IU597" s="23"/>
      <c r="IV597" s="23"/>
      <c r="IW597" s="23"/>
      <c r="IX597" s="23"/>
      <c r="IY597" s="23"/>
      <c r="IZ597" s="23"/>
      <c r="JA597" s="23"/>
      <c r="JB597" s="23"/>
      <c r="JC597" s="23"/>
      <c r="JD597" s="23"/>
      <c r="JE597" s="23"/>
      <c r="JF597" s="23"/>
      <c r="JG597" s="23"/>
      <c r="JH597" s="23"/>
      <c r="JI597" s="23"/>
      <c r="JJ597" s="23"/>
      <c r="JK597" s="23"/>
      <c r="JL597" s="23"/>
      <c r="JM597" s="23"/>
      <c r="JN597" s="23"/>
      <c r="JO597" s="23"/>
      <c r="JP597" s="23"/>
      <c r="JQ597" s="23"/>
      <c r="JR597" s="23"/>
      <c r="JS597" s="23"/>
      <c r="JT597" s="23"/>
      <c r="JU597" s="23"/>
      <c r="JV597" s="23"/>
      <c r="JW597" s="23"/>
      <c r="JX597" s="23"/>
      <c r="JY597" s="23"/>
      <c r="JZ597" s="23"/>
      <c r="KA597" s="23"/>
      <c r="KB597" s="23"/>
      <c r="KC597" s="23"/>
      <c r="KD597" s="23"/>
      <c r="KE597" s="23"/>
      <c r="KF597" s="23"/>
      <c r="KG597" s="23"/>
      <c r="KH597" s="23"/>
      <c r="KI597" s="23"/>
      <c r="KJ597" s="23"/>
      <c r="KK597" s="23"/>
      <c r="KL597" s="23"/>
      <c r="KM597" s="23"/>
      <c r="KN597" s="23"/>
      <c r="KO597" s="23"/>
      <c r="KP597" s="23"/>
      <c r="KQ597" s="23"/>
      <c r="KR597" s="23"/>
      <c r="KS597" s="23"/>
      <c r="KT597" s="23"/>
      <c r="KU597" s="23"/>
      <c r="KV597" s="23"/>
      <c r="KW597" s="23"/>
      <c r="KX597" s="23"/>
      <c r="KY597" s="23"/>
      <c r="KZ597" s="23"/>
      <c r="LA597" s="23"/>
      <c r="LB597" s="23"/>
      <c r="LC597" s="23"/>
      <c r="LD597" s="23"/>
      <c r="LE597" s="23"/>
      <c r="LF597" s="23"/>
      <c r="LG597" s="23"/>
      <c r="LH597" s="23"/>
      <c r="LI597" s="23"/>
      <c r="LJ597" s="23"/>
      <c r="LK597" s="23"/>
      <c r="LL597" s="23"/>
      <c r="LM597" s="23"/>
      <c r="LN597" s="23"/>
      <c r="LO597" s="23"/>
    </row>
    <row r="598" spans="1:327">
      <c r="A598" s="390"/>
      <c r="B598" s="23"/>
      <c r="C598" s="391"/>
      <c r="D598" s="391"/>
      <c r="E598" s="23"/>
      <c r="F598" s="23"/>
      <c r="G598" s="392"/>
      <c r="H598" s="392"/>
      <c r="I598" s="392"/>
      <c r="J598" s="392"/>
      <c r="K598" s="392"/>
      <c r="L598" s="392"/>
      <c r="M598" s="392"/>
      <c r="N598" s="23"/>
      <c r="O598" s="39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  <c r="IL598" s="23"/>
      <c r="IM598" s="23"/>
      <c r="IN598" s="23"/>
      <c r="IO598" s="23"/>
      <c r="IP598" s="23"/>
      <c r="IQ598" s="23"/>
      <c r="IR598" s="23"/>
      <c r="IS598" s="23"/>
      <c r="IT598" s="23"/>
      <c r="IU598" s="23"/>
      <c r="IV598" s="23"/>
      <c r="IW598" s="23"/>
      <c r="IX598" s="23"/>
      <c r="IY598" s="23"/>
      <c r="IZ598" s="23"/>
      <c r="JA598" s="23"/>
      <c r="JB598" s="23"/>
      <c r="JC598" s="23"/>
      <c r="JD598" s="23"/>
      <c r="JE598" s="23"/>
      <c r="JF598" s="23"/>
      <c r="JG598" s="23"/>
      <c r="JH598" s="23"/>
      <c r="JI598" s="23"/>
      <c r="JJ598" s="23"/>
      <c r="JK598" s="23"/>
      <c r="JL598" s="23"/>
      <c r="JM598" s="23"/>
      <c r="JN598" s="23"/>
      <c r="JO598" s="23"/>
      <c r="JP598" s="23"/>
      <c r="JQ598" s="23"/>
      <c r="JR598" s="23"/>
      <c r="JS598" s="23"/>
      <c r="JT598" s="23"/>
      <c r="JU598" s="23"/>
      <c r="JV598" s="23"/>
      <c r="JW598" s="23"/>
      <c r="JX598" s="23"/>
      <c r="JY598" s="23"/>
      <c r="JZ598" s="23"/>
      <c r="KA598" s="23"/>
      <c r="KB598" s="23"/>
      <c r="KC598" s="23"/>
      <c r="KD598" s="23"/>
      <c r="KE598" s="23"/>
      <c r="KF598" s="23"/>
      <c r="KG598" s="23"/>
      <c r="KH598" s="23"/>
      <c r="KI598" s="23"/>
      <c r="KJ598" s="23"/>
      <c r="KK598" s="23"/>
      <c r="KL598" s="23"/>
      <c r="KM598" s="23"/>
      <c r="KN598" s="23"/>
      <c r="KO598" s="23"/>
      <c r="KP598" s="23"/>
      <c r="KQ598" s="23"/>
      <c r="KR598" s="23"/>
      <c r="KS598" s="23"/>
      <c r="KT598" s="23"/>
      <c r="KU598" s="23"/>
      <c r="KV598" s="23"/>
      <c r="KW598" s="23"/>
      <c r="KX598" s="23"/>
      <c r="KY598" s="23"/>
      <c r="KZ598" s="23"/>
      <c r="LA598" s="23"/>
      <c r="LB598" s="23"/>
      <c r="LC598" s="23"/>
      <c r="LD598" s="23"/>
      <c r="LE598" s="23"/>
      <c r="LF598" s="23"/>
      <c r="LG598" s="23"/>
      <c r="LH598" s="23"/>
      <c r="LI598" s="23"/>
      <c r="LJ598" s="23"/>
      <c r="LK598" s="23"/>
      <c r="LL598" s="23"/>
      <c r="LM598" s="23"/>
      <c r="LN598" s="23"/>
      <c r="LO598" s="23"/>
    </row>
    <row r="599" spans="1:327">
      <c r="A599" s="390"/>
      <c r="B599" s="23"/>
      <c r="C599" s="391"/>
      <c r="D599" s="391"/>
      <c r="E599" s="23"/>
      <c r="F599" s="23"/>
      <c r="G599" s="392"/>
      <c r="H599" s="392"/>
      <c r="I599" s="392"/>
      <c r="J599" s="392"/>
      <c r="K599" s="392"/>
      <c r="L599" s="392"/>
      <c r="M599" s="392"/>
      <c r="N599" s="23"/>
      <c r="O599" s="39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  <c r="IL599" s="23"/>
      <c r="IM599" s="23"/>
      <c r="IN599" s="23"/>
      <c r="IO599" s="23"/>
      <c r="IP599" s="23"/>
      <c r="IQ599" s="23"/>
      <c r="IR599" s="23"/>
      <c r="IS599" s="23"/>
      <c r="IT599" s="23"/>
      <c r="IU599" s="23"/>
      <c r="IV599" s="23"/>
      <c r="IW599" s="23"/>
      <c r="IX599" s="23"/>
      <c r="IY599" s="23"/>
      <c r="IZ599" s="23"/>
      <c r="JA599" s="23"/>
      <c r="JB599" s="23"/>
      <c r="JC599" s="23"/>
      <c r="JD599" s="23"/>
      <c r="JE599" s="23"/>
      <c r="JF599" s="23"/>
      <c r="JG599" s="23"/>
      <c r="JH599" s="23"/>
      <c r="JI599" s="23"/>
      <c r="JJ599" s="23"/>
      <c r="JK599" s="23"/>
      <c r="JL599" s="23"/>
      <c r="JM599" s="23"/>
      <c r="JN599" s="23"/>
      <c r="JO599" s="23"/>
      <c r="JP599" s="23"/>
      <c r="JQ599" s="23"/>
      <c r="JR599" s="23"/>
      <c r="JS599" s="23"/>
      <c r="JT599" s="23"/>
      <c r="JU599" s="23"/>
      <c r="JV599" s="23"/>
      <c r="JW599" s="23"/>
      <c r="JX599" s="23"/>
      <c r="JY599" s="23"/>
      <c r="JZ599" s="23"/>
      <c r="KA599" s="23"/>
      <c r="KB599" s="23"/>
      <c r="KC599" s="23"/>
      <c r="KD599" s="23"/>
      <c r="KE599" s="23"/>
      <c r="KF599" s="23"/>
      <c r="KG599" s="23"/>
      <c r="KH599" s="23"/>
      <c r="KI599" s="23"/>
      <c r="KJ599" s="23"/>
      <c r="KK599" s="23"/>
      <c r="KL599" s="23"/>
      <c r="KM599" s="23"/>
      <c r="KN599" s="23"/>
      <c r="KO599" s="23"/>
      <c r="KP599" s="23"/>
      <c r="KQ599" s="23"/>
      <c r="KR599" s="23"/>
      <c r="KS599" s="23"/>
      <c r="KT599" s="23"/>
      <c r="KU599" s="23"/>
      <c r="KV599" s="23"/>
      <c r="KW599" s="23"/>
      <c r="KX599" s="23"/>
      <c r="KY599" s="23"/>
      <c r="KZ599" s="23"/>
      <c r="LA599" s="23"/>
      <c r="LB599" s="23"/>
      <c r="LC599" s="23"/>
      <c r="LD599" s="23"/>
      <c r="LE599" s="23"/>
      <c r="LF599" s="23"/>
      <c r="LG599" s="23"/>
      <c r="LH599" s="23"/>
      <c r="LI599" s="23"/>
      <c r="LJ599" s="23"/>
      <c r="LK599" s="23"/>
      <c r="LL599" s="23"/>
      <c r="LM599" s="23"/>
      <c r="LN599" s="23"/>
      <c r="LO599" s="23"/>
    </row>
    <row r="600" spans="1:327">
      <c r="A600" s="390"/>
      <c r="B600" s="23"/>
      <c r="C600" s="391"/>
      <c r="D600" s="391"/>
      <c r="E600" s="23"/>
      <c r="F600" s="23"/>
      <c r="G600" s="392"/>
      <c r="H600" s="392"/>
      <c r="I600" s="392"/>
      <c r="J600" s="392"/>
      <c r="K600" s="392"/>
      <c r="L600" s="392"/>
      <c r="M600" s="392"/>
      <c r="N600" s="23"/>
      <c r="O600" s="39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  <c r="IL600" s="23"/>
      <c r="IM600" s="23"/>
      <c r="IN600" s="23"/>
      <c r="IO600" s="23"/>
      <c r="IP600" s="23"/>
      <c r="IQ600" s="23"/>
      <c r="IR600" s="23"/>
      <c r="IS600" s="23"/>
      <c r="IT600" s="23"/>
      <c r="IU600" s="23"/>
      <c r="IV600" s="23"/>
      <c r="IW600" s="23"/>
      <c r="IX600" s="23"/>
      <c r="IY600" s="23"/>
      <c r="IZ600" s="23"/>
      <c r="JA600" s="23"/>
      <c r="JB600" s="23"/>
      <c r="JC600" s="23"/>
      <c r="JD600" s="23"/>
      <c r="JE600" s="23"/>
      <c r="JF600" s="23"/>
      <c r="JG600" s="23"/>
      <c r="JH600" s="23"/>
      <c r="JI600" s="23"/>
      <c r="JJ600" s="23"/>
      <c r="JK600" s="23"/>
      <c r="JL600" s="23"/>
      <c r="JM600" s="23"/>
      <c r="JN600" s="23"/>
      <c r="JO600" s="23"/>
      <c r="JP600" s="23"/>
      <c r="JQ600" s="23"/>
      <c r="JR600" s="23"/>
      <c r="JS600" s="23"/>
      <c r="JT600" s="23"/>
      <c r="JU600" s="23"/>
      <c r="JV600" s="23"/>
      <c r="JW600" s="23"/>
      <c r="JX600" s="23"/>
      <c r="JY600" s="23"/>
      <c r="JZ600" s="23"/>
      <c r="KA600" s="23"/>
      <c r="KB600" s="23"/>
      <c r="KC600" s="23"/>
      <c r="KD600" s="23"/>
      <c r="KE600" s="23"/>
      <c r="KF600" s="23"/>
      <c r="KG600" s="23"/>
      <c r="KH600" s="23"/>
      <c r="KI600" s="23"/>
      <c r="KJ600" s="23"/>
      <c r="KK600" s="23"/>
      <c r="KL600" s="23"/>
      <c r="KM600" s="23"/>
      <c r="KN600" s="23"/>
      <c r="KO600" s="23"/>
      <c r="KP600" s="23"/>
      <c r="KQ600" s="23"/>
      <c r="KR600" s="23"/>
      <c r="KS600" s="23"/>
      <c r="KT600" s="23"/>
      <c r="KU600" s="23"/>
      <c r="KV600" s="23"/>
      <c r="KW600" s="23"/>
      <c r="KX600" s="23"/>
      <c r="KY600" s="23"/>
      <c r="KZ600" s="23"/>
      <c r="LA600" s="23"/>
      <c r="LB600" s="23"/>
      <c r="LC600" s="23"/>
      <c r="LD600" s="23"/>
      <c r="LE600" s="23"/>
      <c r="LF600" s="23"/>
      <c r="LG600" s="23"/>
      <c r="LH600" s="23"/>
      <c r="LI600" s="23"/>
      <c r="LJ600" s="23"/>
      <c r="LK600" s="23"/>
      <c r="LL600" s="23"/>
      <c r="LM600" s="23"/>
      <c r="LN600" s="23"/>
      <c r="LO600" s="23"/>
    </row>
    <row r="601" spans="1:327">
      <c r="A601" s="390"/>
      <c r="B601" s="23"/>
      <c r="C601" s="391"/>
      <c r="D601" s="391"/>
      <c r="E601" s="23"/>
      <c r="F601" s="23"/>
      <c r="G601" s="392"/>
      <c r="H601" s="392"/>
      <c r="I601" s="392"/>
      <c r="J601" s="392"/>
      <c r="K601" s="392"/>
      <c r="L601" s="392"/>
      <c r="M601" s="392"/>
      <c r="N601" s="23"/>
      <c r="O601" s="39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  <c r="IL601" s="23"/>
      <c r="IM601" s="23"/>
      <c r="IN601" s="23"/>
      <c r="IO601" s="23"/>
      <c r="IP601" s="23"/>
      <c r="IQ601" s="23"/>
      <c r="IR601" s="23"/>
      <c r="IS601" s="23"/>
      <c r="IT601" s="23"/>
      <c r="IU601" s="23"/>
      <c r="IV601" s="23"/>
      <c r="IW601" s="23"/>
      <c r="IX601" s="23"/>
      <c r="IY601" s="23"/>
      <c r="IZ601" s="23"/>
      <c r="JA601" s="23"/>
      <c r="JB601" s="23"/>
      <c r="JC601" s="23"/>
      <c r="JD601" s="23"/>
      <c r="JE601" s="23"/>
      <c r="JF601" s="23"/>
      <c r="JG601" s="23"/>
      <c r="JH601" s="23"/>
      <c r="JI601" s="23"/>
      <c r="JJ601" s="23"/>
      <c r="JK601" s="23"/>
      <c r="JL601" s="23"/>
      <c r="JM601" s="23"/>
      <c r="JN601" s="23"/>
      <c r="JO601" s="23"/>
      <c r="JP601" s="23"/>
      <c r="JQ601" s="23"/>
      <c r="JR601" s="23"/>
      <c r="JS601" s="23"/>
      <c r="JT601" s="23"/>
      <c r="JU601" s="23"/>
      <c r="JV601" s="23"/>
      <c r="JW601" s="23"/>
      <c r="JX601" s="23"/>
      <c r="JY601" s="23"/>
      <c r="JZ601" s="23"/>
      <c r="KA601" s="23"/>
      <c r="KB601" s="23"/>
      <c r="KC601" s="23"/>
      <c r="KD601" s="23"/>
      <c r="KE601" s="23"/>
      <c r="KF601" s="23"/>
      <c r="KG601" s="23"/>
      <c r="KH601" s="23"/>
      <c r="KI601" s="23"/>
      <c r="KJ601" s="23"/>
      <c r="KK601" s="23"/>
      <c r="KL601" s="23"/>
      <c r="KM601" s="23"/>
      <c r="KN601" s="23"/>
      <c r="KO601" s="23"/>
      <c r="KP601" s="23"/>
      <c r="KQ601" s="23"/>
      <c r="KR601" s="23"/>
      <c r="KS601" s="23"/>
      <c r="KT601" s="23"/>
      <c r="KU601" s="23"/>
      <c r="KV601" s="23"/>
      <c r="KW601" s="23"/>
      <c r="KX601" s="23"/>
      <c r="KY601" s="23"/>
      <c r="KZ601" s="23"/>
      <c r="LA601" s="23"/>
      <c r="LB601" s="23"/>
      <c r="LC601" s="23"/>
      <c r="LD601" s="23"/>
      <c r="LE601" s="23"/>
      <c r="LF601" s="23"/>
      <c r="LG601" s="23"/>
      <c r="LH601" s="23"/>
      <c r="LI601" s="23"/>
      <c r="LJ601" s="23"/>
      <c r="LK601" s="23"/>
      <c r="LL601" s="23"/>
      <c r="LM601" s="23"/>
      <c r="LN601" s="23"/>
      <c r="LO601" s="23"/>
    </row>
    <row r="602" spans="1:327">
      <c r="A602" s="390"/>
      <c r="B602" s="23"/>
      <c r="C602" s="391"/>
      <c r="D602" s="391"/>
      <c r="E602" s="23"/>
      <c r="F602" s="23"/>
      <c r="G602" s="392"/>
      <c r="H602" s="392"/>
      <c r="I602" s="392"/>
      <c r="J602" s="392"/>
      <c r="K602" s="392"/>
      <c r="L602" s="392"/>
      <c r="M602" s="392"/>
      <c r="N602" s="23"/>
      <c r="O602" s="39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  <c r="IL602" s="23"/>
      <c r="IM602" s="23"/>
      <c r="IN602" s="23"/>
      <c r="IO602" s="23"/>
      <c r="IP602" s="23"/>
      <c r="IQ602" s="23"/>
      <c r="IR602" s="23"/>
      <c r="IS602" s="23"/>
      <c r="IT602" s="23"/>
      <c r="IU602" s="23"/>
      <c r="IV602" s="23"/>
      <c r="IW602" s="23"/>
      <c r="IX602" s="23"/>
      <c r="IY602" s="23"/>
      <c r="IZ602" s="23"/>
      <c r="JA602" s="23"/>
      <c r="JB602" s="23"/>
      <c r="JC602" s="23"/>
      <c r="JD602" s="23"/>
      <c r="JE602" s="23"/>
      <c r="JF602" s="23"/>
      <c r="JG602" s="23"/>
      <c r="JH602" s="23"/>
      <c r="JI602" s="23"/>
      <c r="JJ602" s="23"/>
      <c r="JK602" s="23"/>
      <c r="JL602" s="23"/>
      <c r="JM602" s="23"/>
      <c r="JN602" s="23"/>
      <c r="JO602" s="23"/>
      <c r="JP602" s="23"/>
      <c r="JQ602" s="23"/>
      <c r="JR602" s="23"/>
      <c r="JS602" s="23"/>
      <c r="JT602" s="23"/>
      <c r="JU602" s="23"/>
      <c r="JV602" s="23"/>
      <c r="JW602" s="23"/>
      <c r="JX602" s="23"/>
      <c r="JY602" s="23"/>
      <c r="JZ602" s="23"/>
      <c r="KA602" s="23"/>
      <c r="KB602" s="23"/>
      <c r="KC602" s="23"/>
      <c r="KD602" s="23"/>
      <c r="KE602" s="23"/>
      <c r="KF602" s="23"/>
      <c r="KG602" s="23"/>
      <c r="KH602" s="23"/>
      <c r="KI602" s="23"/>
      <c r="KJ602" s="23"/>
      <c r="KK602" s="23"/>
      <c r="KL602" s="23"/>
      <c r="KM602" s="23"/>
      <c r="KN602" s="23"/>
      <c r="KO602" s="23"/>
      <c r="KP602" s="23"/>
      <c r="KQ602" s="23"/>
      <c r="KR602" s="23"/>
      <c r="KS602" s="23"/>
      <c r="KT602" s="23"/>
      <c r="KU602" s="23"/>
      <c r="KV602" s="23"/>
      <c r="KW602" s="23"/>
      <c r="KX602" s="23"/>
      <c r="KY602" s="23"/>
      <c r="KZ602" s="23"/>
      <c r="LA602" s="23"/>
      <c r="LB602" s="23"/>
      <c r="LC602" s="23"/>
      <c r="LD602" s="23"/>
      <c r="LE602" s="23"/>
      <c r="LF602" s="23"/>
      <c r="LG602" s="23"/>
      <c r="LH602" s="23"/>
      <c r="LI602" s="23"/>
      <c r="LJ602" s="23"/>
      <c r="LK602" s="23"/>
      <c r="LL602" s="23"/>
      <c r="LM602" s="23"/>
      <c r="LN602" s="23"/>
      <c r="LO602" s="23"/>
    </row>
    <row r="603" spans="1:327">
      <c r="A603" s="390"/>
      <c r="B603" s="23"/>
      <c r="C603" s="391"/>
      <c r="D603" s="391"/>
      <c r="E603" s="23"/>
      <c r="F603" s="23"/>
      <c r="G603" s="392"/>
      <c r="H603" s="392"/>
      <c r="I603" s="392"/>
      <c r="J603" s="392"/>
      <c r="K603" s="392"/>
      <c r="L603" s="392"/>
      <c r="M603" s="392"/>
      <c r="N603" s="23"/>
      <c r="O603" s="39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  <c r="IL603" s="23"/>
      <c r="IM603" s="23"/>
      <c r="IN603" s="23"/>
      <c r="IO603" s="23"/>
      <c r="IP603" s="23"/>
      <c r="IQ603" s="23"/>
      <c r="IR603" s="23"/>
      <c r="IS603" s="23"/>
      <c r="IT603" s="23"/>
      <c r="IU603" s="23"/>
      <c r="IV603" s="23"/>
      <c r="IW603" s="23"/>
      <c r="IX603" s="23"/>
      <c r="IY603" s="23"/>
      <c r="IZ603" s="23"/>
      <c r="JA603" s="23"/>
      <c r="JB603" s="23"/>
      <c r="JC603" s="23"/>
      <c r="JD603" s="23"/>
      <c r="JE603" s="23"/>
      <c r="JF603" s="23"/>
      <c r="JG603" s="23"/>
      <c r="JH603" s="23"/>
      <c r="JI603" s="23"/>
      <c r="JJ603" s="23"/>
      <c r="JK603" s="23"/>
      <c r="JL603" s="23"/>
      <c r="JM603" s="23"/>
      <c r="JN603" s="23"/>
      <c r="JO603" s="23"/>
      <c r="JP603" s="23"/>
      <c r="JQ603" s="23"/>
      <c r="JR603" s="23"/>
      <c r="JS603" s="23"/>
      <c r="JT603" s="23"/>
      <c r="JU603" s="23"/>
      <c r="JV603" s="23"/>
      <c r="JW603" s="23"/>
      <c r="JX603" s="23"/>
      <c r="JY603" s="23"/>
      <c r="JZ603" s="23"/>
      <c r="KA603" s="23"/>
      <c r="KB603" s="23"/>
      <c r="KC603" s="23"/>
      <c r="KD603" s="23"/>
      <c r="KE603" s="23"/>
      <c r="KF603" s="23"/>
      <c r="KG603" s="23"/>
      <c r="KH603" s="23"/>
      <c r="KI603" s="23"/>
      <c r="KJ603" s="23"/>
      <c r="KK603" s="23"/>
      <c r="KL603" s="23"/>
      <c r="KM603" s="23"/>
      <c r="KN603" s="23"/>
      <c r="KO603" s="23"/>
      <c r="KP603" s="23"/>
      <c r="KQ603" s="23"/>
      <c r="KR603" s="23"/>
      <c r="KS603" s="23"/>
      <c r="KT603" s="23"/>
      <c r="KU603" s="23"/>
      <c r="KV603" s="23"/>
      <c r="KW603" s="23"/>
      <c r="KX603" s="23"/>
      <c r="KY603" s="23"/>
      <c r="KZ603" s="23"/>
      <c r="LA603" s="23"/>
      <c r="LB603" s="23"/>
      <c r="LC603" s="23"/>
      <c r="LD603" s="23"/>
      <c r="LE603" s="23"/>
      <c r="LF603" s="23"/>
      <c r="LG603" s="23"/>
      <c r="LH603" s="23"/>
      <c r="LI603" s="23"/>
      <c r="LJ603" s="23"/>
      <c r="LK603" s="23"/>
      <c r="LL603" s="23"/>
      <c r="LM603" s="23"/>
      <c r="LN603" s="23"/>
      <c r="LO603" s="23"/>
    </row>
    <row r="604" spans="1:327">
      <c r="A604" s="390"/>
      <c r="B604" s="23"/>
      <c r="C604" s="391"/>
      <c r="D604" s="391"/>
      <c r="E604" s="23"/>
      <c r="F604" s="23"/>
      <c r="G604" s="392"/>
      <c r="H604" s="392"/>
      <c r="I604" s="392"/>
      <c r="J604" s="392"/>
      <c r="K604" s="392"/>
      <c r="L604" s="392"/>
      <c r="M604" s="392"/>
      <c r="N604" s="23"/>
      <c r="O604" s="39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  <c r="IL604" s="23"/>
      <c r="IM604" s="23"/>
      <c r="IN604" s="23"/>
      <c r="IO604" s="23"/>
      <c r="IP604" s="23"/>
      <c r="IQ604" s="23"/>
      <c r="IR604" s="23"/>
      <c r="IS604" s="23"/>
      <c r="IT604" s="23"/>
      <c r="IU604" s="23"/>
      <c r="IV604" s="23"/>
      <c r="IW604" s="23"/>
      <c r="IX604" s="23"/>
      <c r="IY604" s="23"/>
      <c r="IZ604" s="23"/>
      <c r="JA604" s="23"/>
      <c r="JB604" s="23"/>
      <c r="JC604" s="23"/>
      <c r="JD604" s="23"/>
      <c r="JE604" s="23"/>
      <c r="JF604" s="23"/>
      <c r="JG604" s="23"/>
      <c r="JH604" s="23"/>
      <c r="JI604" s="23"/>
      <c r="JJ604" s="23"/>
      <c r="JK604" s="23"/>
      <c r="JL604" s="23"/>
      <c r="JM604" s="23"/>
      <c r="JN604" s="23"/>
      <c r="JO604" s="23"/>
      <c r="JP604" s="23"/>
      <c r="JQ604" s="23"/>
      <c r="JR604" s="23"/>
      <c r="JS604" s="23"/>
      <c r="JT604" s="23"/>
      <c r="JU604" s="23"/>
      <c r="JV604" s="23"/>
      <c r="JW604" s="23"/>
      <c r="JX604" s="23"/>
      <c r="JY604" s="23"/>
      <c r="JZ604" s="23"/>
      <c r="KA604" s="23"/>
      <c r="KB604" s="23"/>
      <c r="KC604" s="23"/>
      <c r="KD604" s="23"/>
      <c r="KE604" s="23"/>
      <c r="KF604" s="23"/>
      <c r="KG604" s="23"/>
      <c r="KH604" s="23"/>
      <c r="KI604" s="23"/>
      <c r="KJ604" s="23"/>
      <c r="KK604" s="23"/>
      <c r="KL604" s="23"/>
      <c r="KM604" s="23"/>
      <c r="KN604" s="23"/>
      <c r="KO604" s="23"/>
      <c r="KP604" s="23"/>
      <c r="KQ604" s="23"/>
      <c r="KR604" s="23"/>
      <c r="KS604" s="23"/>
      <c r="KT604" s="23"/>
      <c r="KU604" s="23"/>
      <c r="KV604" s="23"/>
      <c r="KW604" s="23"/>
      <c r="KX604" s="23"/>
      <c r="KY604" s="23"/>
      <c r="KZ604" s="23"/>
      <c r="LA604" s="23"/>
      <c r="LB604" s="23"/>
      <c r="LC604" s="23"/>
      <c r="LD604" s="23"/>
      <c r="LE604" s="23"/>
      <c r="LF604" s="23"/>
      <c r="LG604" s="23"/>
      <c r="LH604" s="23"/>
      <c r="LI604" s="23"/>
      <c r="LJ604" s="23"/>
      <c r="LK604" s="23"/>
      <c r="LL604" s="23"/>
      <c r="LM604" s="23"/>
      <c r="LN604" s="23"/>
      <c r="LO604" s="23"/>
    </row>
    <row r="605" spans="1:327">
      <c r="A605" s="390"/>
      <c r="B605" s="23"/>
      <c r="C605" s="391"/>
      <c r="D605" s="391"/>
      <c r="E605" s="23"/>
      <c r="F605" s="23"/>
      <c r="G605" s="392"/>
      <c r="H605" s="392"/>
      <c r="I605" s="392"/>
      <c r="J605" s="392"/>
      <c r="K605" s="392"/>
      <c r="L605" s="392"/>
      <c r="M605" s="392"/>
      <c r="N605" s="23"/>
      <c r="O605" s="39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  <c r="IL605" s="23"/>
      <c r="IM605" s="23"/>
      <c r="IN605" s="23"/>
      <c r="IO605" s="23"/>
      <c r="IP605" s="23"/>
      <c r="IQ605" s="23"/>
      <c r="IR605" s="23"/>
      <c r="IS605" s="23"/>
      <c r="IT605" s="23"/>
      <c r="IU605" s="23"/>
      <c r="IV605" s="23"/>
      <c r="IW605" s="23"/>
      <c r="IX605" s="23"/>
      <c r="IY605" s="23"/>
      <c r="IZ605" s="23"/>
      <c r="JA605" s="23"/>
      <c r="JB605" s="23"/>
      <c r="JC605" s="23"/>
      <c r="JD605" s="23"/>
      <c r="JE605" s="23"/>
      <c r="JF605" s="23"/>
      <c r="JG605" s="23"/>
      <c r="JH605" s="23"/>
      <c r="JI605" s="23"/>
      <c r="JJ605" s="23"/>
      <c r="JK605" s="23"/>
      <c r="JL605" s="23"/>
      <c r="JM605" s="23"/>
      <c r="JN605" s="23"/>
      <c r="JO605" s="23"/>
      <c r="JP605" s="23"/>
      <c r="JQ605" s="23"/>
      <c r="JR605" s="23"/>
      <c r="JS605" s="23"/>
      <c r="JT605" s="23"/>
      <c r="JU605" s="23"/>
      <c r="JV605" s="23"/>
      <c r="JW605" s="23"/>
      <c r="JX605" s="23"/>
      <c r="JY605" s="23"/>
      <c r="JZ605" s="23"/>
      <c r="KA605" s="23"/>
      <c r="KB605" s="23"/>
      <c r="KC605" s="23"/>
      <c r="KD605" s="23"/>
      <c r="KE605" s="23"/>
      <c r="KF605" s="23"/>
      <c r="KG605" s="23"/>
      <c r="KH605" s="23"/>
      <c r="KI605" s="23"/>
      <c r="KJ605" s="23"/>
      <c r="KK605" s="23"/>
      <c r="KL605" s="23"/>
      <c r="KM605" s="23"/>
      <c r="KN605" s="23"/>
      <c r="KO605" s="23"/>
      <c r="KP605" s="23"/>
      <c r="KQ605" s="23"/>
      <c r="KR605" s="23"/>
      <c r="KS605" s="23"/>
      <c r="KT605" s="23"/>
      <c r="KU605" s="23"/>
      <c r="KV605" s="23"/>
      <c r="KW605" s="23"/>
      <c r="KX605" s="23"/>
      <c r="KY605" s="23"/>
      <c r="KZ605" s="23"/>
      <c r="LA605" s="23"/>
      <c r="LB605" s="23"/>
      <c r="LC605" s="23"/>
      <c r="LD605" s="23"/>
      <c r="LE605" s="23"/>
      <c r="LF605" s="23"/>
      <c r="LG605" s="23"/>
      <c r="LH605" s="23"/>
      <c r="LI605" s="23"/>
      <c r="LJ605" s="23"/>
      <c r="LK605" s="23"/>
      <c r="LL605" s="23"/>
      <c r="LM605" s="23"/>
      <c r="LN605" s="23"/>
      <c r="LO605" s="23"/>
    </row>
    <row r="606" spans="1:327">
      <c r="A606" s="390"/>
      <c r="B606" s="23"/>
      <c r="C606" s="391"/>
      <c r="D606" s="391"/>
      <c r="E606" s="23"/>
      <c r="F606" s="23"/>
      <c r="G606" s="392"/>
      <c r="H606" s="392"/>
      <c r="I606" s="392"/>
      <c r="J606" s="392"/>
      <c r="K606" s="392"/>
      <c r="L606" s="392"/>
      <c r="M606" s="392"/>
      <c r="N606" s="23"/>
      <c r="O606" s="39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  <c r="IL606" s="23"/>
      <c r="IM606" s="23"/>
      <c r="IN606" s="23"/>
      <c r="IO606" s="23"/>
      <c r="IP606" s="23"/>
      <c r="IQ606" s="23"/>
      <c r="IR606" s="23"/>
      <c r="IS606" s="23"/>
      <c r="IT606" s="23"/>
      <c r="IU606" s="23"/>
      <c r="IV606" s="23"/>
      <c r="IW606" s="23"/>
      <c r="IX606" s="23"/>
      <c r="IY606" s="23"/>
      <c r="IZ606" s="23"/>
      <c r="JA606" s="23"/>
      <c r="JB606" s="23"/>
      <c r="JC606" s="23"/>
      <c r="JD606" s="23"/>
      <c r="JE606" s="23"/>
      <c r="JF606" s="23"/>
      <c r="JG606" s="23"/>
      <c r="JH606" s="23"/>
      <c r="JI606" s="23"/>
      <c r="JJ606" s="23"/>
      <c r="JK606" s="23"/>
      <c r="JL606" s="23"/>
      <c r="JM606" s="23"/>
      <c r="JN606" s="23"/>
      <c r="JO606" s="23"/>
      <c r="JP606" s="23"/>
      <c r="JQ606" s="23"/>
      <c r="JR606" s="23"/>
      <c r="JS606" s="23"/>
      <c r="JT606" s="23"/>
      <c r="JU606" s="23"/>
      <c r="JV606" s="23"/>
      <c r="JW606" s="23"/>
      <c r="JX606" s="23"/>
      <c r="JY606" s="23"/>
      <c r="JZ606" s="23"/>
      <c r="KA606" s="23"/>
      <c r="KB606" s="23"/>
      <c r="KC606" s="23"/>
      <c r="KD606" s="23"/>
      <c r="KE606" s="23"/>
      <c r="KF606" s="23"/>
      <c r="KG606" s="23"/>
      <c r="KH606" s="23"/>
      <c r="KI606" s="23"/>
      <c r="KJ606" s="23"/>
      <c r="KK606" s="23"/>
      <c r="KL606" s="23"/>
      <c r="KM606" s="23"/>
      <c r="KN606" s="23"/>
      <c r="KO606" s="23"/>
      <c r="KP606" s="23"/>
      <c r="KQ606" s="23"/>
      <c r="KR606" s="23"/>
      <c r="KS606" s="23"/>
      <c r="KT606" s="23"/>
      <c r="KU606" s="23"/>
      <c r="KV606" s="23"/>
      <c r="KW606" s="23"/>
      <c r="KX606" s="23"/>
      <c r="KY606" s="23"/>
      <c r="KZ606" s="23"/>
      <c r="LA606" s="23"/>
      <c r="LB606" s="23"/>
      <c r="LC606" s="23"/>
      <c r="LD606" s="23"/>
      <c r="LE606" s="23"/>
      <c r="LF606" s="23"/>
      <c r="LG606" s="23"/>
      <c r="LH606" s="23"/>
      <c r="LI606" s="23"/>
      <c r="LJ606" s="23"/>
      <c r="LK606" s="23"/>
      <c r="LL606" s="23"/>
      <c r="LM606" s="23"/>
      <c r="LN606" s="23"/>
      <c r="LO606" s="23"/>
    </row>
    <row r="607" spans="1:327">
      <c r="A607" s="390"/>
      <c r="B607" s="23"/>
      <c r="C607" s="391"/>
      <c r="D607" s="391"/>
      <c r="E607" s="23"/>
      <c r="F607" s="23"/>
      <c r="G607" s="392"/>
      <c r="H607" s="392"/>
      <c r="I607" s="392"/>
      <c r="J607" s="392"/>
      <c r="K607" s="392"/>
      <c r="L607" s="392"/>
      <c r="M607" s="392"/>
      <c r="N607" s="23"/>
      <c r="O607" s="39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  <c r="IL607" s="23"/>
      <c r="IM607" s="23"/>
      <c r="IN607" s="23"/>
      <c r="IO607" s="23"/>
      <c r="IP607" s="23"/>
      <c r="IQ607" s="23"/>
      <c r="IR607" s="23"/>
      <c r="IS607" s="23"/>
      <c r="IT607" s="23"/>
      <c r="IU607" s="23"/>
      <c r="IV607" s="23"/>
      <c r="IW607" s="23"/>
      <c r="IX607" s="23"/>
      <c r="IY607" s="23"/>
      <c r="IZ607" s="23"/>
      <c r="JA607" s="23"/>
      <c r="JB607" s="23"/>
      <c r="JC607" s="23"/>
      <c r="JD607" s="23"/>
      <c r="JE607" s="23"/>
      <c r="JF607" s="23"/>
      <c r="JG607" s="23"/>
      <c r="JH607" s="23"/>
      <c r="JI607" s="23"/>
      <c r="JJ607" s="23"/>
      <c r="JK607" s="23"/>
      <c r="JL607" s="23"/>
      <c r="JM607" s="23"/>
      <c r="JN607" s="23"/>
      <c r="JO607" s="23"/>
      <c r="JP607" s="23"/>
      <c r="JQ607" s="23"/>
      <c r="JR607" s="23"/>
      <c r="JS607" s="23"/>
      <c r="JT607" s="23"/>
      <c r="JU607" s="23"/>
      <c r="JV607" s="23"/>
      <c r="JW607" s="23"/>
      <c r="JX607" s="23"/>
      <c r="JY607" s="23"/>
      <c r="JZ607" s="23"/>
      <c r="KA607" s="23"/>
      <c r="KB607" s="23"/>
      <c r="KC607" s="23"/>
      <c r="KD607" s="23"/>
      <c r="KE607" s="23"/>
      <c r="KF607" s="23"/>
      <c r="KG607" s="23"/>
      <c r="KH607" s="23"/>
      <c r="KI607" s="23"/>
      <c r="KJ607" s="23"/>
      <c r="KK607" s="23"/>
      <c r="KL607" s="23"/>
      <c r="KM607" s="23"/>
      <c r="KN607" s="23"/>
      <c r="KO607" s="23"/>
      <c r="KP607" s="23"/>
      <c r="KQ607" s="23"/>
      <c r="KR607" s="23"/>
      <c r="KS607" s="23"/>
      <c r="KT607" s="23"/>
      <c r="KU607" s="23"/>
      <c r="KV607" s="23"/>
      <c r="KW607" s="23"/>
      <c r="KX607" s="23"/>
      <c r="KY607" s="23"/>
      <c r="KZ607" s="23"/>
      <c r="LA607" s="23"/>
      <c r="LB607" s="23"/>
      <c r="LC607" s="23"/>
      <c r="LD607" s="23"/>
      <c r="LE607" s="23"/>
      <c r="LF607" s="23"/>
      <c r="LG607" s="23"/>
      <c r="LH607" s="23"/>
      <c r="LI607" s="23"/>
      <c r="LJ607" s="23"/>
      <c r="LK607" s="23"/>
      <c r="LL607" s="23"/>
      <c r="LM607" s="23"/>
      <c r="LN607" s="23"/>
      <c r="LO607" s="23"/>
    </row>
    <row r="608" spans="1:327">
      <c r="A608" s="390"/>
      <c r="B608" s="23"/>
      <c r="C608" s="391"/>
      <c r="D608" s="391"/>
      <c r="E608" s="23"/>
      <c r="F608" s="23"/>
      <c r="G608" s="392"/>
      <c r="H608" s="392"/>
      <c r="I608" s="392"/>
      <c r="J608" s="392"/>
      <c r="K608" s="392"/>
      <c r="L608" s="392"/>
      <c r="M608" s="392"/>
      <c r="N608" s="23"/>
      <c r="O608" s="39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  <c r="IL608" s="23"/>
      <c r="IM608" s="23"/>
      <c r="IN608" s="23"/>
      <c r="IO608" s="23"/>
      <c r="IP608" s="23"/>
      <c r="IQ608" s="23"/>
      <c r="IR608" s="23"/>
      <c r="IS608" s="23"/>
      <c r="IT608" s="23"/>
      <c r="IU608" s="23"/>
      <c r="IV608" s="23"/>
      <c r="IW608" s="23"/>
      <c r="IX608" s="23"/>
      <c r="IY608" s="23"/>
      <c r="IZ608" s="23"/>
      <c r="JA608" s="23"/>
      <c r="JB608" s="23"/>
      <c r="JC608" s="23"/>
      <c r="JD608" s="23"/>
      <c r="JE608" s="23"/>
      <c r="JF608" s="23"/>
      <c r="JG608" s="23"/>
      <c r="JH608" s="23"/>
      <c r="JI608" s="23"/>
      <c r="JJ608" s="23"/>
      <c r="JK608" s="23"/>
      <c r="JL608" s="23"/>
      <c r="JM608" s="23"/>
      <c r="JN608" s="23"/>
      <c r="JO608" s="23"/>
      <c r="JP608" s="23"/>
      <c r="JQ608" s="23"/>
      <c r="JR608" s="23"/>
      <c r="JS608" s="23"/>
      <c r="JT608" s="23"/>
      <c r="JU608" s="23"/>
      <c r="JV608" s="23"/>
      <c r="JW608" s="23"/>
      <c r="JX608" s="23"/>
      <c r="JY608" s="23"/>
      <c r="JZ608" s="23"/>
      <c r="KA608" s="23"/>
      <c r="KB608" s="23"/>
      <c r="KC608" s="23"/>
      <c r="KD608" s="23"/>
      <c r="KE608" s="23"/>
      <c r="KF608" s="23"/>
      <c r="KG608" s="23"/>
      <c r="KH608" s="23"/>
      <c r="KI608" s="23"/>
      <c r="KJ608" s="23"/>
      <c r="KK608" s="23"/>
      <c r="KL608" s="23"/>
      <c r="KM608" s="23"/>
      <c r="KN608" s="23"/>
      <c r="KO608" s="23"/>
      <c r="KP608" s="23"/>
      <c r="KQ608" s="23"/>
      <c r="KR608" s="23"/>
      <c r="KS608" s="23"/>
      <c r="KT608" s="23"/>
      <c r="KU608" s="23"/>
      <c r="KV608" s="23"/>
      <c r="KW608" s="23"/>
      <c r="KX608" s="23"/>
      <c r="KY608" s="23"/>
      <c r="KZ608" s="23"/>
      <c r="LA608" s="23"/>
      <c r="LB608" s="23"/>
      <c r="LC608" s="23"/>
      <c r="LD608" s="23"/>
      <c r="LE608" s="23"/>
      <c r="LF608" s="23"/>
      <c r="LG608" s="23"/>
      <c r="LH608" s="23"/>
      <c r="LI608" s="23"/>
      <c r="LJ608" s="23"/>
      <c r="LK608" s="23"/>
      <c r="LL608" s="23"/>
      <c r="LM608" s="23"/>
      <c r="LN608" s="23"/>
      <c r="LO608" s="23"/>
    </row>
    <row r="609" spans="1:327">
      <c r="A609" s="390"/>
      <c r="B609" s="23"/>
      <c r="C609" s="391"/>
      <c r="D609" s="391"/>
      <c r="E609" s="23"/>
      <c r="F609" s="23"/>
      <c r="G609" s="392"/>
      <c r="H609" s="392"/>
      <c r="I609" s="392"/>
      <c r="J609" s="392"/>
      <c r="K609" s="392"/>
      <c r="L609" s="392"/>
      <c r="M609" s="392"/>
      <c r="N609" s="23"/>
      <c r="O609" s="39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  <c r="IL609" s="23"/>
      <c r="IM609" s="23"/>
      <c r="IN609" s="23"/>
      <c r="IO609" s="23"/>
      <c r="IP609" s="23"/>
      <c r="IQ609" s="23"/>
      <c r="IR609" s="23"/>
      <c r="IS609" s="23"/>
      <c r="IT609" s="23"/>
      <c r="IU609" s="23"/>
      <c r="IV609" s="23"/>
      <c r="IW609" s="23"/>
      <c r="IX609" s="23"/>
      <c r="IY609" s="23"/>
      <c r="IZ609" s="23"/>
      <c r="JA609" s="23"/>
      <c r="JB609" s="23"/>
      <c r="JC609" s="23"/>
      <c r="JD609" s="23"/>
      <c r="JE609" s="23"/>
      <c r="JF609" s="23"/>
      <c r="JG609" s="23"/>
      <c r="JH609" s="23"/>
      <c r="JI609" s="23"/>
      <c r="JJ609" s="23"/>
      <c r="JK609" s="23"/>
      <c r="JL609" s="23"/>
      <c r="JM609" s="23"/>
      <c r="JN609" s="23"/>
      <c r="JO609" s="23"/>
      <c r="JP609" s="23"/>
      <c r="JQ609" s="23"/>
      <c r="JR609" s="23"/>
      <c r="JS609" s="23"/>
      <c r="JT609" s="23"/>
      <c r="JU609" s="23"/>
      <c r="JV609" s="23"/>
      <c r="JW609" s="23"/>
      <c r="JX609" s="23"/>
      <c r="JY609" s="23"/>
      <c r="JZ609" s="23"/>
      <c r="KA609" s="23"/>
      <c r="KB609" s="23"/>
      <c r="KC609" s="23"/>
      <c r="KD609" s="23"/>
      <c r="KE609" s="23"/>
      <c r="KF609" s="23"/>
      <c r="KG609" s="23"/>
      <c r="KH609" s="23"/>
      <c r="KI609" s="23"/>
      <c r="KJ609" s="23"/>
      <c r="KK609" s="23"/>
      <c r="KL609" s="23"/>
      <c r="KM609" s="23"/>
      <c r="KN609" s="23"/>
      <c r="KO609" s="23"/>
      <c r="KP609" s="23"/>
      <c r="KQ609" s="23"/>
      <c r="KR609" s="23"/>
      <c r="KS609" s="23"/>
      <c r="KT609" s="23"/>
      <c r="KU609" s="23"/>
      <c r="KV609" s="23"/>
      <c r="KW609" s="23"/>
      <c r="KX609" s="23"/>
      <c r="KY609" s="23"/>
      <c r="KZ609" s="23"/>
      <c r="LA609" s="23"/>
      <c r="LB609" s="23"/>
      <c r="LC609" s="23"/>
      <c r="LD609" s="23"/>
      <c r="LE609" s="23"/>
      <c r="LF609" s="23"/>
      <c r="LG609" s="23"/>
      <c r="LH609" s="23"/>
      <c r="LI609" s="23"/>
      <c r="LJ609" s="23"/>
      <c r="LK609" s="23"/>
      <c r="LL609" s="23"/>
      <c r="LM609" s="23"/>
      <c r="LN609" s="23"/>
      <c r="LO609" s="23"/>
    </row>
    <row r="610" spans="1:327">
      <c r="A610" s="390"/>
      <c r="B610" s="23"/>
      <c r="C610" s="391"/>
      <c r="D610" s="391"/>
      <c r="E610" s="23"/>
      <c r="F610" s="23"/>
      <c r="G610" s="392"/>
      <c r="H610" s="392"/>
      <c r="I610" s="392"/>
      <c r="J610" s="392"/>
      <c r="K610" s="392"/>
      <c r="L610" s="392"/>
      <c r="M610" s="392"/>
      <c r="N610" s="23"/>
      <c r="O610" s="39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  <c r="IL610" s="23"/>
      <c r="IM610" s="23"/>
      <c r="IN610" s="23"/>
      <c r="IO610" s="23"/>
      <c r="IP610" s="23"/>
      <c r="IQ610" s="23"/>
      <c r="IR610" s="23"/>
      <c r="IS610" s="23"/>
      <c r="IT610" s="23"/>
      <c r="IU610" s="23"/>
      <c r="IV610" s="23"/>
      <c r="IW610" s="23"/>
      <c r="IX610" s="23"/>
      <c r="IY610" s="23"/>
      <c r="IZ610" s="23"/>
      <c r="JA610" s="23"/>
      <c r="JB610" s="23"/>
      <c r="JC610" s="23"/>
      <c r="JD610" s="23"/>
      <c r="JE610" s="23"/>
      <c r="JF610" s="23"/>
      <c r="JG610" s="23"/>
      <c r="JH610" s="23"/>
      <c r="JI610" s="23"/>
      <c r="JJ610" s="23"/>
      <c r="JK610" s="23"/>
      <c r="JL610" s="23"/>
      <c r="JM610" s="23"/>
      <c r="JN610" s="23"/>
      <c r="JO610" s="23"/>
      <c r="JP610" s="23"/>
      <c r="JQ610" s="23"/>
      <c r="JR610" s="23"/>
      <c r="JS610" s="23"/>
      <c r="JT610" s="23"/>
      <c r="JU610" s="23"/>
      <c r="JV610" s="23"/>
      <c r="JW610" s="23"/>
      <c r="JX610" s="23"/>
      <c r="JY610" s="23"/>
      <c r="JZ610" s="23"/>
      <c r="KA610" s="23"/>
      <c r="KB610" s="23"/>
      <c r="KC610" s="23"/>
      <c r="KD610" s="23"/>
      <c r="KE610" s="23"/>
      <c r="KF610" s="23"/>
      <c r="KG610" s="23"/>
      <c r="KH610" s="23"/>
      <c r="KI610" s="23"/>
      <c r="KJ610" s="23"/>
      <c r="KK610" s="23"/>
      <c r="KL610" s="23"/>
      <c r="KM610" s="23"/>
      <c r="KN610" s="23"/>
      <c r="KO610" s="23"/>
      <c r="KP610" s="23"/>
      <c r="KQ610" s="23"/>
      <c r="KR610" s="23"/>
      <c r="KS610" s="23"/>
      <c r="KT610" s="23"/>
      <c r="KU610" s="23"/>
      <c r="KV610" s="23"/>
      <c r="KW610" s="23"/>
      <c r="KX610" s="23"/>
      <c r="KY610" s="23"/>
      <c r="KZ610" s="23"/>
      <c r="LA610" s="23"/>
      <c r="LB610" s="23"/>
      <c r="LC610" s="23"/>
      <c r="LD610" s="23"/>
      <c r="LE610" s="23"/>
      <c r="LF610" s="23"/>
      <c r="LG610" s="23"/>
      <c r="LH610" s="23"/>
      <c r="LI610" s="23"/>
      <c r="LJ610" s="23"/>
      <c r="LK610" s="23"/>
      <c r="LL610" s="23"/>
      <c r="LM610" s="23"/>
      <c r="LN610" s="23"/>
      <c r="LO610" s="23"/>
    </row>
    <row r="611" spans="1:327">
      <c r="A611" s="390"/>
      <c r="B611" s="23"/>
      <c r="C611" s="391"/>
      <c r="D611" s="391"/>
      <c r="E611" s="23"/>
      <c r="F611" s="23"/>
      <c r="G611" s="392"/>
      <c r="H611" s="392"/>
      <c r="I611" s="392"/>
      <c r="J611" s="392"/>
      <c r="K611" s="392"/>
      <c r="L611" s="392"/>
      <c r="M611" s="392"/>
      <c r="N611" s="23"/>
      <c r="O611" s="39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  <c r="IL611" s="23"/>
      <c r="IM611" s="23"/>
      <c r="IN611" s="23"/>
      <c r="IO611" s="23"/>
      <c r="IP611" s="23"/>
      <c r="IQ611" s="23"/>
      <c r="IR611" s="23"/>
      <c r="IS611" s="23"/>
      <c r="IT611" s="23"/>
      <c r="IU611" s="23"/>
      <c r="IV611" s="23"/>
      <c r="IW611" s="23"/>
      <c r="IX611" s="23"/>
      <c r="IY611" s="23"/>
      <c r="IZ611" s="23"/>
      <c r="JA611" s="23"/>
      <c r="JB611" s="23"/>
      <c r="JC611" s="23"/>
      <c r="JD611" s="23"/>
      <c r="JE611" s="23"/>
      <c r="JF611" s="23"/>
      <c r="JG611" s="23"/>
      <c r="JH611" s="23"/>
      <c r="JI611" s="23"/>
      <c r="JJ611" s="23"/>
      <c r="JK611" s="23"/>
      <c r="JL611" s="23"/>
      <c r="JM611" s="23"/>
      <c r="JN611" s="23"/>
      <c r="JO611" s="23"/>
      <c r="JP611" s="23"/>
      <c r="JQ611" s="23"/>
      <c r="JR611" s="23"/>
      <c r="JS611" s="23"/>
      <c r="JT611" s="23"/>
      <c r="JU611" s="23"/>
      <c r="JV611" s="23"/>
      <c r="JW611" s="23"/>
      <c r="JX611" s="23"/>
      <c r="JY611" s="23"/>
      <c r="JZ611" s="23"/>
      <c r="KA611" s="23"/>
      <c r="KB611" s="23"/>
      <c r="KC611" s="23"/>
      <c r="KD611" s="23"/>
      <c r="KE611" s="23"/>
      <c r="KF611" s="23"/>
      <c r="KG611" s="23"/>
      <c r="KH611" s="23"/>
      <c r="KI611" s="23"/>
      <c r="KJ611" s="23"/>
      <c r="KK611" s="23"/>
      <c r="KL611" s="23"/>
      <c r="KM611" s="23"/>
      <c r="KN611" s="23"/>
      <c r="KO611" s="23"/>
      <c r="KP611" s="23"/>
      <c r="KQ611" s="23"/>
      <c r="KR611" s="23"/>
      <c r="KS611" s="23"/>
      <c r="KT611" s="23"/>
      <c r="KU611" s="23"/>
      <c r="KV611" s="23"/>
      <c r="KW611" s="23"/>
      <c r="KX611" s="23"/>
      <c r="KY611" s="23"/>
      <c r="KZ611" s="23"/>
      <c r="LA611" s="23"/>
      <c r="LB611" s="23"/>
      <c r="LC611" s="23"/>
      <c r="LD611" s="23"/>
      <c r="LE611" s="23"/>
      <c r="LF611" s="23"/>
      <c r="LG611" s="23"/>
      <c r="LH611" s="23"/>
      <c r="LI611" s="23"/>
      <c r="LJ611" s="23"/>
      <c r="LK611" s="23"/>
      <c r="LL611" s="23"/>
      <c r="LM611" s="23"/>
      <c r="LN611" s="23"/>
      <c r="LO611" s="23"/>
    </row>
    <row r="612" spans="1:327">
      <c r="A612" s="390"/>
      <c r="B612" s="23"/>
      <c r="C612" s="391"/>
      <c r="D612" s="391"/>
      <c r="E612" s="23"/>
      <c r="F612" s="23"/>
      <c r="G612" s="392"/>
      <c r="H612" s="392"/>
      <c r="I612" s="392"/>
      <c r="J612" s="392"/>
      <c r="K612" s="392"/>
      <c r="L612" s="392"/>
      <c r="M612" s="392"/>
      <c r="N612" s="23"/>
      <c r="O612" s="39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  <c r="IL612" s="23"/>
      <c r="IM612" s="23"/>
      <c r="IN612" s="23"/>
      <c r="IO612" s="23"/>
      <c r="IP612" s="23"/>
      <c r="IQ612" s="23"/>
      <c r="IR612" s="23"/>
      <c r="IS612" s="23"/>
      <c r="IT612" s="23"/>
      <c r="IU612" s="23"/>
      <c r="IV612" s="23"/>
      <c r="IW612" s="23"/>
      <c r="IX612" s="23"/>
      <c r="IY612" s="23"/>
      <c r="IZ612" s="23"/>
      <c r="JA612" s="23"/>
      <c r="JB612" s="23"/>
      <c r="JC612" s="23"/>
      <c r="JD612" s="23"/>
      <c r="JE612" s="23"/>
      <c r="JF612" s="23"/>
      <c r="JG612" s="23"/>
      <c r="JH612" s="23"/>
      <c r="JI612" s="23"/>
      <c r="JJ612" s="23"/>
      <c r="JK612" s="23"/>
      <c r="JL612" s="23"/>
      <c r="JM612" s="23"/>
      <c r="JN612" s="23"/>
      <c r="JO612" s="23"/>
      <c r="JP612" s="23"/>
      <c r="JQ612" s="23"/>
      <c r="JR612" s="23"/>
      <c r="JS612" s="23"/>
      <c r="JT612" s="23"/>
      <c r="JU612" s="23"/>
      <c r="JV612" s="23"/>
      <c r="JW612" s="23"/>
      <c r="JX612" s="23"/>
      <c r="JY612" s="23"/>
      <c r="JZ612" s="23"/>
      <c r="KA612" s="23"/>
      <c r="KB612" s="23"/>
      <c r="KC612" s="23"/>
      <c r="KD612" s="23"/>
      <c r="KE612" s="23"/>
      <c r="KF612" s="23"/>
      <c r="KG612" s="23"/>
      <c r="KH612" s="23"/>
      <c r="KI612" s="23"/>
      <c r="KJ612" s="23"/>
      <c r="KK612" s="23"/>
      <c r="KL612" s="23"/>
      <c r="KM612" s="23"/>
      <c r="KN612" s="23"/>
      <c r="KO612" s="23"/>
      <c r="KP612" s="23"/>
      <c r="KQ612" s="23"/>
      <c r="KR612" s="23"/>
      <c r="KS612" s="23"/>
      <c r="KT612" s="23"/>
      <c r="KU612" s="23"/>
      <c r="KV612" s="23"/>
      <c r="KW612" s="23"/>
      <c r="KX612" s="23"/>
      <c r="KY612" s="23"/>
      <c r="KZ612" s="23"/>
      <c r="LA612" s="23"/>
      <c r="LB612" s="23"/>
      <c r="LC612" s="23"/>
      <c r="LD612" s="23"/>
      <c r="LE612" s="23"/>
      <c r="LF612" s="23"/>
      <c r="LG612" s="23"/>
      <c r="LH612" s="23"/>
      <c r="LI612" s="23"/>
      <c r="LJ612" s="23"/>
      <c r="LK612" s="23"/>
      <c r="LL612" s="23"/>
      <c r="LM612" s="23"/>
      <c r="LN612" s="23"/>
      <c r="LO612" s="23"/>
    </row>
    <row r="613" spans="1:327">
      <c r="A613" s="390"/>
      <c r="B613" s="23"/>
      <c r="C613" s="391"/>
      <c r="D613" s="391"/>
      <c r="E613" s="23"/>
      <c r="F613" s="23"/>
      <c r="G613" s="392"/>
      <c r="H613" s="392"/>
      <c r="I613" s="392"/>
      <c r="J613" s="392"/>
      <c r="K613" s="392"/>
      <c r="L613" s="392"/>
      <c r="M613" s="392"/>
      <c r="N613" s="23"/>
      <c r="O613" s="39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  <c r="IL613" s="23"/>
      <c r="IM613" s="23"/>
      <c r="IN613" s="23"/>
      <c r="IO613" s="23"/>
      <c r="IP613" s="23"/>
      <c r="IQ613" s="23"/>
      <c r="IR613" s="23"/>
      <c r="IS613" s="23"/>
      <c r="IT613" s="23"/>
      <c r="IU613" s="23"/>
      <c r="IV613" s="23"/>
      <c r="IW613" s="23"/>
      <c r="IX613" s="23"/>
      <c r="IY613" s="23"/>
      <c r="IZ613" s="23"/>
      <c r="JA613" s="23"/>
      <c r="JB613" s="23"/>
      <c r="JC613" s="23"/>
      <c r="JD613" s="23"/>
      <c r="JE613" s="23"/>
      <c r="JF613" s="23"/>
      <c r="JG613" s="23"/>
      <c r="JH613" s="23"/>
      <c r="JI613" s="23"/>
      <c r="JJ613" s="23"/>
      <c r="JK613" s="23"/>
      <c r="JL613" s="23"/>
      <c r="JM613" s="23"/>
      <c r="JN613" s="23"/>
      <c r="JO613" s="23"/>
      <c r="JP613" s="23"/>
      <c r="JQ613" s="23"/>
      <c r="JR613" s="23"/>
      <c r="JS613" s="23"/>
      <c r="JT613" s="23"/>
      <c r="JU613" s="23"/>
      <c r="JV613" s="23"/>
      <c r="JW613" s="23"/>
      <c r="JX613" s="23"/>
      <c r="JY613" s="23"/>
      <c r="JZ613" s="23"/>
      <c r="KA613" s="23"/>
      <c r="KB613" s="23"/>
      <c r="KC613" s="23"/>
      <c r="KD613" s="23"/>
      <c r="KE613" s="23"/>
      <c r="KF613" s="23"/>
      <c r="KG613" s="23"/>
      <c r="KH613" s="23"/>
      <c r="KI613" s="23"/>
      <c r="KJ613" s="23"/>
      <c r="KK613" s="23"/>
      <c r="KL613" s="23"/>
      <c r="KM613" s="23"/>
      <c r="KN613" s="23"/>
      <c r="KO613" s="23"/>
      <c r="KP613" s="23"/>
      <c r="KQ613" s="23"/>
      <c r="KR613" s="23"/>
      <c r="KS613" s="23"/>
      <c r="KT613" s="23"/>
      <c r="KU613" s="23"/>
      <c r="KV613" s="23"/>
      <c r="KW613" s="23"/>
      <c r="KX613" s="23"/>
      <c r="KY613" s="23"/>
      <c r="KZ613" s="23"/>
      <c r="LA613" s="23"/>
      <c r="LB613" s="23"/>
      <c r="LC613" s="23"/>
      <c r="LD613" s="23"/>
      <c r="LE613" s="23"/>
      <c r="LF613" s="23"/>
      <c r="LG613" s="23"/>
      <c r="LH613" s="23"/>
      <c r="LI613" s="23"/>
      <c r="LJ613" s="23"/>
      <c r="LK613" s="23"/>
      <c r="LL613" s="23"/>
      <c r="LM613" s="23"/>
      <c r="LN613" s="23"/>
      <c r="LO613" s="23"/>
    </row>
    <row r="614" spans="1:327">
      <c r="A614" s="390"/>
      <c r="B614" s="23"/>
      <c r="C614" s="391"/>
      <c r="D614" s="391"/>
      <c r="E614" s="23"/>
      <c r="F614" s="23"/>
      <c r="G614" s="392"/>
      <c r="H614" s="392"/>
      <c r="I614" s="392"/>
      <c r="J614" s="392"/>
      <c r="K614" s="392"/>
      <c r="L614" s="392"/>
      <c r="M614" s="392"/>
      <c r="N614" s="23"/>
      <c r="O614" s="39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  <c r="IL614" s="23"/>
      <c r="IM614" s="23"/>
      <c r="IN614" s="23"/>
      <c r="IO614" s="23"/>
      <c r="IP614" s="23"/>
      <c r="IQ614" s="23"/>
      <c r="IR614" s="23"/>
      <c r="IS614" s="23"/>
      <c r="IT614" s="23"/>
      <c r="IU614" s="23"/>
      <c r="IV614" s="23"/>
      <c r="IW614" s="23"/>
      <c r="IX614" s="23"/>
      <c r="IY614" s="23"/>
      <c r="IZ614" s="23"/>
      <c r="JA614" s="23"/>
      <c r="JB614" s="23"/>
      <c r="JC614" s="23"/>
      <c r="JD614" s="23"/>
      <c r="JE614" s="23"/>
      <c r="JF614" s="23"/>
      <c r="JG614" s="23"/>
      <c r="JH614" s="23"/>
      <c r="JI614" s="23"/>
      <c r="JJ614" s="23"/>
      <c r="JK614" s="23"/>
      <c r="JL614" s="23"/>
      <c r="JM614" s="23"/>
      <c r="JN614" s="23"/>
      <c r="JO614" s="23"/>
      <c r="JP614" s="23"/>
      <c r="JQ614" s="23"/>
      <c r="JR614" s="23"/>
      <c r="JS614" s="23"/>
      <c r="JT614" s="23"/>
      <c r="JU614" s="23"/>
      <c r="JV614" s="23"/>
      <c r="JW614" s="23"/>
      <c r="JX614" s="23"/>
      <c r="JY614" s="23"/>
      <c r="JZ614" s="23"/>
      <c r="KA614" s="23"/>
      <c r="KB614" s="23"/>
      <c r="KC614" s="23"/>
      <c r="KD614" s="23"/>
      <c r="KE614" s="23"/>
      <c r="KF614" s="23"/>
      <c r="KG614" s="23"/>
      <c r="KH614" s="23"/>
      <c r="KI614" s="23"/>
      <c r="KJ614" s="23"/>
      <c r="KK614" s="23"/>
      <c r="KL614" s="23"/>
      <c r="KM614" s="23"/>
      <c r="KN614" s="23"/>
      <c r="KO614" s="23"/>
      <c r="KP614" s="23"/>
      <c r="KQ614" s="23"/>
      <c r="KR614" s="23"/>
      <c r="KS614" s="23"/>
      <c r="KT614" s="23"/>
      <c r="KU614" s="23"/>
      <c r="KV614" s="23"/>
      <c r="KW614" s="23"/>
      <c r="KX614" s="23"/>
      <c r="KY614" s="23"/>
      <c r="KZ614" s="23"/>
      <c r="LA614" s="23"/>
      <c r="LB614" s="23"/>
      <c r="LC614" s="23"/>
      <c r="LD614" s="23"/>
      <c r="LE614" s="23"/>
      <c r="LF614" s="23"/>
      <c r="LG614" s="23"/>
      <c r="LH614" s="23"/>
      <c r="LI614" s="23"/>
      <c r="LJ614" s="23"/>
      <c r="LK614" s="23"/>
      <c r="LL614" s="23"/>
      <c r="LM614" s="23"/>
      <c r="LN614" s="23"/>
      <c r="LO614" s="23"/>
    </row>
    <row r="615" spans="1:327">
      <c r="A615" s="390"/>
      <c r="B615" s="23"/>
      <c r="C615" s="391"/>
      <c r="D615" s="391"/>
      <c r="E615" s="23"/>
      <c r="F615" s="23"/>
      <c r="G615" s="392"/>
      <c r="H615" s="392"/>
      <c r="I615" s="392"/>
      <c r="J615" s="392"/>
      <c r="K615" s="392"/>
      <c r="L615" s="392"/>
      <c r="M615" s="392"/>
      <c r="N615" s="23"/>
      <c r="O615" s="39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  <c r="IL615" s="23"/>
      <c r="IM615" s="23"/>
      <c r="IN615" s="23"/>
      <c r="IO615" s="23"/>
      <c r="IP615" s="23"/>
      <c r="IQ615" s="23"/>
      <c r="IR615" s="23"/>
      <c r="IS615" s="23"/>
      <c r="IT615" s="23"/>
      <c r="IU615" s="23"/>
      <c r="IV615" s="23"/>
      <c r="IW615" s="23"/>
      <c r="IX615" s="23"/>
      <c r="IY615" s="23"/>
      <c r="IZ615" s="23"/>
      <c r="JA615" s="23"/>
      <c r="JB615" s="23"/>
      <c r="JC615" s="23"/>
      <c r="JD615" s="23"/>
      <c r="JE615" s="23"/>
      <c r="JF615" s="23"/>
      <c r="JG615" s="23"/>
      <c r="JH615" s="23"/>
      <c r="JI615" s="23"/>
      <c r="JJ615" s="23"/>
      <c r="JK615" s="23"/>
      <c r="JL615" s="23"/>
      <c r="JM615" s="23"/>
      <c r="JN615" s="23"/>
      <c r="JO615" s="23"/>
      <c r="JP615" s="23"/>
      <c r="JQ615" s="23"/>
      <c r="JR615" s="23"/>
      <c r="JS615" s="23"/>
      <c r="JT615" s="23"/>
      <c r="JU615" s="23"/>
      <c r="JV615" s="23"/>
      <c r="JW615" s="23"/>
      <c r="JX615" s="23"/>
      <c r="JY615" s="23"/>
      <c r="JZ615" s="23"/>
      <c r="KA615" s="23"/>
      <c r="KB615" s="23"/>
      <c r="KC615" s="23"/>
      <c r="KD615" s="23"/>
      <c r="KE615" s="23"/>
      <c r="KF615" s="23"/>
      <c r="KG615" s="23"/>
      <c r="KH615" s="23"/>
      <c r="KI615" s="23"/>
      <c r="KJ615" s="23"/>
      <c r="KK615" s="23"/>
      <c r="KL615" s="23"/>
      <c r="KM615" s="23"/>
      <c r="KN615" s="23"/>
      <c r="KO615" s="23"/>
      <c r="KP615" s="23"/>
      <c r="KQ615" s="23"/>
      <c r="KR615" s="23"/>
      <c r="KS615" s="23"/>
      <c r="KT615" s="23"/>
      <c r="KU615" s="23"/>
      <c r="KV615" s="23"/>
      <c r="KW615" s="23"/>
      <c r="KX615" s="23"/>
      <c r="KY615" s="23"/>
      <c r="KZ615" s="23"/>
      <c r="LA615" s="23"/>
      <c r="LB615" s="23"/>
      <c r="LC615" s="23"/>
      <c r="LD615" s="23"/>
      <c r="LE615" s="23"/>
      <c r="LF615" s="23"/>
      <c r="LG615" s="23"/>
      <c r="LH615" s="23"/>
      <c r="LI615" s="23"/>
      <c r="LJ615" s="23"/>
      <c r="LK615" s="23"/>
      <c r="LL615" s="23"/>
      <c r="LM615" s="23"/>
      <c r="LN615" s="23"/>
      <c r="LO615" s="23"/>
    </row>
    <row r="616" spans="1:327">
      <c r="A616" s="390"/>
      <c r="B616" s="23"/>
      <c r="C616" s="391"/>
      <c r="D616" s="391"/>
      <c r="E616" s="23"/>
      <c r="F616" s="23"/>
      <c r="G616" s="392"/>
      <c r="H616" s="392"/>
      <c r="I616" s="392"/>
      <c r="J616" s="392"/>
      <c r="K616" s="392"/>
      <c r="L616" s="392"/>
      <c r="M616" s="392"/>
      <c r="N616" s="23"/>
      <c r="O616" s="39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  <c r="IL616" s="23"/>
      <c r="IM616" s="23"/>
      <c r="IN616" s="23"/>
      <c r="IO616" s="23"/>
      <c r="IP616" s="23"/>
      <c r="IQ616" s="23"/>
      <c r="IR616" s="23"/>
      <c r="IS616" s="23"/>
      <c r="IT616" s="23"/>
      <c r="IU616" s="23"/>
      <c r="IV616" s="23"/>
      <c r="IW616" s="23"/>
      <c r="IX616" s="23"/>
      <c r="IY616" s="23"/>
      <c r="IZ616" s="23"/>
      <c r="JA616" s="23"/>
      <c r="JB616" s="23"/>
      <c r="JC616" s="23"/>
      <c r="JD616" s="23"/>
      <c r="JE616" s="23"/>
      <c r="JF616" s="23"/>
      <c r="JG616" s="23"/>
      <c r="JH616" s="23"/>
      <c r="JI616" s="23"/>
      <c r="JJ616" s="23"/>
      <c r="JK616" s="23"/>
      <c r="JL616" s="23"/>
      <c r="JM616" s="23"/>
      <c r="JN616" s="23"/>
      <c r="JO616" s="23"/>
      <c r="JP616" s="23"/>
      <c r="JQ616" s="23"/>
      <c r="JR616" s="23"/>
      <c r="JS616" s="23"/>
      <c r="JT616" s="23"/>
      <c r="JU616" s="23"/>
      <c r="JV616" s="23"/>
      <c r="JW616" s="23"/>
      <c r="JX616" s="23"/>
      <c r="JY616" s="23"/>
      <c r="JZ616" s="23"/>
      <c r="KA616" s="23"/>
      <c r="KB616" s="23"/>
      <c r="KC616" s="23"/>
      <c r="KD616" s="23"/>
      <c r="KE616" s="23"/>
      <c r="KF616" s="23"/>
      <c r="KG616" s="23"/>
      <c r="KH616" s="23"/>
      <c r="KI616" s="23"/>
      <c r="KJ616" s="23"/>
      <c r="KK616" s="23"/>
      <c r="KL616" s="23"/>
      <c r="KM616" s="23"/>
      <c r="KN616" s="23"/>
      <c r="KO616" s="23"/>
      <c r="KP616" s="23"/>
      <c r="KQ616" s="23"/>
      <c r="KR616" s="23"/>
      <c r="KS616" s="23"/>
      <c r="KT616" s="23"/>
      <c r="KU616" s="23"/>
      <c r="KV616" s="23"/>
      <c r="KW616" s="23"/>
      <c r="KX616" s="23"/>
      <c r="KY616" s="23"/>
      <c r="KZ616" s="23"/>
      <c r="LA616" s="23"/>
      <c r="LB616" s="23"/>
      <c r="LC616" s="23"/>
      <c r="LD616" s="23"/>
      <c r="LE616" s="23"/>
      <c r="LF616" s="23"/>
      <c r="LG616" s="23"/>
      <c r="LH616" s="23"/>
      <c r="LI616" s="23"/>
      <c r="LJ616" s="23"/>
      <c r="LK616" s="23"/>
      <c r="LL616" s="23"/>
      <c r="LM616" s="23"/>
      <c r="LN616" s="23"/>
      <c r="LO616" s="23"/>
    </row>
    <row r="617" spans="1:327">
      <c r="A617" s="390"/>
      <c r="B617" s="23"/>
      <c r="C617" s="391"/>
      <c r="D617" s="391"/>
      <c r="E617" s="23"/>
      <c r="F617" s="23"/>
      <c r="G617" s="392"/>
      <c r="H617" s="392"/>
      <c r="I617" s="392"/>
      <c r="J617" s="392"/>
      <c r="K617" s="392"/>
      <c r="L617" s="392"/>
      <c r="M617" s="392"/>
      <c r="N617" s="23"/>
      <c r="O617" s="39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  <c r="IL617" s="23"/>
      <c r="IM617" s="23"/>
      <c r="IN617" s="23"/>
      <c r="IO617" s="23"/>
      <c r="IP617" s="23"/>
      <c r="IQ617" s="23"/>
      <c r="IR617" s="23"/>
      <c r="IS617" s="23"/>
      <c r="IT617" s="23"/>
      <c r="IU617" s="23"/>
      <c r="IV617" s="23"/>
      <c r="IW617" s="23"/>
      <c r="IX617" s="23"/>
      <c r="IY617" s="23"/>
      <c r="IZ617" s="23"/>
      <c r="JA617" s="23"/>
      <c r="JB617" s="23"/>
      <c r="JC617" s="23"/>
      <c r="JD617" s="23"/>
      <c r="JE617" s="23"/>
      <c r="JF617" s="23"/>
      <c r="JG617" s="23"/>
      <c r="JH617" s="23"/>
      <c r="JI617" s="23"/>
      <c r="JJ617" s="23"/>
      <c r="JK617" s="23"/>
      <c r="JL617" s="23"/>
      <c r="JM617" s="23"/>
      <c r="JN617" s="23"/>
      <c r="JO617" s="23"/>
      <c r="JP617" s="23"/>
      <c r="JQ617" s="23"/>
      <c r="JR617" s="23"/>
      <c r="JS617" s="23"/>
      <c r="JT617" s="23"/>
      <c r="JU617" s="23"/>
      <c r="JV617" s="23"/>
      <c r="JW617" s="23"/>
      <c r="JX617" s="23"/>
      <c r="JY617" s="23"/>
      <c r="JZ617" s="23"/>
      <c r="KA617" s="23"/>
      <c r="KB617" s="23"/>
      <c r="KC617" s="23"/>
      <c r="KD617" s="23"/>
      <c r="KE617" s="23"/>
      <c r="KF617" s="23"/>
      <c r="KG617" s="23"/>
      <c r="KH617" s="23"/>
      <c r="KI617" s="23"/>
      <c r="KJ617" s="23"/>
      <c r="KK617" s="23"/>
      <c r="KL617" s="23"/>
      <c r="KM617" s="23"/>
      <c r="KN617" s="23"/>
      <c r="KO617" s="23"/>
      <c r="KP617" s="23"/>
      <c r="KQ617" s="23"/>
      <c r="KR617" s="23"/>
      <c r="KS617" s="23"/>
      <c r="KT617" s="23"/>
      <c r="KU617" s="23"/>
      <c r="KV617" s="23"/>
      <c r="KW617" s="23"/>
      <c r="KX617" s="23"/>
      <c r="KY617" s="23"/>
      <c r="KZ617" s="23"/>
      <c r="LA617" s="23"/>
      <c r="LB617" s="23"/>
      <c r="LC617" s="23"/>
      <c r="LD617" s="23"/>
      <c r="LE617" s="23"/>
      <c r="LF617" s="23"/>
      <c r="LG617" s="23"/>
      <c r="LH617" s="23"/>
      <c r="LI617" s="23"/>
      <c r="LJ617" s="23"/>
      <c r="LK617" s="23"/>
      <c r="LL617" s="23"/>
      <c r="LM617" s="23"/>
      <c r="LN617" s="23"/>
      <c r="LO617" s="23"/>
    </row>
    <row r="618" spans="1:327">
      <c r="A618" s="390"/>
      <c r="B618" s="23"/>
      <c r="C618" s="391"/>
      <c r="D618" s="391"/>
      <c r="E618" s="23"/>
      <c r="F618" s="23"/>
      <c r="G618" s="392"/>
      <c r="H618" s="392"/>
      <c r="I618" s="392"/>
      <c r="J618" s="392"/>
      <c r="K618" s="392"/>
      <c r="L618" s="392"/>
      <c r="M618" s="392"/>
      <c r="N618" s="23"/>
      <c r="O618" s="39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  <c r="IL618" s="23"/>
      <c r="IM618" s="23"/>
      <c r="IN618" s="23"/>
      <c r="IO618" s="23"/>
      <c r="IP618" s="23"/>
      <c r="IQ618" s="23"/>
      <c r="IR618" s="23"/>
      <c r="IS618" s="23"/>
      <c r="IT618" s="23"/>
      <c r="IU618" s="23"/>
      <c r="IV618" s="23"/>
      <c r="IW618" s="23"/>
      <c r="IX618" s="23"/>
      <c r="IY618" s="23"/>
      <c r="IZ618" s="23"/>
      <c r="JA618" s="23"/>
      <c r="JB618" s="23"/>
      <c r="JC618" s="23"/>
      <c r="JD618" s="23"/>
      <c r="JE618" s="23"/>
      <c r="JF618" s="23"/>
      <c r="JG618" s="23"/>
      <c r="JH618" s="23"/>
      <c r="JI618" s="23"/>
      <c r="JJ618" s="23"/>
      <c r="JK618" s="23"/>
      <c r="JL618" s="23"/>
      <c r="JM618" s="23"/>
      <c r="JN618" s="23"/>
      <c r="JO618" s="23"/>
      <c r="JP618" s="23"/>
      <c r="JQ618" s="23"/>
      <c r="JR618" s="23"/>
      <c r="JS618" s="23"/>
      <c r="JT618" s="23"/>
      <c r="JU618" s="23"/>
      <c r="JV618" s="23"/>
      <c r="JW618" s="23"/>
      <c r="JX618" s="23"/>
      <c r="JY618" s="23"/>
      <c r="JZ618" s="23"/>
      <c r="KA618" s="23"/>
      <c r="KB618" s="23"/>
      <c r="KC618" s="23"/>
      <c r="KD618" s="23"/>
      <c r="KE618" s="23"/>
      <c r="KF618" s="23"/>
      <c r="KG618" s="23"/>
      <c r="KH618" s="23"/>
      <c r="KI618" s="23"/>
      <c r="KJ618" s="23"/>
      <c r="KK618" s="23"/>
      <c r="KL618" s="23"/>
      <c r="KM618" s="23"/>
      <c r="KN618" s="23"/>
      <c r="KO618" s="23"/>
      <c r="KP618" s="23"/>
      <c r="KQ618" s="23"/>
      <c r="KR618" s="23"/>
      <c r="KS618" s="23"/>
      <c r="KT618" s="23"/>
      <c r="KU618" s="23"/>
      <c r="KV618" s="23"/>
      <c r="KW618" s="23"/>
      <c r="KX618" s="23"/>
      <c r="KY618" s="23"/>
      <c r="KZ618" s="23"/>
      <c r="LA618" s="23"/>
      <c r="LB618" s="23"/>
      <c r="LC618" s="23"/>
      <c r="LD618" s="23"/>
      <c r="LE618" s="23"/>
      <c r="LF618" s="23"/>
      <c r="LG618" s="23"/>
      <c r="LH618" s="23"/>
      <c r="LI618" s="23"/>
      <c r="LJ618" s="23"/>
      <c r="LK618" s="23"/>
      <c r="LL618" s="23"/>
      <c r="LM618" s="23"/>
      <c r="LN618" s="23"/>
      <c r="LO618" s="23"/>
    </row>
    <row r="619" spans="1:327">
      <c r="A619" s="390"/>
      <c r="B619" s="23"/>
      <c r="C619" s="391"/>
      <c r="D619" s="391"/>
      <c r="E619" s="23"/>
      <c r="F619" s="23"/>
      <c r="G619" s="392"/>
      <c r="H619" s="392"/>
      <c r="I619" s="392"/>
      <c r="J619" s="392"/>
      <c r="K619" s="392"/>
      <c r="L619" s="392"/>
      <c r="M619" s="392"/>
      <c r="N619" s="23"/>
      <c r="O619" s="39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  <c r="IL619" s="23"/>
      <c r="IM619" s="23"/>
      <c r="IN619" s="23"/>
      <c r="IO619" s="23"/>
      <c r="IP619" s="23"/>
      <c r="IQ619" s="23"/>
      <c r="IR619" s="23"/>
      <c r="IS619" s="23"/>
      <c r="IT619" s="23"/>
      <c r="IU619" s="23"/>
      <c r="IV619" s="23"/>
      <c r="IW619" s="23"/>
      <c r="IX619" s="23"/>
      <c r="IY619" s="23"/>
      <c r="IZ619" s="23"/>
      <c r="JA619" s="23"/>
      <c r="JB619" s="23"/>
      <c r="JC619" s="23"/>
      <c r="JD619" s="23"/>
      <c r="JE619" s="23"/>
      <c r="JF619" s="23"/>
      <c r="JG619" s="23"/>
      <c r="JH619" s="23"/>
      <c r="JI619" s="23"/>
      <c r="JJ619" s="23"/>
      <c r="JK619" s="23"/>
      <c r="JL619" s="23"/>
      <c r="JM619" s="23"/>
      <c r="JN619" s="23"/>
      <c r="JO619" s="23"/>
      <c r="JP619" s="23"/>
      <c r="JQ619" s="23"/>
      <c r="JR619" s="23"/>
      <c r="JS619" s="23"/>
      <c r="JT619" s="23"/>
      <c r="JU619" s="23"/>
      <c r="JV619" s="23"/>
      <c r="JW619" s="23"/>
      <c r="JX619" s="23"/>
      <c r="JY619" s="23"/>
      <c r="JZ619" s="23"/>
      <c r="KA619" s="23"/>
      <c r="KB619" s="23"/>
      <c r="KC619" s="23"/>
      <c r="KD619" s="23"/>
      <c r="KE619" s="23"/>
      <c r="KF619" s="23"/>
      <c r="KG619" s="23"/>
      <c r="KH619" s="23"/>
      <c r="KI619" s="23"/>
      <c r="KJ619" s="23"/>
      <c r="KK619" s="23"/>
      <c r="KL619" s="23"/>
      <c r="KM619" s="23"/>
      <c r="KN619" s="23"/>
      <c r="KO619" s="23"/>
      <c r="KP619" s="23"/>
      <c r="KQ619" s="23"/>
      <c r="KR619" s="23"/>
      <c r="KS619" s="23"/>
      <c r="KT619" s="23"/>
      <c r="KU619" s="23"/>
      <c r="KV619" s="23"/>
      <c r="KW619" s="23"/>
      <c r="KX619" s="23"/>
      <c r="KY619" s="23"/>
      <c r="KZ619" s="23"/>
      <c r="LA619" s="23"/>
      <c r="LB619" s="23"/>
      <c r="LC619" s="23"/>
      <c r="LD619" s="23"/>
      <c r="LE619" s="23"/>
      <c r="LF619" s="23"/>
      <c r="LG619" s="23"/>
      <c r="LH619" s="23"/>
      <c r="LI619" s="23"/>
      <c r="LJ619" s="23"/>
      <c r="LK619" s="23"/>
      <c r="LL619" s="23"/>
      <c r="LM619" s="23"/>
      <c r="LN619" s="23"/>
      <c r="LO619" s="23"/>
    </row>
    <row r="620" spans="1:327">
      <c r="A620" s="390"/>
      <c r="B620" s="23"/>
      <c r="C620" s="391"/>
      <c r="D620" s="391"/>
      <c r="E620" s="23"/>
      <c r="F620" s="23"/>
      <c r="G620" s="392"/>
      <c r="H620" s="392"/>
      <c r="I620" s="392"/>
      <c r="J620" s="392"/>
      <c r="K620" s="392"/>
      <c r="L620" s="392"/>
      <c r="M620" s="392"/>
      <c r="N620" s="23"/>
      <c r="O620" s="39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  <c r="IL620" s="23"/>
      <c r="IM620" s="23"/>
      <c r="IN620" s="23"/>
      <c r="IO620" s="23"/>
      <c r="IP620" s="23"/>
      <c r="IQ620" s="23"/>
      <c r="IR620" s="23"/>
      <c r="IS620" s="23"/>
      <c r="IT620" s="23"/>
      <c r="IU620" s="23"/>
      <c r="IV620" s="23"/>
      <c r="IW620" s="23"/>
      <c r="IX620" s="23"/>
      <c r="IY620" s="23"/>
      <c r="IZ620" s="23"/>
      <c r="JA620" s="23"/>
      <c r="JB620" s="23"/>
      <c r="JC620" s="23"/>
      <c r="JD620" s="23"/>
      <c r="JE620" s="23"/>
      <c r="JF620" s="23"/>
      <c r="JG620" s="23"/>
      <c r="JH620" s="23"/>
      <c r="JI620" s="23"/>
      <c r="JJ620" s="23"/>
      <c r="JK620" s="23"/>
      <c r="JL620" s="23"/>
      <c r="JM620" s="23"/>
      <c r="JN620" s="23"/>
      <c r="JO620" s="23"/>
      <c r="JP620" s="23"/>
      <c r="JQ620" s="23"/>
      <c r="JR620" s="23"/>
      <c r="JS620" s="23"/>
      <c r="JT620" s="23"/>
      <c r="JU620" s="23"/>
      <c r="JV620" s="23"/>
      <c r="JW620" s="23"/>
      <c r="JX620" s="23"/>
      <c r="JY620" s="23"/>
      <c r="JZ620" s="23"/>
      <c r="KA620" s="23"/>
      <c r="KB620" s="23"/>
      <c r="KC620" s="23"/>
      <c r="KD620" s="23"/>
      <c r="KE620" s="23"/>
      <c r="KF620" s="23"/>
      <c r="KG620" s="23"/>
      <c r="KH620" s="23"/>
      <c r="KI620" s="23"/>
      <c r="KJ620" s="23"/>
      <c r="KK620" s="23"/>
      <c r="KL620" s="23"/>
      <c r="KM620" s="23"/>
      <c r="KN620" s="23"/>
      <c r="KO620" s="23"/>
      <c r="KP620" s="23"/>
      <c r="KQ620" s="23"/>
      <c r="KR620" s="23"/>
      <c r="KS620" s="23"/>
      <c r="KT620" s="23"/>
      <c r="KU620" s="23"/>
      <c r="KV620" s="23"/>
      <c r="KW620" s="23"/>
      <c r="KX620" s="23"/>
      <c r="KY620" s="23"/>
      <c r="KZ620" s="23"/>
      <c r="LA620" s="23"/>
      <c r="LB620" s="23"/>
      <c r="LC620" s="23"/>
      <c r="LD620" s="23"/>
      <c r="LE620" s="23"/>
      <c r="LF620" s="23"/>
      <c r="LG620" s="23"/>
      <c r="LH620" s="23"/>
      <c r="LI620" s="23"/>
      <c r="LJ620" s="23"/>
      <c r="LK620" s="23"/>
      <c r="LL620" s="23"/>
      <c r="LM620" s="23"/>
      <c r="LN620" s="23"/>
      <c r="LO620" s="23"/>
    </row>
    <row r="621" spans="1:327">
      <c r="A621" s="390"/>
      <c r="B621" s="23"/>
      <c r="C621" s="391"/>
      <c r="D621" s="391"/>
      <c r="E621" s="23"/>
      <c r="F621" s="23"/>
      <c r="G621" s="392"/>
      <c r="H621" s="392"/>
      <c r="I621" s="392"/>
      <c r="J621" s="392"/>
      <c r="K621" s="392"/>
      <c r="L621" s="392"/>
      <c r="M621" s="392"/>
      <c r="N621" s="23"/>
      <c r="O621" s="39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  <c r="IL621" s="23"/>
      <c r="IM621" s="23"/>
      <c r="IN621" s="23"/>
      <c r="IO621" s="23"/>
      <c r="IP621" s="23"/>
      <c r="IQ621" s="23"/>
      <c r="IR621" s="23"/>
      <c r="IS621" s="23"/>
      <c r="IT621" s="23"/>
      <c r="IU621" s="23"/>
      <c r="IV621" s="23"/>
      <c r="IW621" s="23"/>
      <c r="IX621" s="23"/>
      <c r="IY621" s="23"/>
      <c r="IZ621" s="23"/>
      <c r="JA621" s="23"/>
      <c r="JB621" s="23"/>
      <c r="JC621" s="23"/>
      <c r="JD621" s="23"/>
      <c r="JE621" s="23"/>
      <c r="JF621" s="23"/>
      <c r="JG621" s="23"/>
      <c r="JH621" s="23"/>
      <c r="JI621" s="23"/>
      <c r="JJ621" s="23"/>
      <c r="JK621" s="23"/>
      <c r="JL621" s="23"/>
      <c r="JM621" s="23"/>
      <c r="JN621" s="23"/>
      <c r="JO621" s="23"/>
      <c r="JP621" s="23"/>
      <c r="JQ621" s="23"/>
      <c r="JR621" s="23"/>
      <c r="JS621" s="23"/>
      <c r="JT621" s="23"/>
      <c r="JU621" s="23"/>
      <c r="JV621" s="23"/>
      <c r="JW621" s="23"/>
      <c r="JX621" s="23"/>
      <c r="JY621" s="23"/>
      <c r="JZ621" s="23"/>
      <c r="KA621" s="23"/>
      <c r="KB621" s="23"/>
      <c r="KC621" s="23"/>
      <c r="KD621" s="23"/>
      <c r="KE621" s="23"/>
      <c r="KF621" s="23"/>
      <c r="KG621" s="23"/>
      <c r="KH621" s="23"/>
      <c r="KI621" s="23"/>
      <c r="KJ621" s="23"/>
      <c r="KK621" s="23"/>
      <c r="KL621" s="23"/>
      <c r="KM621" s="23"/>
      <c r="KN621" s="23"/>
      <c r="KO621" s="23"/>
      <c r="KP621" s="23"/>
      <c r="KQ621" s="23"/>
      <c r="KR621" s="23"/>
      <c r="KS621" s="23"/>
      <c r="KT621" s="23"/>
      <c r="KU621" s="23"/>
      <c r="KV621" s="23"/>
      <c r="KW621" s="23"/>
      <c r="KX621" s="23"/>
      <c r="KY621" s="23"/>
      <c r="KZ621" s="23"/>
      <c r="LA621" s="23"/>
      <c r="LB621" s="23"/>
      <c r="LC621" s="23"/>
      <c r="LD621" s="23"/>
      <c r="LE621" s="23"/>
      <c r="LF621" s="23"/>
      <c r="LG621" s="23"/>
      <c r="LH621" s="23"/>
      <c r="LI621" s="23"/>
      <c r="LJ621" s="23"/>
      <c r="LK621" s="23"/>
      <c r="LL621" s="23"/>
      <c r="LM621" s="23"/>
      <c r="LN621" s="23"/>
      <c r="LO621" s="23"/>
    </row>
    <row r="622" spans="1:327">
      <c r="A622" s="390"/>
      <c r="B622" s="23"/>
      <c r="C622" s="391"/>
      <c r="D622" s="391"/>
      <c r="E622" s="23"/>
      <c r="F622" s="23"/>
      <c r="G622" s="392"/>
      <c r="H622" s="392"/>
      <c r="I622" s="392"/>
      <c r="J622" s="392"/>
      <c r="K622" s="392"/>
      <c r="L622" s="392"/>
      <c r="M622" s="392"/>
      <c r="N622" s="23"/>
      <c r="O622" s="39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  <c r="IL622" s="23"/>
      <c r="IM622" s="23"/>
      <c r="IN622" s="23"/>
      <c r="IO622" s="23"/>
      <c r="IP622" s="23"/>
      <c r="IQ622" s="23"/>
      <c r="IR622" s="23"/>
      <c r="IS622" s="23"/>
      <c r="IT622" s="23"/>
      <c r="IU622" s="23"/>
      <c r="IV622" s="23"/>
      <c r="IW622" s="23"/>
      <c r="IX622" s="23"/>
      <c r="IY622" s="23"/>
      <c r="IZ622" s="23"/>
      <c r="JA622" s="23"/>
      <c r="JB622" s="23"/>
      <c r="JC622" s="23"/>
      <c r="JD622" s="23"/>
      <c r="JE622" s="23"/>
      <c r="JF622" s="23"/>
      <c r="JG622" s="23"/>
      <c r="JH622" s="23"/>
      <c r="JI622" s="23"/>
      <c r="JJ622" s="23"/>
      <c r="JK622" s="23"/>
      <c r="JL622" s="23"/>
      <c r="JM622" s="23"/>
      <c r="JN622" s="23"/>
      <c r="JO622" s="23"/>
      <c r="JP622" s="23"/>
      <c r="JQ622" s="23"/>
      <c r="JR622" s="23"/>
      <c r="JS622" s="23"/>
      <c r="JT622" s="23"/>
      <c r="JU622" s="23"/>
      <c r="JV622" s="23"/>
      <c r="JW622" s="23"/>
      <c r="JX622" s="23"/>
      <c r="JY622" s="23"/>
      <c r="JZ622" s="23"/>
      <c r="KA622" s="23"/>
      <c r="KB622" s="23"/>
      <c r="KC622" s="23"/>
      <c r="KD622" s="23"/>
      <c r="KE622" s="23"/>
      <c r="KF622" s="23"/>
      <c r="KG622" s="23"/>
      <c r="KH622" s="23"/>
      <c r="KI622" s="23"/>
      <c r="KJ622" s="23"/>
      <c r="KK622" s="23"/>
      <c r="KL622" s="23"/>
      <c r="KM622" s="23"/>
      <c r="KN622" s="23"/>
      <c r="KO622" s="23"/>
      <c r="KP622" s="23"/>
      <c r="KQ622" s="23"/>
      <c r="KR622" s="23"/>
      <c r="KS622" s="23"/>
      <c r="KT622" s="23"/>
      <c r="KU622" s="23"/>
      <c r="KV622" s="23"/>
      <c r="KW622" s="23"/>
      <c r="KX622" s="23"/>
      <c r="KY622" s="23"/>
      <c r="KZ622" s="23"/>
      <c r="LA622" s="23"/>
      <c r="LB622" s="23"/>
      <c r="LC622" s="23"/>
      <c r="LD622" s="23"/>
      <c r="LE622" s="23"/>
      <c r="LF622" s="23"/>
      <c r="LG622" s="23"/>
      <c r="LH622" s="23"/>
      <c r="LI622" s="23"/>
      <c r="LJ622" s="23"/>
      <c r="LK622" s="23"/>
      <c r="LL622" s="23"/>
      <c r="LM622" s="23"/>
      <c r="LN622" s="23"/>
      <c r="LO622" s="23"/>
    </row>
    <row r="623" spans="1:327">
      <c r="A623" s="390"/>
      <c r="B623" s="23"/>
      <c r="C623" s="391"/>
      <c r="D623" s="391"/>
      <c r="E623" s="23"/>
      <c r="F623" s="23"/>
      <c r="G623" s="392"/>
      <c r="H623" s="392"/>
      <c r="I623" s="392"/>
      <c r="J623" s="392"/>
      <c r="K623" s="392"/>
      <c r="L623" s="392"/>
      <c r="M623" s="392"/>
      <c r="N623" s="23"/>
      <c r="O623" s="39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  <c r="IL623" s="23"/>
      <c r="IM623" s="23"/>
      <c r="IN623" s="23"/>
      <c r="IO623" s="23"/>
      <c r="IP623" s="23"/>
      <c r="IQ623" s="23"/>
      <c r="IR623" s="23"/>
      <c r="IS623" s="23"/>
      <c r="IT623" s="23"/>
      <c r="IU623" s="23"/>
      <c r="IV623" s="23"/>
      <c r="IW623" s="23"/>
      <c r="IX623" s="23"/>
      <c r="IY623" s="23"/>
      <c r="IZ623" s="23"/>
      <c r="JA623" s="23"/>
      <c r="JB623" s="23"/>
      <c r="JC623" s="23"/>
      <c r="JD623" s="23"/>
      <c r="JE623" s="23"/>
      <c r="JF623" s="23"/>
      <c r="JG623" s="23"/>
      <c r="JH623" s="23"/>
      <c r="JI623" s="23"/>
      <c r="JJ623" s="23"/>
      <c r="JK623" s="23"/>
      <c r="JL623" s="23"/>
      <c r="JM623" s="23"/>
      <c r="JN623" s="23"/>
      <c r="JO623" s="23"/>
      <c r="JP623" s="23"/>
      <c r="JQ623" s="23"/>
      <c r="JR623" s="23"/>
      <c r="JS623" s="23"/>
      <c r="JT623" s="23"/>
      <c r="JU623" s="23"/>
      <c r="JV623" s="23"/>
      <c r="JW623" s="23"/>
      <c r="JX623" s="23"/>
      <c r="JY623" s="23"/>
      <c r="JZ623" s="23"/>
      <c r="KA623" s="23"/>
      <c r="KB623" s="23"/>
      <c r="KC623" s="23"/>
      <c r="KD623" s="23"/>
      <c r="KE623" s="23"/>
      <c r="KF623" s="23"/>
      <c r="KG623" s="23"/>
      <c r="KH623" s="23"/>
      <c r="KI623" s="23"/>
      <c r="KJ623" s="23"/>
      <c r="KK623" s="23"/>
      <c r="KL623" s="23"/>
      <c r="KM623" s="23"/>
      <c r="KN623" s="23"/>
      <c r="KO623" s="23"/>
      <c r="KP623" s="23"/>
      <c r="KQ623" s="23"/>
      <c r="KR623" s="23"/>
      <c r="KS623" s="23"/>
      <c r="KT623" s="23"/>
      <c r="KU623" s="23"/>
      <c r="KV623" s="23"/>
      <c r="KW623" s="23"/>
      <c r="KX623" s="23"/>
      <c r="KY623" s="23"/>
      <c r="KZ623" s="23"/>
      <c r="LA623" s="23"/>
      <c r="LB623" s="23"/>
      <c r="LC623" s="23"/>
      <c r="LD623" s="23"/>
      <c r="LE623" s="23"/>
      <c r="LF623" s="23"/>
      <c r="LG623" s="23"/>
      <c r="LH623" s="23"/>
      <c r="LI623" s="23"/>
      <c r="LJ623" s="23"/>
      <c r="LK623" s="23"/>
      <c r="LL623" s="23"/>
      <c r="LM623" s="23"/>
      <c r="LN623" s="23"/>
      <c r="LO623" s="23"/>
    </row>
    <row r="624" spans="1:327">
      <c r="A624" s="390"/>
      <c r="B624" s="23"/>
      <c r="C624" s="391"/>
      <c r="D624" s="391"/>
      <c r="E624" s="23"/>
      <c r="F624" s="23"/>
      <c r="G624" s="392"/>
      <c r="H624" s="392"/>
      <c r="I624" s="392"/>
      <c r="J624" s="392"/>
      <c r="K624" s="392"/>
      <c r="L624" s="392"/>
      <c r="M624" s="392"/>
      <c r="N624" s="23"/>
      <c r="O624" s="39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  <c r="IL624" s="23"/>
      <c r="IM624" s="23"/>
      <c r="IN624" s="23"/>
      <c r="IO624" s="23"/>
      <c r="IP624" s="23"/>
      <c r="IQ624" s="23"/>
      <c r="IR624" s="23"/>
      <c r="IS624" s="23"/>
      <c r="IT624" s="23"/>
      <c r="IU624" s="23"/>
      <c r="IV624" s="23"/>
      <c r="IW624" s="23"/>
      <c r="IX624" s="23"/>
      <c r="IY624" s="23"/>
      <c r="IZ624" s="23"/>
      <c r="JA624" s="23"/>
      <c r="JB624" s="23"/>
      <c r="JC624" s="23"/>
      <c r="JD624" s="23"/>
      <c r="JE624" s="23"/>
      <c r="JF624" s="23"/>
      <c r="JG624" s="23"/>
      <c r="JH624" s="23"/>
      <c r="JI624" s="23"/>
      <c r="JJ624" s="23"/>
      <c r="JK624" s="23"/>
      <c r="JL624" s="23"/>
      <c r="JM624" s="23"/>
      <c r="JN624" s="23"/>
      <c r="JO624" s="23"/>
      <c r="JP624" s="23"/>
      <c r="JQ624" s="23"/>
      <c r="JR624" s="23"/>
      <c r="JS624" s="23"/>
      <c r="JT624" s="23"/>
      <c r="JU624" s="23"/>
      <c r="JV624" s="23"/>
      <c r="JW624" s="23"/>
      <c r="JX624" s="23"/>
      <c r="JY624" s="23"/>
      <c r="JZ624" s="23"/>
      <c r="KA624" s="23"/>
      <c r="KB624" s="23"/>
      <c r="KC624" s="23"/>
      <c r="KD624" s="23"/>
      <c r="KE624" s="23"/>
      <c r="KF624" s="23"/>
      <c r="KG624" s="23"/>
      <c r="KH624" s="23"/>
      <c r="KI624" s="23"/>
      <c r="KJ624" s="23"/>
      <c r="KK624" s="23"/>
      <c r="KL624" s="23"/>
      <c r="KM624" s="23"/>
      <c r="KN624" s="23"/>
      <c r="KO624" s="23"/>
      <c r="KP624" s="23"/>
      <c r="KQ624" s="23"/>
      <c r="KR624" s="23"/>
      <c r="KS624" s="23"/>
      <c r="KT624" s="23"/>
      <c r="KU624" s="23"/>
      <c r="KV624" s="23"/>
      <c r="KW624" s="23"/>
      <c r="KX624" s="23"/>
      <c r="KY624" s="23"/>
      <c r="KZ624" s="23"/>
      <c r="LA624" s="23"/>
      <c r="LB624" s="23"/>
      <c r="LC624" s="23"/>
      <c r="LD624" s="23"/>
      <c r="LE624" s="23"/>
      <c r="LF624" s="23"/>
      <c r="LG624" s="23"/>
      <c r="LH624" s="23"/>
      <c r="LI624" s="23"/>
      <c r="LJ624" s="23"/>
      <c r="LK624" s="23"/>
      <c r="LL624" s="23"/>
      <c r="LM624" s="23"/>
      <c r="LN624" s="23"/>
      <c r="LO624" s="23"/>
    </row>
    <row r="625" spans="1:327">
      <c r="A625" s="390"/>
      <c r="B625" s="23"/>
      <c r="C625" s="391"/>
      <c r="D625" s="391"/>
      <c r="E625" s="23"/>
      <c r="F625" s="23"/>
      <c r="G625" s="392"/>
      <c r="H625" s="392"/>
      <c r="I625" s="392"/>
      <c r="J625" s="392"/>
      <c r="K625" s="392"/>
      <c r="L625" s="392"/>
      <c r="M625" s="392"/>
      <c r="N625" s="23"/>
      <c r="O625" s="39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  <c r="IL625" s="23"/>
      <c r="IM625" s="23"/>
      <c r="IN625" s="23"/>
      <c r="IO625" s="23"/>
      <c r="IP625" s="23"/>
      <c r="IQ625" s="23"/>
      <c r="IR625" s="23"/>
      <c r="IS625" s="23"/>
      <c r="IT625" s="23"/>
      <c r="IU625" s="23"/>
      <c r="IV625" s="23"/>
      <c r="IW625" s="23"/>
      <c r="IX625" s="23"/>
      <c r="IY625" s="23"/>
      <c r="IZ625" s="23"/>
      <c r="JA625" s="23"/>
      <c r="JB625" s="23"/>
      <c r="JC625" s="23"/>
      <c r="JD625" s="23"/>
      <c r="JE625" s="23"/>
      <c r="JF625" s="23"/>
      <c r="JG625" s="23"/>
      <c r="JH625" s="23"/>
      <c r="JI625" s="23"/>
      <c r="JJ625" s="23"/>
      <c r="JK625" s="23"/>
      <c r="JL625" s="23"/>
      <c r="JM625" s="23"/>
      <c r="JN625" s="23"/>
      <c r="JO625" s="23"/>
      <c r="JP625" s="23"/>
      <c r="JQ625" s="23"/>
      <c r="JR625" s="23"/>
      <c r="JS625" s="23"/>
      <c r="JT625" s="23"/>
      <c r="JU625" s="23"/>
      <c r="JV625" s="23"/>
      <c r="JW625" s="23"/>
      <c r="JX625" s="23"/>
      <c r="JY625" s="23"/>
      <c r="JZ625" s="23"/>
      <c r="KA625" s="23"/>
      <c r="KB625" s="23"/>
      <c r="KC625" s="23"/>
      <c r="KD625" s="23"/>
      <c r="KE625" s="23"/>
      <c r="KF625" s="23"/>
      <c r="KG625" s="23"/>
      <c r="KH625" s="23"/>
      <c r="KI625" s="23"/>
      <c r="KJ625" s="23"/>
      <c r="KK625" s="23"/>
      <c r="KL625" s="23"/>
      <c r="KM625" s="23"/>
      <c r="KN625" s="23"/>
      <c r="KO625" s="23"/>
      <c r="KP625" s="23"/>
      <c r="KQ625" s="23"/>
      <c r="KR625" s="23"/>
      <c r="KS625" s="23"/>
      <c r="KT625" s="23"/>
      <c r="KU625" s="23"/>
      <c r="KV625" s="23"/>
      <c r="KW625" s="23"/>
      <c r="KX625" s="23"/>
      <c r="KY625" s="23"/>
      <c r="KZ625" s="23"/>
      <c r="LA625" s="23"/>
      <c r="LB625" s="23"/>
      <c r="LC625" s="23"/>
      <c r="LD625" s="23"/>
      <c r="LE625" s="23"/>
      <c r="LF625" s="23"/>
      <c r="LG625" s="23"/>
      <c r="LH625" s="23"/>
      <c r="LI625" s="23"/>
      <c r="LJ625" s="23"/>
      <c r="LK625" s="23"/>
      <c r="LL625" s="23"/>
      <c r="LM625" s="23"/>
      <c r="LN625" s="23"/>
      <c r="LO625" s="23"/>
    </row>
    <row r="626" spans="1:327">
      <c r="A626" s="390"/>
      <c r="B626" s="23"/>
      <c r="C626" s="391"/>
      <c r="D626" s="391"/>
      <c r="E626" s="23"/>
      <c r="F626" s="23"/>
      <c r="G626" s="392"/>
      <c r="H626" s="392"/>
      <c r="I626" s="392"/>
      <c r="J626" s="392"/>
      <c r="K626" s="392"/>
      <c r="L626" s="392"/>
      <c r="M626" s="392"/>
      <c r="N626" s="23"/>
      <c r="O626" s="39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  <c r="IL626" s="23"/>
      <c r="IM626" s="23"/>
      <c r="IN626" s="23"/>
      <c r="IO626" s="23"/>
      <c r="IP626" s="23"/>
      <c r="IQ626" s="23"/>
      <c r="IR626" s="23"/>
      <c r="IS626" s="23"/>
      <c r="IT626" s="23"/>
      <c r="IU626" s="23"/>
      <c r="IV626" s="23"/>
      <c r="IW626" s="23"/>
      <c r="IX626" s="23"/>
      <c r="IY626" s="23"/>
      <c r="IZ626" s="23"/>
      <c r="JA626" s="23"/>
      <c r="JB626" s="23"/>
      <c r="JC626" s="23"/>
      <c r="JD626" s="23"/>
      <c r="JE626" s="23"/>
      <c r="JF626" s="23"/>
      <c r="JG626" s="23"/>
      <c r="JH626" s="23"/>
      <c r="JI626" s="23"/>
      <c r="JJ626" s="23"/>
      <c r="JK626" s="23"/>
      <c r="JL626" s="23"/>
      <c r="JM626" s="23"/>
      <c r="JN626" s="23"/>
      <c r="JO626" s="23"/>
      <c r="JP626" s="23"/>
      <c r="JQ626" s="23"/>
      <c r="JR626" s="23"/>
      <c r="JS626" s="23"/>
      <c r="JT626" s="23"/>
      <c r="JU626" s="23"/>
      <c r="JV626" s="23"/>
      <c r="JW626" s="23"/>
      <c r="JX626" s="23"/>
      <c r="JY626" s="23"/>
      <c r="JZ626" s="23"/>
      <c r="KA626" s="23"/>
      <c r="KB626" s="23"/>
      <c r="KC626" s="23"/>
      <c r="KD626" s="23"/>
      <c r="KE626" s="23"/>
      <c r="KF626" s="23"/>
      <c r="KG626" s="23"/>
      <c r="KH626" s="23"/>
      <c r="KI626" s="23"/>
      <c r="KJ626" s="23"/>
      <c r="KK626" s="23"/>
      <c r="KL626" s="23"/>
      <c r="KM626" s="23"/>
      <c r="KN626" s="23"/>
      <c r="KO626" s="23"/>
      <c r="KP626" s="23"/>
      <c r="KQ626" s="23"/>
      <c r="KR626" s="23"/>
      <c r="KS626" s="23"/>
      <c r="KT626" s="23"/>
      <c r="KU626" s="23"/>
      <c r="KV626" s="23"/>
      <c r="KW626" s="23"/>
      <c r="KX626" s="23"/>
      <c r="KY626" s="23"/>
      <c r="KZ626" s="23"/>
      <c r="LA626" s="23"/>
      <c r="LB626" s="23"/>
      <c r="LC626" s="23"/>
      <c r="LD626" s="23"/>
      <c r="LE626" s="23"/>
      <c r="LF626" s="23"/>
      <c r="LG626" s="23"/>
      <c r="LH626" s="23"/>
      <c r="LI626" s="23"/>
      <c r="LJ626" s="23"/>
      <c r="LK626" s="23"/>
      <c r="LL626" s="23"/>
      <c r="LM626" s="23"/>
      <c r="LN626" s="23"/>
      <c r="LO626" s="23"/>
    </row>
    <row r="627" spans="1:327">
      <c r="A627" s="390"/>
      <c r="B627" s="23"/>
      <c r="C627" s="391"/>
      <c r="D627" s="391"/>
      <c r="E627" s="23"/>
      <c r="F627" s="23"/>
      <c r="G627" s="392"/>
      <c r="H627" s="392"/>
      <c r="I627" s="392"/>
      <c r="J627" s="392"/>
      <c r="K627" s="392"/>
      <c r="L627" s="392"/>
      <c r="M627" s="392"/>
      <c r="N627" s="23"/>
      <c r="O627" s="39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  <c r="IL627" s="23"/>
      <c r="IM627" s="23"/>
      <c r="IN627" s="23"/>
      <c r="IO627" s="23"/>
      <c r="IP627" s="23"/>
      <c r="IQ627" s="23"/>
      <c r="IR627" s="23"/>
      <c r="IS627" s="23"/>
      <c r="IT627" s="23"/>
      <c r="IU627" s="23"/>
      <c r="IV627" s="23"/>
      <c r="IW627" s="23"/>
      <c r="IX627" s="23"/>
      <c r="IY627" s="23"/>
      <c r="IZ627" s="23"/>
      <c r="JA627" s="23"/>
      <c r="JB627" s="23"/>
      <c r="JC627" s="23"/>
      <c r="JD627" s="23"/>
      <c r="JE627" s="23"/>
      <c r="JF627" s="23"/>
      <c r="JG627" s="23"/>
      <c r="JH627" s="23"/>
      <c r="JI627" s="23"/>
      <c r="JJ627" s="23"/>
      <c r="JK627" s="23"/>
      <c r="JL627" s="23"/>
      <c r="JM627" s="23"/>
      <c r="JN627" s="23"/>
      <c r="JO627" s="23"/>
      <c r="JP627" s="23"/>
      <c r="JQ627" s="23"/>
      <c r="JR627" s="23"/>
      <c r="JS627" s="23"/>
      <c r="JT627" s="23"/>
      <c r="JU627" s="23"/>
      <c r="JV627" s="23"/>
      <c r="JW627" s="23"/>
      <c r="JX627" s="23"/>
      <c r="JY627" s="23"/>
      <c r="JZ627" s="23"/>
      <c r="KA627" s="23"/>
      <c r="KB627" s="23"/>
      <c r="KC627" s="23"/>
      <c r="KD627" s="23"/>
      <c r="KE627" s="23"/>
      <c r="KF627" s="23"/>
      <c r="KG627" s="23"/>
      <c r="KH627" s="23"/>
      <c r="KI627" s="23"/>
      <c r="KJ627" s="23"/>
      <c r="KK627" s="23"/>
      <c r="KL627" s="23"/>
      <c r="KM627" s="23"/>
      <c r="KN627" s="23"/>
      <c r="KO627" s="23"/>
      <c r="KP627" s="23"/>
      <c r="KQ627" s="23"/>
      <c r="KR627" s="23"/>
      <c r="KS627" s="23"/>
      <c r="KT627" s="23"/>
      <c r="KU627" s="23"/>
      <c r="KV627" s="23"/>
      <c r="KW627" s="23"/>
      <c r="KX627" s="23"/>
      <c r="KY627" s="23"/>
      <c r="KZ627" s="23"/>
      <c r="LA627" s="23"/>
      <c r="LB627" s="23"/>
      <c r="LC627" s="23"/>
      <c r="LD627" s="23"/>
      <c r="LE627" s="23"/>
      <c r="LF627" s="23"/>
      <c r="LG627" s="23"/>
      <c r="LH627" s="23"/>
      <c r="LI627" s="23"/>
      <c r="LJ627" s="23"/>
      <c r="LK627" s="23"/>
      <c r="LL627" s="23"/>
      <c r="LM627" s="23"/>
      <c r="LN627" s="23"/>
      <c r="LO627" s="23"/>
    </row>
    <row r="628" spans="1:327">
      <c r="A628" s="390"/>
      <c r="B628" s="23"/>
      <c r="C628" s="391"/>
      <c r="D628" s="391"/>
      <c r="E628" s="23"/>
      <c r="F628" s="23"/>
      <c r="G628" s="392"/>
      <c r="H628" s="392"/>
      <c r="I628" s="392"/>
      <c r="J628" s="392"/>
      <c r="K628" s="392"/>
      <c r="L628" s="392"/>
      <c r="M628" s="392"/>
      <c r="N628" s="23"/>
      <c r="O628" s="39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  <c r="IL628" s="23"/>
      <c r="IM628" s="23"/>
      <c r="IN628" s="23"/>
      <c r="IO628" s="23"/>
      <c r="IP628" s="23"/>
      <c r="IQ628" s="23"/>
      <c r="IR628" s="23"/>
      <c r="IS628" s="23"/>
      <c r="IT628" s="23"/>
      <c r="IU628" s="23"/>
      <c r="IV628" s="23"/>
      <c r="IW628" s="23"/>
      <c r="IX628" s="23"/>
      <c r="IY628" s="23"/>
      <c r="IZ628" s="23"/>
      <c r="JA628" s="23"/>
      <c r="JB628" s="23"/>
      <c r="JC628" s="23"/>
      <c r="JD628" s="23"/>
      <c r="JE628" s="23"/>
      <c r="JF628" s="23"/>
      <c r="JG628" s="23"/>
      <c r="JH628" s="23"/>
      <c r="JI628" s="23"/>
      <c r="JJ628" s="23"/>
      <c r="JK628" s="23"/>
      <c r="JL628" s="23"/>
      <c r="JM628" s="23"/>
      <c r="JN628" s="23"/>
      <c r="JO628" s="23"/>
      <c r="JP628" s="23"/>
      <c r="JQ628" s="23"/>
      <c r="JR628" s="23"/>
      <c r="JS628" s="23"/>
      <c r="JT628" s="23"/>
      <c r="JU628" s="23"/>
      <c r="JV628" s="23"/>
      <c r="JW628" s="23"/>
      <c r="JX628" s="23"/>
      <c r="JY628" s="23"/>
      <c r="JZ628" s="23"/>
      <c r="KA628" s="23"/>
      <c r="KB628" s="23"/>
      <c r="KC628" s="23"/>
      <c r="KD628" s="23"/>
      <c r="KE628" s="23"/>
      <c r="KF628" s="23"/>
      <c r="KG628" s="23"/>
      <c r="KH628" s="23"/>
      <c r="KI628" s="23"/>
      <c r="KJ628" s="23"/>
      <c r="KK628" s="23"/>
      <c r="KL628" s="23"/>
      <c r="KM628" s="23"/>
      <c r="KN628" s="23"/>
      <c r="KO628" s="23"/>
      <c r="KP628" s="23"/>
      <c r="KQ628" s="23"/>
      <c r="KR628" s="23"/>
      <c r="KS628" s="23"/>
      <c r="KT628" s="23"/>
      <c r="KU628" s="23"/>
      <c r="KV628" s="23"/>
      <c r="KW628" s="23"/>
      <c r="KX628" s="23"/>
      <c r="KY628" s="23"/>
      <c r="KZ628" s="23"/>
      <c r="LA628" s="23"/>
      <c r="LB628" s="23"/>
      <c r="LC628" s="23"/>
      <c r="LD628" s="23"/>
      <c r="LE628" s="23"/>
      <c r="LF628" s="23"/>
      <c r="LG628" s="23"/>
      <c r="LH628" s="23"/>
      <c r="LI628" s="23"/>
      <c r="LJ628" s="23"/>
      <c r="LK628" s="23"/>
      <c r="LL628" s="23"/>
      <c r="LM628" s="23"/>
      <c r="LN628" s="23"/>
      <c r="LO628" s="23"/>
    </row>
    <row r="629" spans="1:327">
      <c r="A629" s="390"/>
      <c r="B629" s="23"/>
      <c r="C629" s="391"/>
      <c r="D629" s="391"/>
      <c r="E629" s="23"/>
      <c r="F629" s="23"/>
      <c r="G629" s="392"/>
      <c r="H629" s="392"/>
      <c r="I629" s="392"/>
      <c r="J629" s="392"/>
      <c r="K629" s="392"/>
      <c r="L629" s="392"/>
      <c r="M629" s="392"/>
      <c r="N629" s="23"/>
      <c r="O629" s="39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  <c r="IL629" s="23"/>
      <c r="IM629" s="23"/>
      <c r="IN629" s="23"/>
      <c r="IO629" s="23"/>
      <c r="IP629" s="23"/>
      <c r="IQ629" s="23"/>
      <c r="IR629" s="23"/>
      <c r="IS629" s="23"/>
      <c r="IT629" s="23"/>
      <c r="IU629" s="23"/>
      <c r="IV629" s="23"/>
      <c r="IW629" s="23"/>
      <c r="IX629" s="23"/>
      <c r="IY629" s="23"/>
      <c r="IZ629" s="23"/>
      <c r="JA629" s="23"/>
      <c r="JB629" s="23"/>
      <c r="JC629" s="23"/>
      <c r="JD629" s="23"/>
      <c r="JE629" s="23"/>
      <c r="JF629" s="23"/>
      <c r="JG629" s="23"/>
      <c r="JH629" s="23"/>
      <c r="JI629" s="23"/>
      <c r="JJ629" s="23"/>
      <c r="JK629" s="23"/>
      <c r="JL629" s="23"/>
      <c r="JM629" s="23"/>
      <c r="JN629" s="23"/>
      <c r="JO629" s="23"/>
      <c r="JP629" s="23"/>
      <c r="JQ629" s="23"/>
      <c r="JR629" s="23"/>
      <c r="JS629" s="23"/>
      <c r="JT629" s="23"/>
      <c r="JU629" s="23"/>
      <c r="JV629" s="23"/>
      <c r="JW629" s="23"/>
      <c r="JX629" s="23"/>
      <c r="JY629" s="23"/>
      <c r="JZ629" s="23"/>
      <c r="KA629" s="23"/>
      <c r="KB629" s="23"/>
      <c r="KC629" s="23"/>
      <c r="KD629" s="23"/>
      <c r="KE629" s="23"/>
      <c r="KF629" s="23"/>
      <c r="KG629" s="23"/>
      <c r="KH629" s="23"/>
      <c r="KI629" s="23"/>
      <c r="KJ629" s="23"/>
      <c r="KK629" s="23"/>
      <c r="KL629" s="23"/>
      <c r="KM629" s="23"/>
      <c r="KN629" s="23"/>
      <c r="KO629" s="23"/>
      <c r="KP629" s="23"/>
      <c r="KQ629" s="23"/>
      <c r="KR629" s="23"/>
      <c r="KS629" s="23"/>
      <c r="KT629" s="23"/>
      <c r="KU629" s="23"/>
      <c r="KV629" s="23"/>
      <c r="KW629" s="23"/>
      <c r="KX629" s="23"/>
      <c r="KY629" s="23"/>
      <c r="KZ629" s="23"/>
      <c r="LA629" s="23"/>
      <c r="LB629" s="23"/>
      <c r="LC629" s="23"/>
      <c r="LD629" s="23"/>
      <c r="LE629" s="23"/>
      <c r="LF629" s="23"/>
      <c r="LG629" s="23"/>
      <c r="LH629" s="23"/>
      <c r="LI629" s="23"/>
      <c r="LJ629" s="23"/>
      <c r="LK629" s="23"/>
      <c r="LL629" s="23"/>
      <c r="LM629" s="23"/>
      <c r="LN629" s="23"/>
      <c r="LO629" s="23"/>
    </row>
    <row r="630" spans="1:327">
      <c r="A630" s="390"/>
      <c r="B630" s="23"/>
      <c r="C630" s="391"/>
      <c r="D630" s="391"/>
      <c r="E630" s="23"/>
      <c r="F630" s="23"/>
      <c r="G630" s="392"/>
      <c r="H630" s="392"/>
      <c r="I630" s="392"/>
      <c r="J630" s="392"/>
      <c r="K630" s="392"/>
      <c r="L630" s="392"/>
      <c r="M630" s="392"/>
      <c r="N630" s="23"/>
      <c r="O630" s="39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  <c r="IL630" s="23"/>
      <c r="IM630" s="23"/>
      <c r="IN630" s="23"/>
      <c r="IO630" s="23"/>
      <c r="IP630" s="23"/>
      <c r="IQ630" s="23"/>
      <c r="IR630" s="23"/>
      <c r="IS630" s="23"/>
      <c r="IT630" s="23"/>
      <c r="IU630" s="23"/>
      <c r="IV630" s="23"/>
      <c r="IW630" s="23"/>
      <c r="IX630" s="23"/>
      <c r="IY630" s="23"/>
      <c r="IZ630" s="23"/>
      <c r="JA630" s="23"/>
      <c r="JB630" s="23"/>
      <c r="JC630" s="23"/>
      <c r="JD630" s="23"/>
      <c r="JE630" s="23"/>
      <c r="JF630" s="23"/>
      <c r="JG630" s="23"/>
      <c r="JH630" s="23"/>
      <c r="JI630" s="23"/>
      <c r="JJ630" s="23"/>
      <c r="JK630" s="23"/>
      <c r="JL630" s="23"/>
      <c r="JM630" s="23"/>
      <c r="JN630" s="23"/>
      <c r="JO630" s="23"/>
      <c r="JP630" s="23"/>
      <c r="JQ630" s="23"/>
      <c r="JR630" s="23"/>
      <c r="JS630" s="23"/>
      <c r="JT630" s="23"/>
      <c r="JU630" s="23"/>
      <c r="JV630" s="23"/>
      <c r="JW630" s="23"/>
      <c r="JX630" s="23"/>
      <c r="JY630" s="23"/>
      <c r="JZ630" s="23"/>
      <c r="KA630" s="23"/>
      <c r="KB630" s="23"/>
      <c r="KC630" s="23"/>
      <c r="KD630" s="23"/>
      <c r="KE630" s="23"/>
      <c r="KF630" s="23"/>
      <c r="KG630" s="23"/>
      <c r="KH630" s="23"/>
      <c r="KI630" s="23"/>
      <c r="KJ630" s="23"/>
      <c r="KK630" s="23"/>
      <c r="KL630" s="23"/>
      <c r="KM630" s="23"/>
      <c r="KN630" s="23"/>
      <c r="KO630" s="23"/>
      <c r="KP630" s="23"/>
      <c r="KQ630" s="23"/>
      <c r="KR630" s="23"/>
      <c r="KS630" s="23"/>
      <c r="KT630" s="23"/>
      <c r="KU630" s="23"/>
      <c r="KV630" s="23"/>
      <c r="KW630" s="23"/>
      <c r="KX630" s="23"/>
      <c r="KY630" s="23"/>
      <c r="KZ630" s="23"/>
      <c r="LA630" s="23"/>
      <c r="LB630" s="23"/>
      <c r="LC630" s="23"/>
      <c r="LD630" s="23"/>
      <c r="LE630" s="23"/>
      <c r="LF630" s="23"/>
      <c r="LG630" s="23"/>
      <c r="LH630" s="23"/>
      <c r="LI630" s="23"/>
      <c r="LJ630" s="23"/>
      <c r="LK630" s="23"/>
      <c r="LL630" s="23"/>
      <c r="LM630" s="23"/>
      <c r="LN630" s="23"/>
      <c r="LO630" s="23"/>
    </row>
    <row r="631" spans="1:327">
      <c r="A631" s="390"/>
      <c r="B631" s="23"/>
      <c r="C631" s="391"/>
      <c r="D631" s="391"/>
      <c r="E631" s="23"/>
      <c r="F631" s="23"/>
      <c r="G631" s="392"/>
      <c r="H631" s="392"/>
      <c r="I631" s="392"/>
      <c r="J631" s="392"/>
      <c r="K631" s="392"/>
      <c r="L631" s="392"/>
      <c r="M631" s="392"/>
      <c r="N631" s="23"/>
      <c r="O631" s="39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  <c r="IL631" s="23"/>
      <c r="IM631" s="23"/>
      <c r="IN631" s="23"/>
      <c r="IO631" s="23"/>
      <c r="IP631" s="23"/>
      <c r="IQ631" s="23"/>
      <c r="IR631" s="23"/>
      <c r="IS631" s="23"/>
      <c r="IT631" s="23"/>
      <c r="IU631" s="23"/>
      <c r="IV631" s="23"/>
      <c r="IW631" s="23"/>
      <c r="IX631" s="23"/>
      <c r="IY631" s="23"/>
      <c r="IZ631" s="23"/>
      <c r="JA631" s="23"/>
      <c r="JB631" s="23"/>
      <c r="JC631" s="23"/>
      <c r="JD631" s="23"/>
      <c r="JE631" s="23"/>
      <c r="JF631" s="23"/>
      <c r="JG631" s="23"/>
      <c r="JH631" s="23"/>
      <c r="JI631" s="23"/>
      <c r="JJ631" s="23"/>
      <c r="JK631" s="23"/>
      <c r="JL631" s="23"/>
      <c r="JM631" s="23"/>
      <c r="JN631" s="23"/>
      <c r="JO631" s="23"/>
      <c r="JP631" s="23"/>
      <c r="JQ631" s="23"/>
      <c r="JR631" s="23"/>
      <c r="JS631" s="23"/>
      <c r="JT631" s="23"/>
      <c r="JU631" s="23"/>
      <c r="JV631" s="23"/>
      <c r="JW631" s="23"/>
      <c r="JX631" s="23"/>
      <c r="JY631" s="23"/>
      <c r="JZ631" s="23"/>
      <c r="KA631" s="23"/>
      <c r="KB631" s="23"/>
      <c r="KC631" s="23"/>
      <c r="KD631" s="23"/>
      <c r="KE631" s="23"/>
      <c r="KF631" s="23"/>
      <c r="KG631" s="23"/>
      <c r="KH631" s="23"/>
      <c r="KI631" s="23"/>
      <c r="KJ631" s="23"/>
      <c r="KK631" s="23"/>
      <c r="KL631" s="23"/>
      <c r="KM631" s="23"/>
      <c r="KN631" s="23"/>
      <c r="KO631" s="23"/>
      <c r="KP631" s="23"/>
      <c r="KQ631" s="23"/>
      <c r="KR631" s="23"/>
      <c r="KS631" s="23"/>
      <c r="KT631" s="23"/>
      <c r="KU631" s="23"/>
      <c r="KV631" s="23"/>
      <c r="KW631" s="23"/>
      <c r="KX631" s="23"/>
      <c r="KY631" s="23"/>
      <c r="KZ631" s="23"/>
      <c r="LA631" s="23"/>
      <c r="LB631" s="23"/>
      <c r="LC631" s="23"/>
      <c r="LD631" s="23"/>
      <c r="LE631" s="23"/>
      <c r="LF631" s="23"/>
      <c r="LG631" s="23"/>
      <c r="LH631" s="23"/>
      <c r="LI631" s="23"/>
      <c r="LJ631" s="23"/>
      <c r="LK631" s="23"/>
      <c r="LL631" s="23"/>
      <c r="LM631" s="23"/>
      <c r="LN631" s="23"/>
      <c r="LO631" s="23"/>
    </row>
    <row r="632" spans="1:327">
      <c r="A632" s="390"/>
      <c r="B632" s="23"/>
      <c r="C632" s="391"/>
      <c r="D632" s="391"/>
      <c r="E632" s="23"/>
      <c r="F632" s="23"/>
      <c r="G632" s="392"/>
      <c r="H632" s="392"/>
      <c r="I632" s="392"/>
      <c r="J632" s="392"/>
      <c r="K632" s="392"/>
      <c r="L632" s="392"/>
      <c r="M632" s="392"/>
      <c r="N632" s="23"/>
      <c r="O632" s="39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  <c r="IL632" s="23"/>
      <c r="IM632" s="23"/>
      <c r="IN632" s="23"/>
      <c r="IO632" s="23"/>
      <c r="IP632" s="23"/>
      <c r="IQ632" s="23"/>
      <c r="IR632" s="23"/>
      <c r="IS632" s="23"/>
      <c r="IT632" s="23"/>
      <c r="IU632" s="23"/>
      <c r="IV632" s="23"/>
      <c r="IW632" s="23"/>
      <c r="IX632" s="23"/>
      <c r="IY632" s="23"/>
      <c r="IZ632" s="23"/>
      <c r="JA632" s="23"/>
      <c r="JB632" s="23"/>
      <c r="JC632" s="23"/>
      <c r="JD632" s="23"/>
      <c r="JE632" s="23"/>
      <c r="JF632" s="23"/>
      <c r="JG632" s="23"/>
      <c r="JH632" s="23"/>
      <c r="JI632" s="23"/>
      <c r="JJ632" s="23"/>
      <c r="JK632" s="23"/>
      <c r="JL632" s="23"/>
      <c r="JM632" s="23"/>
      <c r="JN632" s="23"/>
      <c r="JO632" s="23"/>
      <c r="JP632" s="23"/>
      <c r="JQ632" s="23"/>
      <c r="JR632" s="23"/>
      <c r="JS632" s="23"/>
      <c r="JT632" s="23"/>
      <c r="JU632" s="23"/>
      <c r="JV632" s="23"/>
      <c r="JW632" s="23"/>
      <c r="JX632" s="23"/>
      <c r="JY632" s="23"/>
      <c r="JZ632" s="23"/>
      <c r="KA632" s="23"/>
      <c r="KB632" s="23"/>
      <c r="KC632" s="23"/>
      <c r="KD632" s="23"/>
      <c r="KE632" s="23"/>
      <c r="KF632" s="23"/>
      <c r="KG632" s="23"/>
      <c r="KH632" s="23"/>
      <c r="KI632" s="23"/>
      <c r="KJ632" s="23"/>
      <c r="KK632" s="23"/>
      <c r="KL632" s="23"/>
      <c r="KM632" s="23"/>
      <c r="KN632" s="23"/>
      <c r="KO632" s="23"/>
      <c r="KP632" s="23"/>
      <c r="KQ632" s="23"/>
      <c r="KR632" s="23"/>
      <c r="KS632" s="23"/>
      <c r="KT632" s="23"/>
      <c r="KU632" s="23"/>
      <c r="KV632" s="23"/>
      <c r="KW632" s="23"/>
      <c r="KX632" s="23"/>
      <c r="KY632" s="23"/>
      <c r="KZ632" s="23"/>
      <c r="LA632" s="23"/>
      <c r="LB632" s="23"/>
      <c r="LC632" s="23"/>
      <c r="LD632" s="23"/>
      <c r="LE632" s="23"/>
      <c r="LF632" s="23"/>
      <c r="LG632" s="23"/>
      <c r="LH632" s="23"/>
      <c r="LI632" s="23"/>
      <c r="LJ632" s="23"/>
      <c r="LK632" s="23"/>
      <c r="LL632" s="23"/>
      <c r="LM632" s="23"/>
      <c r="LN632" s="23"/>
      <c r="LO632" s="23"/>
    </row>
    <row r="633" spans="1:327">
      <c r="A633" s="390"/>
      <c r="B633" s="23"/>
      <c r="C633" s="391"/>
      <c r="D633" s="391"/>
      <c r="E633" s="23"/>
      <c r="F633" s="23"/>
      <c r="G633" s="392"/>
      <c r="H633" s="392"/>
      <c r="I633" s="392"/>
      <c r="J633" s="392"/>
      <c r="K633" s="392"/>
      <c r="L633" s="392"/>
      <c r="M633" s="392"/>
      <c r="N633" s="23"/>
      <c r="O633" s="39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  <c r="IL633" s="23"/>
      <c r="IM633" s="23"/>
      <c r="IN633" s="23"/>
      <c r="IO633" s="23"/>
      <c r="IP633" s="23"/>
      <c r="IQ633" s="23"/>
      <c r="IR633" s="23"/>
      <c r="IS633" s="23"/>
      <c r="IT633" s="23"/>
      <c r="IU633" s="23"/>
      <c r="IV633" s="23"/>
      <c r="IW633" s="23"/>
      <c r="IX633" s="23"/>
      <c r="IY633" s="23"/>
      <c r="IZ633" s="23"/>
      <c r="JA633" s="23"/>
      <c r="JB633" s="23"/>
      <c r="JC633" s="23"/>
      <c r="JD633" s="23"/>
      <c r="JE633" s="23"/>
      <c r="JF633" s="23"/>
      <c r="JG633" s="23"/>
      <c r="JH633" s="23"/>
      <c r="JI633" s="23"/>
      <c r="JJ633" s="23"/>
      <c r="JK633" s="23"/>
      <c r="JL633" s="23"/>
      <c r="JM633" s="23"/>
      <c r="JN633" s="23"/>
      <c r="JO633" s="23"/>
      <c r="JP633" s="23"/>
      <c r="JQ633" s="23"/>
      <c r="JR633" s="23"/>
      <c r="JS633" s="23"/>
      <c r="JT633" s="23"/>
      <c r="JU633" s="23"/>
      <c r="JV633" s="23"/>
      <c r="JW633" s="23"/>
      <c r="JX633" s="23"/>
      <c r="JY633" s="23"/>
      <c r="JZ633" s="23"/>
      <c r="KA633" s="23"/>
      <c r="KB633" s="23"/>
      <c r="KC633" s="23"/>
      <c r="KD633" s="23"/>
      <c r="KE633" s="23"/>
      <c r="KF633" s="23"/>
      <c r="KG633" s="23"/>
      <c r="KH633" s="23"/>
      <c r="KI633" s="23"/>
      <c r="KJ633" s="23"/>
      <c r="KK633" s="23"/>
      <c r="KL633" s="23"/>
      <c r="KM633" s="23"/>
      <c r="KN633" s="23"/>
      <c r="KO633" s="23"/>
      <c r="KP633" s="23"/>
      <c r="KQ633" s="23"/>
      <c r="KR633" s="23"/>
      <c r="KS633" s="23"/>
      <c r="KT633" s="23"/>
      <c r="KU633" s="23"/>
      <c r="KV633" s="23"/>
      <c r="KW633" s="23"/>
      <c r="KX633" s="23"/>
      <c r="KY633" s="23"/>
      <c r="KZ633" s="23"/>
      <c r="LA633" s="23"/>
      <c r="LB633" s="23"/>
      <c r="LC633" s="23"/>
      <c r="LD633" s="23"/>
      <c r="LE633" s="23"/>
      <c r="LF633" s="23"/>
      <c r="LG633" s="23"/>
      <c r="LH633" s="23"/>
      <c r="LI633" s="23"/>
      <c r="LJ633" s="23"/>
      <c r="LK633" s="23"/>
      <c r="LL633" s="23"/>
      <c r="LM633" s="23"/>
      <c r="LN633" s="23"/>
      <c r="LO633" s="23"/>
    </row>
    <row r="634" spans="1:327">
      <c r="A634" s="390"/>
      <c r="B634" s="23"/>
      <c r="C634" s="391"/>
      <c r="D634" s="391"/>
      <c r="E634" s="23"/>
      <c r="F634" s="23"/>
      <c r="G634" s="392"/>
      <c r="H634" s="392"/>
      <c r="I634" s="392"/>
      <c r="J634" s="392"/>
      <c r="K634" s="392"/>
      <c r="L634" s="392"/>
      <c r="M634" s="392"/>
      <c r="N634" s="23"/>
      <c r="O634" s="39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  <c r="IL634" s="23"/>
      <c r="IM634" s="23"/>
      <c r="IN634" s="23"/>
      <c r="IO634" s="23"/>
      <c r="IP634" s="23"/>
      <c r="IQ634" s="23"/>
      <c r="IR634" s="23"/>
      <c r="IS634" s="23"/>
      <c r="IT634" s="23"/>
      <c r="IU634" s="23"/>
      <c r="IV634" s="23"/>
      <c r="IW634" s="23"/>
      <c r="IX634" s="23"/>
      <c r="IY634" s="23"/>
      <c r="IZ634" s="23"/>
      <c r="JA634" s="23"/>
      <c r="JB634" s="23"/>
      <c r="JC634" s="23"/>
      <c r="JD634" s="23"/>
      <c r="JE634" s="23"/>
      <c r="JF634" s="23"/>
      <c r="JG634" s="23"/>
      <c r="JH634" s="23"/>
      <c r="JI634" s="23"/>
      <c r="JJ634" s="23"/>
      <c r="JK634" s="23"/>
      <c r="JL634" s="23"/>
      <c r="JM634" s="23"/>
      <c r="JN634" s="23"/>
      <c r="JO634" s="23"/>
      <c r="JP634" s="23"/>
      <c r="JQ634" s="23"/>
      <c r="JR634" s="23"/>
      <c r="JS634" s="23"/>
      <c r="JT634" s="23"/>
      <c r="JU634" s="23"/>
      <c r="JV634" s="23"/>
      <c r="JW634" s="23"/>
      <c r="JX634" s="23"/>
      <c r="JY634" s="23"/>
      <c r="JZ634" s="23"/>
      <c r="KA634" s="23"/>
      <c r="KB634" s="23"/>
      <c r="KC634" s="23"/>
      <c r="KD634" s="23"/>
      <c r="KE634" s="23"/>
      <c r="KF634" s="23"/>
      <c r="KG634" s="23"/>
      <c r="KH634" s="23"/>
      <c r="KI634" s="23"/>
      <c r="KJ634" s="23"/>
      <c r="KK634" s="23"/>
      <c r="KL634" s="23"/>
      <c r="KM634" s="23"/>
      <c r="KN634" s="23"/>
      <c r="KO634" s="23"/>
      <c r="KP634" s="23"/>
      <c r="KQ634" s="23"/>
      <c r="KR634" s="23"/>
      <c r="KS634" s="23"/>
      <c r="KT634" s="23"/>
      <c r="KU634" s="23"/>
      <c r="KV634" s="23"/>
      <c r="KW634" s="23"/>
      <c r="KX634" s="23"/>
      <c r="KY634" s="23"/>
      <c r="KZ634" s="23"/>
      <c r="LA634" s="23"/>
      <c r="LB634" s="23"/>
      <c r="LC634" s="23"/>
      <c r="LD634" s="23"/>
      <c r="LE634" s="23"/>
      <c r="LF634" s="23"/>
      <c r="LG634" s="23"/>
      <c r="LH634" s="23"/>
      <c r="LI634" s="23"/>
      <c r="LJ634" s="23"/>
      <c r="LK634" s="23"/>
      <c r="LL634" s="23"/>
      <c r="LM634" s="23"/>
      <c r="LN634" s="23"/>
      <c r="LO634" s="23"/>
    </row>
    <row r="635" spans="1:327">
      <c r="A635" s="390"/>
      <c r="B635" s="23"/>
      <c r="C635" s="391"/>
      <c r="D635" s="391"/>
      <c r="E635" s="23"/>
      <c r="F635" s="23"/>
      <c r="G635" s="392"/>
      <c r="H635" s="392"/>
      <c r="I635" s="392"/>
      <c r="J635" s="392"/>
      <c r="K635" s="392"/>
      <c r="L635" s="392"/>
      <c r="M635" s="392"/>
      <c r="N635" s="23"/>
      <c r="O635" s="39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  <c r="IL635" s="23"/>
      <c r="IM635" s="23"/>
      <c r="IN635" s="23"/>
      <c r="IO635" s="23"/>
      <c r="IP635" s="23"/>
      <c r="IQ635" s="23"/>
      <c r="IR635" s="23"/>
      <c r="IS635" s="23"/>
      <c r="IT635" s="23"/>
      <c r="IU635" s="23"/>
      <c r="IV635" s="23"/>
      <c r="IW635" s="23"/>
      <c r="IX635" s="23"/>
      <c r="IY635" s="23"/>
      <c r="IZ635" s="23"/>
      <c r="JA635" s="23"/>
      <c r="JB635" s="23"/>
      <c r="JC635" s="23"/>
      <c r="JD635" s="23"/>
      <c r="JE635" s="23"/>
      <c r="JF635" s="23"/>
      <c r="JG635" s="23"/>
      <c r="JH635" s="23"/>
      <c r="JI635" s="23"/>
      <c r="JJ635" s="23"/>
      <c r="JK635" s="23"/>
      <c r="JL635" s="23"/>
      <c r="JM635" s="23"/>
      <c r="JN635" s="23"/>
      <c r="JO635" s="23"/>
      <c r="JP635" s="23"/>
      <c r="JQ635" s="23"/>
      <c r="JR635" s="23"/>
      <c r="JS635" s="23"/>
      <c r="JT635" s="23"/>
      <c r="JU635" s="23"/>
      <c r="JV635" s="23"/>
      <c r="JW635" s="23"/>
      <c r="JX635" s="23"/>
      <c r="JY635" s="23"/>
      <c r="JZ635" s="23"/>
      <c r="KA635" s="23"/>
      <c r="KB635" s="23"/>
      <c r="KC635" s="23"/>
      <c r="KD635" s="23"/>
      <c r="KE635" s="23"/>
      <c r="KF635" s="23"/>
      <c r="KG635" s="23"/>
      <c r="KH635" s="23"/>
      <c r="KI635" s="23"/>
      <c r="KJ635" s="23"/>
      <c r="KK635" s="23"/>
      <c r="KL635" s="23"/>
      <c r="KM635" s="23"/>
      <c r="KN635" s="23"/>
      <c r="KO635" s="23"/>
      <c r="KP635" s="23"/>
      <c r="KQ635" s="23"/>
      <c r="KR635" s="23"/>
      <c r="KS635" s="23"/>
      <c r="KT635" s="23"/>
      <c r="KU635" s="23"/>
      <c r="KV635" s="23"/>
      <c r="KW635" s="23"/>
      <c r="KX635" s="23"/>
      <c r="KY635" s="23"/>
      <c r="KZ635" s="23"/>
      <c r="LA635" s="23"/>
      <c r="LB635" s="23"/>
      <c r="LC635" s="23"/>
      <c r="LD635" s="23"/>
      <c r="LE635" s="23"/>
      <c r="LF635" s="23"/>
      <c r="LG635" s="23"/>
      <c r="LH635" s="23"/>
      <c r="LI635" s="23"/>
      <c r="LJ635" s="23"/>
      <c r="LK635" s="23"/>
      <c r="LL635" s="23"/>
      <c r="LM635" s="23"/>
      <c r="LN635" s="23"/>
      <c r="LO635" s="23"/>
    </row>
    <row r="636" spans="1:327">
      <c r="A636" s="390"/>
      <c r="B636" s="23"/>
      <c r="C636" s="391"/>
      <c r="D636" s="391"/>
      <c r="E636" s="23"/>
      <c r="F636" s="23"/>
      <c r="G636" s="392"/>
      <c r="H636" s="392"/>
      <c r="I636" s="392"/>
      <c r="J636" s="392"/>
      <c r="K636" s="392"/>
      <c r="L636" s="392"/>
      <c r="M636" s="392"/>
      <c r="N636" s="23"/>
      <c r="O636" s="39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  <c r="IL636" s="23"/>
      <c r="IM636" s="23"/>
      <c r="IN636" s="23"/>
      <c r="IO636" s="23"/>
      <c r="IP636" s="23"/>
      <c r="IQ636" s="23"/>
      <c r="IR636" s="23"/>
      <c r="IS636" s="23"/>
      <c r="IT636" s="23"/>
      <c r="IU636" s="23"/>
      <c r="IV636" s="23"/>
      <c r="IW636" s="23"/>
      <c r="IX636" s="23"/>
      <c r="IY636" s="23"/>
      <c r="IZ636" s="23"/>
      <c r="JA636" s="23"/>
      <c r="JB636" s="23"/>
      <c r="JC636" s="23"/>
      <c r="JD636" s="23"/>
      <c r="JE636" s="23"/>
      <c r="JF636" s="23"/>
      <c r="JG636" s="23"/>
      <c r="JH636" s="23"/>
      <c r="JI636" s="23"/>
      <c r="JJ636" s="23"/>
      <c r="JK636" s="23"/>
      <c r="JL636" s="23"/>
      <c r="JM636" s="23"/>
      <c r="JN636" s="23"/>
      <c r="JO636" s="23"/>
      <c r="JP636" s="23"/>
      <c r="JQ636" s="23"/>
      <c r="JR636" s="23"/>
      <c r="JS636" s="23"/>
      <c r="JT636" s="23"/>
      <c r="JU636" s="23"/>
      <c r="JV636" s="23"/>
      <c r="JW636" s="23"/>
      <c r="JX636" s="23"/>
      <c r="JY636" s="23"/>
      <c r="JZ636" s="23"/>
      <c r="KA636" s="23"/>
      <c r="KB636" s="23"/>
      <c r="KC636" s="23"/>
      <c r="KD636" s="23"/>
      <c r="KE636" s="23"/>
      <c r="KF636" s="23"/>
      <c r="KG636" s="23"/>
      <c r="KH636" s="23"/>
      <c r="KI636" s="23"/>
      <c r="KJ636" s="23"/>
      <c r="KK636" s="23"/>
      <c r="KL636" s="23"/>
      <c r="KM636" s="23"/>
      <c r="KN636" s="23"/>
      <c r="KO636" s="23"/>
      <c r="KP636" s="23"/>
      <c r="KQ636" s="23"/>
      <c r="KR636" s="23"/>
      <c r="KS636" s="23"/>
      <c r="KT636" s="23"/>
      <c r="KU636" s="23"/>
      <c r="KV636" s="23"/>
      <c r="KW636" s="23"/>
      <c r="KX636" s="23"/>
      <c r="KY636" s="23"/>
      <c r="KZ636" s="23"/>
      <c r="LA636" s="23"/>
      <c r="LB636" s="23"/>
      <c r="LC636" s="23"/>
      <c r="LD636" s="23"/>
      <c r="LE636" s="23"/>
      <c r="LF636" s="23"/>
      <c r="LG636" s="23"/>
      <c r="LH636" s="23"/>
      <c r="LI636" s="23"/>
      <c r="LJ636" s="23"/>
      <c r="LK636" s="23"/>
      <c r="LL636" s="23"/>
      <c r="LM636" s="23"/>
      <c r="LN636" s="23"/>
      <c r="LO636" s="23"/>
    </row>
    <row r="637" spans="1:327">
      <c r="A637" s="390"/>
      <c r="B637" s="23"/>
      <c r="C637" s="391"/>
      <c r="D637" s="391"/>
      <c r="E637" s="23"/>
      <c r="F637" s="23"/>
      <c r="G637" s="392"/>
      <c r="H637" s="392"/>
      <c r="I637" s="392"/>
      <c r="J637" s="392"/>
      <c r="K637" s="392"/>
      <c r="L637" s="392"/>
      <c r="M637" s="392"/>
      <c r="N637" s="23"/>
      <c r="O637" s="39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  <c r="IL637" s="23"/>
      <c r="IM637" s="23"/>
      <c r="IN637" s="23"/>
      <c r="IO637" s="23"/>
      <c r="IP637" s="23"/>
      <c r="IQ637" s="23"/>
      <c r="IR637" s="23"/>
      <c r="IS637" s="23"/>
      <c r="IT637" s="23"/>
      <c r="IU637" s="23"/>
      <c r="IV637" s="23"/>
      <c r="IW637" s="23"/>
      <c r="IX637" s="23"/>
      <c r="IY637" s="23"/>
      <c r="IZ637" s="23"/>
      <c r="JA637" s="23"/>
      <c r="JB637" s="23"/>
      <c r="JC637" s="23"/>
      <c r="JD637" s="23"/>
      <c r="JE637" s="23"/>
      <c r="JF637" s="23"/>
      <c r="JG637" s="23"/>
      <c r="JH637" s="23"/>
      <c r="JI637" s="23"/>
      <c r="JJ637" s="23"/>
      <c r="JK637" s="23"/>
      <c r="JL637" s="23"/>
      <c r="JM637" s="23"/>
      <c r="JN637" s="23"/>
      <c r="JO637" s="23"/>
      <c r="JP637" s="23"/>
      <c r="JQ637" s="23"/>
      <c r="JR637" s="23"/>
      <c r="JS637" s="23"/>
      <c r="JT637" s="23"/>
      <c r="JU637" s="23"/>
      <c r="JV637" s="23"/>
      <c r="JW637" s="23"/>
      <c r="JX637" s="23"/>
      <c r="JY637" s="23"/>
      <c r="JZ637" s="23"/>
      <c r="KA637" s="23"/>
      <c r="KB637" s="23"/>
      <c r="KC637" s="23"/>
      <c r="KD637" s="23"/>
      <c r="KE637" s="23"/>
      <c r="KF637" s="23"/>
      <c r="KG637" s="23"/>
      <c r="KH637" s="23"/>
      <c r="KI637" s="23"/>
      <c r="KJ637" s="23"/>
      <c r="KK637" s="23"/>
      <c r="KL637" s="23"/>
      <c r="KM637" s="23"/>
      <c r="KN637" s="23"/>
      <c r="KO637" s="23"/>
      <c r="KP637" s="23"/>
      <c r="KQ637" s="23"/>
      <c r="KR637" s="23"/>
      <c r="KS637" s="23"/>
      <c r="KT637" s="23"/>
      <c r="KU637" s="23"/>
      <c r="KV637" s="23"/>
      <c r="KW637" s="23"/>
      <c r="KX637" s="23"/>
      <c r="KY637" s="23"/>
      <c r="KZ637" s="23"/>
      <c r="LA637" s="23"/>
      <c r="LB637" s="23"/>
      <c r="LC637" s="23"/>
      <c r="LD637" s="23"/>
      <c r="LE637" s="23"/>
      <c r="LF637" s="23"/>
      <c r="LG637" s="23"/>
      <c r="LH637" s="23"/>
      <c r="LI637" s="23"/>
      <c r="LJ637" s="23"/>
      <c r="LK637" s="23"/>
      <c r="LL637" s="23"/>
      <c r="LM637" s="23"/>
      <c r="LN637" s="23"/>
      <c r="LO637" s="23"/>
    </row>
    <row r="638" spans="1:327">
      <c r="A638" s="390"/>
      <c r="B638" s="23"/>
      <c r="C638" s="391"/>
      <c r="D638" s="391"/>
      <c r="E638" s="23"/>
      <c r="F638" s="23"/>
      <c r="G638" s="392"/>
      <c r="H638" s="392"/>
      <c r="I638" s="392"/>
      <c r="J638" s="392"/>
      <c r="K638" s="392"/>
      <c r="L638" s="392"/>
      <c r="M638" s="392"/>
      <c r="N638" s="23"/>
      <c r="O638" s="39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  <c r="IL638" s="23"/>
      <c r="IM638" s="23"/>
      <c r="IN638" s="23"/>
      <c r="IO638" s="23"/>
      <c r="IP638" s="23"/>
      <c r="IQ638" s="23"/>
      <c r="IR638" s="23"/>
      <c r="IS638" s="23"/>
      <c r="IT638" s="23"/>
      <c r="IU638" s="23"/>
      <c r="IV638" s="23"/>
      <c r="IW638" s="23"/>
      <c r="IX638" s="23"/>
      <c r="IY638" s="23"/>
      <c r="IZ638" s="23"/>
      <c r="JA638" s="23"/>
      <c r="JB638" s="23"/>
      <c r="JC638" s="23"/>
      <c r="JD638" s="23"/>
      <c r="JE638" s="23"/>
      <c r="JF638" s="23"/>
      <c r="JG638" s="23"/>
      <c r="JH638" s="23"/>
      <c r="JI638" s="23"/>
      <c r="JJ638" s="23"/>
      <c r="JK638" s="23"/>
      <c r="JL638" s="23"/>
      <c r="JM638" s="23"/>
      <c r="JN638" s="23"/>
      <c r="JO638" s="23"/>
      <c r="JP638" s="23"/>
      <c r="JQ638" s="23"/>
      <c r="JR638" s="23"/>
      <c r="JS638" s="23"/>
      <c r="JT638" s="23"/>
      <c r="JU638" s="23"/>
      <c r="JV638" s="23"/>
      <c r="JW638" s="23"/>
      <c r="JX638" s="23"/>
      <c r="JY638" s="23"/>
      <c r="JZ638" s="23"/>
      <c r="KA638" s="23"/>
      <c r="KB638" s="23"/>
      <c r="KC638" s="23"/>
      <c r="KD638" s="23"/>
      <c r="KE638" s="23"/>
      <c r="KF638" s="23"/>
      <c r="KG638" s="23"/>
      <c r="KH638" s="23"/>
      <c r="KI638" s="23"/>
      <c r="KJ638" s="23"/>
      <c r="KK638" s="23"/>
      <c r="KL638" s="23"/>
      <c r="KM638" s="23"/>
      <c r="KN638" s="23"/>
      <c r="KO638" s="23"/>
      <c r="KP638" s="23"/>
      <c r="KQ638" s="23"/>
      <c r="KR638" s="23"/>
      <c r="KS638" s="23"/>
      <c r="KT638" s="23"/>
      <c r="KU638" s="23"/>
      <c r="KV638" s="23"/>
      <c r="KW638" s="23"/>
      <c r="KX638" s="23"/>
      <c r="KY638" s="23"/>
      <c r="KZ638" s="23"/>
      <c r="LA638" s="23"/>
      <c r="LB638" s="23"/>
      <c r="LC638" s="23"/>
      <c r="LD638" s="23"/>
      <c r="LE638" s="23"/>
      <c r="LF638" s="23"/>
      <c r="LG638" s="23"/>
      <c r="LH638" s="23"/>
      <c r="LI638" s="23"/>
      <c r="LJ638" s="23"/>
      <c r="LK638" s="23"/>
      <c r="LL638" s="23"/>
      <c r="LM638" s="23"/>
      <c r="LN638" s="23"/>
      <c r="LO638" s="23"/>
    </row>
    <row r="639" spans="1:327">
      <c r="A639" s="390"/>
      <c r="B639" s="23"/>
      <c r="C639" s="391"/>
      <c r="D639" s="391"/>
      <c r="E639" s="23"/>
      <c r="F639" s="23"/>
      <c r="G639" s="392"/>
      <c r="H639" s="392"/>
      <c r="I639" s="392"/>
      <c r="J639" s="392"/>
      <c r="K639" s="392"/>
      <c r="L639" s="392"/>
      <c r="M639" s="392"/>
      <c r="N639" s="23"/>
      <c r="O639" s="39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  <c r="IL639" s="23"/>
      <c r="IM639" s="23"/>
      <c r="IN639" s="23"/>
      <c r="IO639" s="23"/>
      <c r="IP639" s="23"/>
      <c r="IQ639" s="23"/>
      <c r="IR639" s="23"/>
      <c r="IS639" s="23"/>
      <c r="IT639" s="23"/>
      <c r="IU639" s="23"/>
      <c r="IV639" s="23"/>
      <c r="IW639" s="23"/>
      <c r="IX639" s="23"/>
      <c r="IY639" s="23"/>
      <c r="IZ639" s="23"/>
      <c r="JA639" s="23"/>
      <c r="JB639" s="23"/>
      <c r="JC639" s="23"/>
      <c r="JD639" s="23"/>
      <c r="JE639" s="23"/>
      <c r="JF639" s="23"/>
      <c r="JG639" s="23"/>
      <c r="JH639" s="23"/>
      <c r="JI639" s="23"/>
      <c r="JJ639" s="23"/>
      <c r="JK639" s="23"/>
      <c r="JL639" s="23"/>
      <c r="JM639" s="23"/>
      <c r="JN639" s="23"/>
      <c r="JO639" s="23"/>
      <c r="JP639" s="23"/>
      <c r="JQ639" s="23"/>
      <c r="JR639" s="23"/>
      <c r="JS639" s="23"/>
      <c r="JT639" s="23"/>
      <c r="JU639" s="23"/>
      <c r="JV639" s="23"/>
      <c r="JW639" s="23"/>
      <c r="JX639" s="23"/>
      <c r="JY639" s="23"/>
      <c r="JZ639" s="23"/>
      <c r="KA639" s="23"/>
      <c r="KB639" s="23"/>
      <c r="KC639" s="23"/>
      <c r="KD639" s="23"/>
      <c r="KE639" s="23"/>
      <c r="KF639" s="23"/>
      <c r="KG639" s="23"/>
      <c r="KH639" s="23"/>
      <c r="KI639" s="23"/>
      <c r="KJ639" s="23"/>
      <c r="KK639" s="23"/>
      <c r="KL639" s="23"/>
      <c r="KM639" s="23"/>
      <c r="KN639" s="23"/>
      <c r="KO639" s="23"/>
      <c r="KP639" s="23"/>
      <c r="KQ639" s="23"/>
      <c r="KR639" s="23"/>
      <c r="KS639" s="23"/>
      <c r="KT639" s="23"/>
      <c r="KU639" s="23"/>
      <c r="KV639" s="23"/>
      <c r="KW639" s="23"/>
      <c r="KX639" s="23"/>
      <c r="KY639" s="23"/>
      <c r="KZ639" s="23"/>
      <c r="LA639" s="23"/>
      <c r="LB639" s="23"/>
      <c r="LC639" s="23"/>
      <c r="LD639" s="23"/>
      <c r="LE639" s="23"/>
      <c r="LF639" s="23"/>
      <c r="LG639" s="23"/>
      <c r="LH639" s="23"/>
      <c r="LI639" s="23"/>
      <c r="LJ639" s="23"/>
      <c r="LK639" s="23"/>
      <c r="LL639" s="23"/>
      <c r="LM639" s="23"/>
      <c r="LN639" s="23"/>
      <c r="LO639" s="23"/>
    </row>
    <row r="640" spans="1:327">
      <c r="A640" s="390"/>
      <c r="B640" s="23"/>
      <c r="C640" s="391"/>
      <c r="D640" s="391"/>
      <c r="E640" s="23"/>
      <c r="F640" s="23"/>
      <c r="G640" s="392"/>
      <c r="H640" s="392"/>
      <c r="I640" s="392"/>
      <c r="J640" s="392"/>
      <c r="K640" s="392"/>
      <c r="L640" s="392"/>
      <c r="M640" s="392"/>
      <c r="N640" s="23"/>
      <c r="O640" s="39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  <c r="IL640" s="23"/>
      <c r="IM640" s="23"/>
      <c r="IN640" s="23"/>
      <c r="IO640" s="23"/>
      <c r="IP640" s="23"/>
      <c r="IQ640" s="23"/>
      <c r="IR640" s="23"/>
      <c r="IS640" s="23"/>
      <c r="IT640" s="23"/>
      <c r="IU640" s="23"/>
      <c r="IV640" s="23"/>
      <c r="IW640" s="23"/>
      <c r="IX640" s="23"/>
      <c r="IY640" s="23"/>
      <c r="IZ640" s="23"/>
      <c r="JA640" s="23"/>
      <c r="JB640" s="23"/>
      <c r="JC640" s="23"/>
      <c r="JD640" s="23"/>
      <c r="JE640" s="23"/>
      <c r="JF640" s="23"/>
      <c r="JG640" s="23"/>
      <c r="JH640" s="23"/>
      <c r="JI640" s="23"/>
      <c r="JJ640" s="23"/>
      <c r="JK640" s="23"/>
      <c r="JL640" s="23"/>
      <c r="JM640" s="23"/>
      <c r="JN640" s="23"/>
      <c r="JO640" s="23"/>
      <c r="JP640" s="23"/>
      <c r="JQ640" s="23"/>
      <c r="JR640" s="23"/>
      <c r="JS640" s="23"/>
      <c r="JT640" s="23"/>
      <c r="JU640" s="23"/>
      <c r="JV640" s="23"/>
      <c r="JW640" s="23"/>
      <c r="JX640" s="23"/>
      <c r="JY640" s="23"/>
      <c r="JZ640" s="23"/>
      <c r="KA640" s="23"/>
      <c r="KB640" s="23"/>
      <c r="KC640" s="23"/>
      <c r="KD640" s="23"/>
      <c r="KE640" s="23"/>
      <c r="KF640" s="23"/>
      <c r="KG640" s="23"/>
      <c r="KH640" s="23"/>
      <c r="KI640" s="23"/>
      <c r="KJ640" s="23"/>
      <c r="KK640" s="23"/>
      <c r="KL640" s="23"/>
      <c r="KM640" s="23"/>
      <c r="KN640" s="23"/>
      <c r="KO640" s="23"/>
      <c r="KP640" s="23"/>
      <c r="KQ640" s="23"/>
      <c r="KR640" s="23"/>
      <c r="KS640" s="23"/>
      <c r="KT640" s="23"/>
      <c r="KU640" s="23"/>
      <c r="KV640" s="23"/>
      <c r="KW640" s="23"/>
      <c r="KX640" s="23"/>
      <c r="KY640" s="23"/>
      <c r="KZ640" s="23"/>
      <c r="LA640" s="23"/>
      <c r="LB640" s="23"/>
      <c r="LC640" s="23"/>
      <c r="LD640" s="23"/>
      <c r="LE640" s="23"/>
      <c r="LF640" s="23"/>
      <c r="LG640" s="23"/>
      <c r="LH640" s="23"/>
      <c r="LI640" s="23"/>
      <c r="LJ640" s="23"/>
      <c r="LK640" s="23"/>
      <c r="LL640" s="23"/>
      <c r="LM640" s="23"/>
      <c r="LN640" s="23"/>
      <c r="LO640" s="23"/>
    </row>
    <row r="641" spans="1:327">
      <c r="A641" s="390"/>
      <c r="B641" s="23"/>
      <c r="C641" s="391"/>
      <c r="D641" s="391"/>
      <c r="E641" s="23"/>
      <c r="F641" s="23"/>
      <c r="G641" s="392"/>
      <c r="H641" s="392"/>
      <c r="I641" s="392"/>
      <c r="J641" s="392"/>
      <c r="K641" s="392"/>
      <c r="L641" s="392"/>
      <c r="M641" s="392"/>
      <c r="N641" s="23"/>
      <c r="O641" s="39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  <c r="IL641" s="23"/>
      <c r="IM641" s="23"/>
      <c r="IN641" s="23"/>
      <c r="IO641" s="23"/>
      <c r="IP641" s="23"/>
      <c r="IQ641" s="23"/>
      <c r="IR641" s="23"/>
      <c r="IS641" s="23"/>
      <c r="IT641" s="23"/>
      <c r="IU641" s="23"/>
      <c r="IV641" s="23"/>
      <c r="IW641" s="23"/>
      <c r="IX641" s="23"/>
      <c r="IY641" s="23"/>
      <c r="IZ641" s="23"/>
      <c r="JA641" s="23"/>
      <c r="JB641" s="23"/>
      <c r="JC641" s="23"/>
      <c r="JD641" s="23"/>
      <c r="JE641" s="23"/>
      <c r="JF641" s="23"/>
      <c r="JG641" s="23"/>
      <c r="JH641" s="23"/>
      <c r="JI641" s="23"/>
      <c r="JJ641" s="23"/>
      <c r="JK641" s="23"/>
      <c r="JL641" s="23"/>
      <c r="JM641" s="23"/>
      <c r="JN641" s="23"/>
      <c r="JO641" s="23"/>
      <c r="JP641" s="23"/>
      <c r="JQ641" s="23"/>
      <c r="JR641" s="23"/>
      <c r="JS641" s="23"/>
      <c r="JT641" s="23"/>
      <c r="JU641" s="23"/>
      <c r="JV641" s="23"/>
      <c r="JW641" s="23"/>
      <c r="JX641" s="23"/>
      <c r="JY641" s="23"/>
      <c r="JZ641" s="23"/>
      <c r="KA641" s="23"/>
      <c r="KB641" s="23"/>
      <c r="KC641" s="23"/>
      <c r="KD641" s="23"/>
      <c r="KE641" s="23"/>
      <c r="KF641" s="23"/>
      <c r="KG641" s="23"/>
      <c r="KH641" s="23"/>
      <c r="KI641" s="23"/>
      <c r="KJ641" s="23"/>
      <c r="KK641" s="23"/>
      <c r="KL641" s="23"/>
      <c r="KM641" s="23"/>
      <c r="KN641" s="23"/>
      <c r="KO641" s="23"/>
      <c r="KP641" s="23"/>
      <c r="KQ641" s="23"/>
      <c r="KR641" s="23"/>
      <c r="KS641" s="23"/>
      <c r="KT641" s="23"/>
      <c r="KU641" s="23"/>
      <c r="KV641" s="23"/>
      <c r="KW641" s="23"/>
      <c r="KX641" s="23"/>
      <c r="KY641" s="23"/>
      <c r="KZ641" s="23"/>
      <c r="LA641" s="23"/>
      <c r="LB641" s="23"/>
      <c r="LC641" s="23"/>
      <c r="LD641" s="23"/>
      <c r="LE641" s="23"/>
      <c r="LF641" s="23"/>
      <c r="LG641" s="23"/>
      <c r="LH641" s="23"/>
      <c r="LI641" s="23"/>
      <c r="LJ641" s="23"/>
      <c r="LK641" s="23"/>
      <c r="LL641" s="23"/>
      <c r="LM641" s="23"/>
      <c r="LN641" s="23"/>
      <c r="LO641" s="23"/>
    </row>
    <row r="642" spans="1:327">
      <c r="A642" s="390"/>
      <c r="B642" s="23"/>
      <c r="C642" s="391"/>
      <c r="D642" s="391"/>
      <c r="E642" s="23"/>
      <c r="F642" s="23"/>
      <c r="G642" s="392"/>
      <c r="H642" s="392"/>
      <c r="I642" s="392"/>
      <c r="J642" s="392"/>
      <c r="K642" s="392"/>
      <c r="L642" s="392"/>
      <c r="M642" s="392"/>
      <c r="N642" s="23"/>
      <c r="O642" s="39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  <c r="IL642" s="23"/>
      <c r="IM642" s="23"/>
      <c r="IN642" s="23"/>
      <c r="IO642" s="23"/>
      <c r="IP642" s="23"/>
      <c r="IQ642" s="23"/>
      <c r="IR642" s="23"/>
      <c r="IS642" s="23"/>
      <c r="IT642" s="23"/>
      <c r="IU642" s="23"/>
      <c r="IV642" s="23"/>
      <c r="IW642" s="23"/>
      <c r="IX642" s="23"/>
      <c r="IY642" s="23"/>
      <c r="IZ642" s="23"/>
      <c r="JA642" s="23"/>
      <c r="JB642" s="23"/>
      <c r="JC642" s="23"/>
      <c r="JD642" s="23"/>
      <c r="JE642" s="23"/>
      <c r="JF642" s="23"/>
      <c r="JG642" s="23"/>
      <c r="JH642" s="23"/>
      <c r="JI642" s="23"/>
      <c r="JJ642" s="23"/>
      <c r="JK642" s="23"/>
      <c r="JL642" s="23"/>
      <c r="JM642" s="23"/>
      <c r="JN642" s="23"/>
      <c r="JO642" s="23"/>
      <c r="JP642" s="23"/>
      <c r="JQ642" s="23"/>
      <c r="JR642" s="23"/>
      <c r="JS642" s="23"/>
      <c r="JT642" s="23"/>
      <c r="JU642" s="23"/>
      <c r="JV642" s="23"/>
      <c r="JW642" s="23"/>
      <c r="JX642" s="23"/>
      <c r="JY642" s="23"/>
      <c r="JZ642" s="23"/>
      <c r="KA642" s="23"/>
      <c r="KB642" s="23"/>
      <c r="KC642" s="23"/>
      <c r="KD642" s="23"/>
      <c r="KE642" s="23"/>
      <c r="KF642" s="23"/>
      <c r="KG642" s="23"/>
      <c r="KH642" s="23"/>
      <c r="KI642" s="23"/>
      <c r="KJ642" s="23"/>
      <c r="KK642" s="23"/>
      <c r="KL642" s="23"/>
      <c r="KM642" s="23"/>
      <c r="KN642" s="23"/>
      <c r="KO642" s="23"/>
      <c r="KP642" s="23"/>
      <c r="KQ642" s="23"/>
      <c r="KR642" s="23"/>
      <c r="KS642" s="23"/>
      <c r="KT642" s="23"/>
      <c r="KU642" s="23"/>
      <c r="KV642" s="23"/>
      <c r="KW642" s="23"/>
      <c r="KX642" s="23"/>
      <c r="KY642" s="23"/>
      <c r="KZ642" s="23"/>
      <c r="LA642" s="23"/>
      <c r="LB642" s="23"/>
      <c r="LC642" s="23"/>
      <c r="LD642" s="23"/>
      <c r="LE642" s="23"/>
      <c r="LF642" s="23"/>
      <c r="LG642" s="23"/>
      <c r="LH642" s="23"/>
      <c r="LI642" s="23"/>
      <c r="LJ642" s="23"/>
      <c r="LK642" s="23"/>
      <c r="LL642" s="23"/>
      <c r="LM642" s="23"/>
      <c r="LN642" s="23"/>
      <c r="LO642" s="23"/>
    </row>
    <row r="643" spans="1:327">
      <c r="A643" s="390"/>
      <c r="B643" s="23"/>
      <c r="C643" s="391"/>
      <c r="D643" s="391"/>
      <c r="E643" s="23"/>
      <c r="F643" s="23"/>
      <c r="G643" s="392"/>
      <c r="H643" s="392"/>
      <c r="I643" s="392"/>
      <c r="J643" s="392"/>
      <c r="K643" s="392"/>
      <c r="L643" s="392"/>
      <c r="M643" s="392"/>
      <c r="N643" s="23"/>
      <c r="O643" s="39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  <c r="IL643" s="23"/>
      <c r="IM643" s="23"/>
      <c r="IN643" s="23"/>
      <c r="IO643" s="23"/>
      <c r="IP643" s="23"/>
      <c r="IQ643" s="23"/>
      <c r="IR643" s="23"/>
      <c r="IS643" s="23"/>
      <c r="IT643" s="23"/>
      <c r="IU643" s="23"/>
      <c r="IV643" s="23"/>
      <c r="IW643" s="23"/>
      <c r="IX643" s="23"/>
      <c r="IY643" s="23"/>
      <c r="IZ643" s="23"/>
      <c r="JA643" s="23"/>
      <c r="JB643" s="23"/>
      <c r="JC643" s="23"/>
      <c r="JD643" s="23"/>
      <c r="JE643" s="23"/>
      <c r="JF643" s="23"/>
      <c r="JG643" s="23"/>
      <c r="JH643" s="23"/>
      <c r="JI643" s="23"/>
      <c r="JJ643" s="23"/>
      <c r="JK643" s="23"/>
      <c r="JL643" s="23"/>
      <c r="JM643" s="23"/>
      <c r="JN643" s="23"/>
      <c r="JO643" s="23"/>
      <c r="JP643" s="23"/>
      <c r="JQ643" s="23"/>
      <c r="JR643" s="23"/>
      <c r="JS643" s="23"/>
      <c r="JT643" s="23"/>
      <c r="JU643" s="23"/>
      <c r="JV643" s="23"/>
      <c r="JW643" s="23"/>
      <c r="JX643" s="23"/>
      <c r="JY643" s="23"/>
      <c r="JZ643" s="23"/>
      <c r="KA643" s="23"/>
      <c r="KB643" s="23"/>
      <c r="KC643" s="23"/>
      <c r="KD643" s="23"/>
      <c r="KE643" s="23"/>
      <c r="KF643" s="23"/>
      <c r="KG643" s="23"/>
      <c r="KH643" s="23"/>
      <c r="KI643" s="23"/>
      <c r="KJ643" s="23"/>
      <c r="KK643" s="23"/>
      <c r="KL643" s="23"/>
      <c r="KM643" s="23"/>
      <c r="KN643" s="23"/>
      <c r="KO643" s="23"/>
      <c r="KP643" s="23"/>
      <c r="KQ643" s="23"/>
      <c r="KR643" s="23"/>
      <c r="KS643" s="23"/>
      <c r="KT643" s="23"/>
      <c r="KU643" s="23"/>
      <c r="KV643" s="23"/>
      <c r="KW643" s="23"/>
      <c r="KX643" s="23"/>
      <c r="KY643" s="23"/>
      <c r="KZ643" s="23"/>
      <c r="LA643" s="23"/>
      <c r="LB643" s="23"/>
      <c r="LC643" s="23"/>
      <c r="LD643" s="23"/>
      <c r="LE643" s="23"/>
      <c r="LF643" s="23"/>
      <c r="LG643" s="23"/>
      <c r="LH643" s="23"/>
      <c r="LI643" s="23"/>
      <c r="LJ643" s="23"/>
      <c r="LK643" s="23"/>
      <c r="LL643" s="23"/>
      <c r="LM643" s="23"/>
      <c r="LN643" s="23"/>
      <c r="LO643" s="23"/>
    </row>
    <row r="644" spans="1:327">
      <c r="A644" s="390"/>
      <c r="B644" s="23"/>
      <c r="C644" s="391"/>
      <c r="D644" s="391"/>
      <c r="E644" s="23"/>
      <c r="F644" s="23"/>
      <c r="G644" s="392"/>
      <c r="H644" s="392"/>
      <c r="I644" s="392"/>
      <c r="J644" s="392"/>
      <c r="K644" s="392"/>
      <c r="L644" s="392"/>
      <c r="M644" s="392"/>
      <c r="N644" s="23"/>
      <c r="O644" s="39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  <c r="IL644" s="23"/>
      <c r="IM644" s="23"/>
      <c r="IN644" s="23"/>
      <c r="IO644" s="23"/>
      <c r="IP644" s="23"/>
      <c r="IQ644" s="23"/>
      <c r="IR644" s="23"/>
      <c r="IS644" s="23"/>
      <c r="IT644" s="23"/>
      <c r="IU644" s="23"/>
      <c r="IV644" s="23"/>
      <c r="IW644" s="23"/>
      <c r="IX644" s="23"/>
      <c r="IY644" s="23"/>
      <c r="IZ644" s="23"/>
      <c r="JA644" s="23"/>
      <c r="JB644" s="23"/>
      <c r="JC644" s="23"/>
      <c r="JD644" s="23"/>
      <c r="JE644" s="23"/>
      <c r="JF644" s="23"/>
      <c r="JG644" s="23"/>
      <c r="JH644" s="23"/>
      <c r="JI644" s="23"/>
      <c r="JJ644" s="23"/>
      <c r="JK644" s="23"/>
      <c r="JL644" s="23"/>
      <c r="JM644" s="23"/>
      <c r="JN644" s="23"/>
      <c r="JO644" s="23"/>
      <c r="JP644" s="23"/>
      <c r="JQ644" s="23"/>
      <c r="JR644" s="23"/>
      <c r="JS644" s="23"/>
      <c r="JT644" s="23"/>
      <c r="JU644" s="23"/>
      <c r="JV644" s="23"/>
      <c r="JW644" s="23"/>
      <c r="JX644" s="23"/>
      <c r="JY644" s="23"/>
      <c r="JZ644" s="23"/>
      <c r="KA644" s="23"/>
      <c r="KB644" s="23"/>
      <c r="KC644" s="23"/>
      <c r="KD644" s="23"/>
      <c r="KE644" s="23"/>
      <c r="KF644" s="23"/>
      <c r="KG644" s="23"/>
      <c r="KH644" s="23"/>
      <c r="KI644" s="23"/>
      <c r="KJ644" s="23"/>
      <c r="KK644" s="23"/>
      <c r="KL644" s="23"/>
      <c r="KM644" s="23"/>
      <c r="KN644" s="23"/>
      <c r="KO644" s="23"/>
      <c r="KP644" s="23"/>
      <c r="KQ644" s="23"/>
      <c r="KR644" s="23"/>
      <c r="KS644" s="23"/>
      <c r="KT644" s="23"/>
      <c r="KU644" s="23"/>
      <c r="KV644" s="23"/>
      <c r="KW644" s="23"/>
      <c r="KX644" s="23"/>
      <c r="KY644" s="23"/>
      <c r="KZ644" s="23"/>
      <c r="LA644" s="23"/>
      <c r="LB644" s="23"/>
      <c r="LC644" s="23"/>
      <c r="LD644" s="23"/>
      <c r="LE644" s="23"/>
      <c r="LF644" s="23"/>
      <c r="LG644" s="23"/>
      <c r="LH644" s="23"/>
      <c r="LI644" s="23"/>
      <c r="LJ644" s="23"/>
      <c r="LK644" s="23"/>
      <c r="LL644" s="23"/>
      <c r="LM644" s="23"/>
      <c r="LN644" s="23"/>
      <c r="LO644" s="23"/>
    </row>
    <row r="645" spans="1:327">
      <c r="A645" s="390"/>
      <c r="B645" s="23"/>
      <c r="C645" s="391"/>
      <c r="D645" s="391"/>
      <c r="E645" s="23"/>
      <c r="F645" s="23"/>
      <c r="G645" s="392"/>
      <c r="H645" s="392"/>
      <c r="I645" s="392"/>
      <c r="J645" s="392"/>
      <c r="K645" s="392"/>
      <c r="L645" s="392"/>
      <c r="M645" s="392"/>
      <c r="N645" s="23"/>
      <c r="O645" s="39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  <c r="IL645" s="23"/>
      <c r="IM645" s="23"/>
      <c r="IN645" s="23"/>
      <c r="IO645" s="23"/>
      <c r="IP645" s="23"/>
      <c r="IQ645" s="23"/>
      <c r="IR645" s="23"/>
      <c r="IS645" s="23"/>
      <c r="IT645" s="23"/>
      <c r="IU645" s="23"/>
      <c r="IV645" s="23"/>
      <c r="IW645" s="23"/>
      <c r="IX645" s="23"/>
      <c r="IY645" s="23"/>
      <c r="IZ645" s="23"/>
      <c r="JA645" s="23"/>
      <c r="JB645" s="23"/>
      <c r="JC645" s="23"/>
      <c r="JD645" s="23"/>
      <c r="JE645" s="23"/>
      <c r="JF645" s="23"/>
      <c r="JG645" s="23"/>
      <c r="JH645" s="23"/>
      <c r="JI645" s="23"/>
      <c r="JJ645" s="23"/>
      <c r="JK645" s="23"/>
      <c r="JL645" s="23"/>
      <c r="JM645" s="23"/>
      <c r="JN645" s="23"/>
      <c r="JO645" s="23"/>
      <c r="JP645" s="23"/>
      <c r="JQ645" s="23"/>
      <c r="JR645" s="23"/>
      <c r="JS645" s="23"/>
      <c r="JT645" s="23"/>
      <c r="JU645" s="23"/>
      <c r="JV645" s="23"/>
      <c r="JW645" s="23"/>
      <c r="JX645" s="23"/>
      <c r="JY645" s="23"/>
      <c r="JZ645" s="23"/>
      <c r="KA645" s="23"/>
      <c r="KB645" s="23"/>
      <c r="KC645" s="23"/>
      <c r="KD645" s="23"/>
      <c r="KE645" s="23"/>
      <c r="KF645" s="23"/>
      <c r="KG645" s="23"/>
      <c r="KH645" s="23"/>
      <c r="KI645" s="23"/>
      <c r="KJ645" s="23"/>
      <c r="KK645" s="23"/>
      <c r="KL645" s="23"/>
      <c r="KM645" s="23"/>
      <c r="KN645" s="23"/>
      <c r="KO645" s="23"/>
      <c r="KP645" s="23"/>
      <c r="KQ645" s="23"/>
      <c r="KR645" s="23"/>
      <c r="KS645" s="23"/>
      <c r="KT645" s="23"/>
      <c r="KU645" s="23"/>
      <c r="KV645" s="23"/>
      <c r="KW645" s="23"/>
      <c r="KX645" s="23"/>
      <c r="KY645" s="23"/>
      <c r="KZ645" s="23"/>
      <c r="LA645" s="23"/>
      <c r="LB645" s="23"/>
      <c r="LC645" s="23"/>
      <c r="LD645" s="23"/>
      <c r="LE645" s="23"/>
      <c r="LF645" s="23"/>
      <c r="LG645" s="23"/>
      <c r="LH645" s="23"/>
      <c r="LI645" s="23"/>
      <c r="LJ645" s="23"/>
      <c r="LK645" s="23"/>
      <c r="LL645" s="23"/>
      <c r="LM645" s="23"/>
      <c r="LN645" s="23"/>
      <c r="LO645" s="23"/>
    </row>
    <row r="646" spans="1:327">
      <c r="A646" s="390"/>
      <c r="B646" s="23"/>
      <c r="C646" s="391"/>
      <c r="D646" s="391"/>
      <c r="E646" s="23"/>
      <c r="F646" s="23"/>
      <c r="G646" s="392"/>
      <c r="H646" s="392"/>
      <c r="I646" s="392"/>
      <c r="J646" s="392"/>
      <c r="K646" s="392"/>
      <c r="L646" s="392"/>
      <c r="M646" s="392"/>
      <c r="N646" s="23"/>
      <c r="O646" s="39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  <c r="IL646" s="23"/>
      <c r="IM646" s="23"/>
      <c r="IN646" s="23"/>
      <c r="IO646" s="23"/>
      <c r="IP646" s="23"/>
      <c r="IQ646" s="23"/>
      <c r="IR646" s="23"/>
      <c r="IS646" s="23"/>
      <c r="IT646" s="23"/>
      <c r="IU646" s="23"/>
      <c r="IV646" s="23"/>
      <c r="IW646" s="23"/>
      <c r="IX646" s="23"/>
      <c r="IY646" s="23"/>
      <c r="IZ646" s="23"/>
      <c r="JA646" s="23"/>
      <c r="JB646" s="23"/>
      <c r="JC646" s="23"/>
      <c r="JD646" s="23"/>
      <c r="JE646" s="23"/>
      <c r="JF646" s="23"/>
      <c r="JG646" s="23"/>
      <c r="JH646" s="23"/>
      <c r="JI646" s="23"/>
      <c r="JJ646" s="23"/>
      <c r="JK646" s="23"/>
      <c r="JL646" s="23"/>
      <c r="JM646" s="23"/>
      <c r="JN646" s="23"/>
      <c r="JO646" s="23"/>
      <c r="JP646" s="23"/>
      <c r="JQ646" s="23"/>
      <c r="JR646" s="23"/>
      <c r="JS646" s="23"/>
      <c r="JT646" s="23"/>
      <c r="JU646" s="23"/>
      <c r="JV646" s="23"/>
      <c r="JW646" s="23"/>
      <c r="JX646" s="23"/>
      <c r="JY646" s="23"/>
      <c r="JZ646" s="23"/>
      <c r="KA646" s="23"/>
      <c r="KB646" s="23"/>
      <c r="KC646" s="23"/>
      <c r="KD646" s="23"/>
      <c r="KE646" s="23"/>
      <c r="KF646" s="23"/>
      <c r="KG646" s="23"/>
      <c r="KH646" s="23"/>
      <c r="KI646" s="23"/>
      <c r="KJ646" s="23"/>
      <c r="KK646" s="23"/>
      <c r="KL646" s="23"/>
      <c r="KM646" s="23"/>
      <c r="KN646" s="23"/>
      <c r="KO646" s="23"/>
      <c r="KP646" s="23"/>
      <c r="KQ646" s="23"/>
      <c r="KR646" s="23"/>
      <c r="KS646" s="23"/>
      <c r="KT646" s="23"/>
      <c r="KU646" s="23"/>
      <c r="KV646" s="23"/>
      <c r="KW646" s="23"/>
      <c r="KX646" s="23"/>
      <c r="KY646" s="23"/>
      <c r="KZ646" s="23"/>
      <c r="LA646" s="23"/>
      <c r="LB646" s="23"/>
      <c r="LC646" s="23"/>
      <c r="LD646" s="23"/>
      <c r="LE646" s="23"/>
      <c r="LF646" s="23"/>
      <c r="LG646" s="23"/>
      <c r="LH646" s="23"/>
      <c r="LI646" s="23"/>
      <c r="LJ646" s="23"/>
      <c r="LK646" s="23"/>
      <c r="LL646" s="23"/>
      <c r="LM646" s="23"/>
      <c r="LN646" s="23"/>
      <c r="LO646" s="23"/>
    </row>
    <row r="647" spans="1:327">
      <c r="A647" s="390"/>
      <c r="B647" s="23"/>
      <c r="C647" s="391"/>
      <c r="D647" s="391"/>
      <c r="E647" s="23"/>
      <c r="F647" s="23"/>
      <c r="G647" s="392"/>
      <c r="H647" s="392"/>
      <c r="I647" s="392"/>
      <c r="J647" s="392"/>
      <c r="K647" s="392"/>
      <c r="L647" s="392"/>
      <c r="M647" s="392"/>
      <c r="N647" s="23"/>
      <c r="O647" s="39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  <c r="IL647" s="23"/>
      <c r="IM647" s="23"/>
      <c r="IN647" s="23"/>
      <c r="IO647" s="23"/>
      <c r="IP647" s="23"/>
      <c r="IQ647" s="23"/>
      <c r="IR647" s="23"/>
      <c r="IS647" s="23"/>
      <c r="IT647" s="23"/>
      <c r="IU647" s="23"/>
      <c r="IV647" s="23"/>
      <c r="IW647" s="23"/>
      <c r="IX647" s="23"/>
      <c r="IY647" s="23"/>
      <c r="IZ647" s="23"/>
      <c r="JA647" s="23"/>
      <c r="JB647" s="23"/>
      <c r="JC647" s="23"/>
      <c r="JD647" s="23"/>
      <c r="JE647" s="23"/>
      <c r="JF647" s="23"/>
      <c r="JG647" s="23"/>
      <c r="JH647" s="23"/>
      <c r="JI647" s="23"/>
      <c r="JJ647" s="23"/>
      <c r="JK647" s="23"/>
      <c r="JL647" s="23"/>
      <c r="JM647" s="23"/>
      <c r="JN647" s="23"/>
      <c r="JO647" s="23"/>
      <c r="JP647" s="23"/>
      <c r="JQ647" s="23"/>
      <c r="JR647" s="23"/>
      <c r="JS647" s="23"/>
      <c r="JT647" s="23"/>
      <c r="JU647" s="23"/>
      <c r="JV647" s="23"/>
      <c r="JW647" s="23"/>
      <c r="JX647" s="23"/>
      <c r="JY647" s="23"/>
      <c r="JZ647" s="23"/>
      <c r="KA647" s="23"/>
      <c r="KB647" s="23"/>
      <c r="KC647" s="23"/>
      <c r="KD647" s="23"/>
      <c r="KE647" s="23"/>
      <c r="KF647" s="23"/>
      <c r="KG647" s="23"/>
      <c r="KH647" s="23"/>
      <c r="KI647" s="23"/>
      <c r="KJ647" s="23"/>
      <c r="KK647" s="23"/>
      <c r="KL647" s="23"/>
      <c r="KM647" s="23"/>
      <c r="KN647" s="23"/>
      <c r="KO647" s="23"/>
      <c r="KP647" s="23"/>
      <c r="KQ647" s="23"/>
      <c r="KR647" s="23"/>
      <c r="KS647" s="23"/>
      <c r="KT647" s="23"/>
      <c r="KU647" s="23"/>
      <c r="KV647" s="23"/>
      <c r="KW647" s="23"/>
      <c r="KX647" s="23"/>
      <c r="KY647" s="23"/>
      <c r="KZ647" s="23"/>
      <c r="LA647" s="23"/>
      <c r="LB647" s="23"/>
      <c r="LC647" s="23"/>
      <c r="LD647" s="23"/>
      <c r="LE647" s="23"/>
      <c r="LF647" s="23"/>
      <c r="LG647" s="23"/>
      <c r="LH647" s="23"/>
      <c r="LI647" s="23"/>
      <c r="LJ647" s="23"/>
      <c r="LK647" s="23"/>
      <c r="LL647" s="23"/>
      <c r="LM647" s="23"/>
      <c r="LN647" s="23"/>
      <c r="LO647" s="23"/>
    </row>
    <row r="648" spans="1:327">
      <c r="A648" s="390"/>
      <c r="B648" s="23"/>
      <c r="C648" s="391"/>
      <c r="D648" s="391"/>
      <c r="E648" s="23"/>
      <c r="F648" s="23"/>
      <c r="G648" s="392"/>
      <c r="H648" s="392"/>
      <c r="I648" s="392"/>
      <c r="J648" s="392"/>
      <c r="K648" s="392"/>
      <c r="L648" s="392"/>
      <c r="M648" s="392"/>
      <c r="N648" s="23"/>
      <c r="O648" s="39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  <c r="IL648" s="23"/>
      <c r="IM648" s="23"/>
      <c r="IN648" s="23"/>
      <c r="IO648" s="23"/>
      <c r="IP648" s="23"/>
      <c r="IQ648" s="23"/>
      <c r="IR648" s="23"/>
      <c r="IS648" s="23"/>
      <c r="IT648" s="23"/>
      <c r="IU648" s="23"/>
      <c r="IV648" s="23"/>
      <c r="IW648" s="23"/>
      <c r="IX648" s="23"/>
      <c r="IY648" s="23"/>
      <c r="IZ648" s="23"/>
      <c r="JA648" s="23"/>
      <c r="JB648" s="23"/>
      <c r="JC648" s="23"/>
      <c r="JD648" s="23"/>
      <c r="JE648" s="23"/>
      <c r="JF648" s="23"/>
      <c r="JG648" s="23"/>
      <c r="JH648" s="23"/>
      <c r="JI648" s="23"/>
      <c r="JJ648" s="23"/>
      <c r="JK648" s="23"/>
      <c r="JL648" s="23"/>
      <c r="JM648" s="23"/>
      <c r="JN648" s="23"/>
      <c r="JO648" s="23"/>
      <c r="JP648" s="23"/>
      <c r="JQ648" s="23"/>
      <c r="JR648" s="23"/>
      <c r="JS648" s="23"/>
      <c r="JT648" s="23"/>
      <c r="JU648" s="23"/>
      <c r="JV648" s="23"/>
      <c r="JW648" s="23"/>
      <c r="JX648" s="23"/>
      <c r="JY648" s="23"/>
      <c r="JZ648" s="23"/>
      <c r="KA648" s="23"/>
      <c r="KB648" s="23"/>
      <c r="KC648" s="23"/>
      <c r="KD648" s="23"/>
      <c r="KE648" s="23"/>
      <c r="KF648" s="23"/>
      <c r="KG648" s="23"/>
      <c r="KH648" s="23"/>
      <c r="KI648" s="23"/>
      <c r="KJ648" s="23"/>
      <c r="KK648" s="23"/>
      <c r="KL648" s="23"/>
      <c r="KM648" s="23"/>
      <c r="KN648" s="23"/>
      <c r="KO648" s="23"/>
      <c r="KP648" s="23"/>
      <c r="KQ648" s="23"/>
      <c r="KR648" s="23"/>
      <c r="KS648" s="23"/>
      <c r="KT648" s="23"/>
      <c r="KU648" s="23"/>
      <c r="KV648" s="23"/>
      <c r="KW648" s="23"/>
      <c r="KX648" s="23"/>
      <c r="KY648" s="23"/>
      <c r="KZ648" s="23"/>
      <c r="LA648" s="23"/>
      <c r="LB648" s="23"/>
      <c r="LC648" s="23"/>
      <c r="LD648" s="23"/>
      <c r="LE648" s="23"/>
      <c r="LF648" s="23"/>
      <c r="LG648" s="23"/>
      <c r="LH648" s="23"/>
      <c r="LI648" s="23"/>
      <c r="LJ648" s="23"/>
      <c r="LK648" s="23"/>
      <c r="LL648" s="23"/>
      <c r="LM648" s="23"/>
      <c r="LN648" s="23"/>
      <c r="LO648" s="23"/>
    </row>
    <row r="649" spans="1:327">
      <c r="A649" s="390"/>
      <c r="B649" s="23"/>
      <c r="C649" s="391"/>
      <c r="D649" s="391"/>
      <c r="E649" s="23"/>
      <c r="F649" s="23"/>
      <c r="G649" s="392"/>
      <c r="H649" s="392"/>
      <c r="I649" s="392"/>
      <c r="J649" s="392"/>
      <c r="K649" s="392"/>
      <c r="L649" s="392"/>
      <c r="M649" s="392"/>
      <c r="N649" s="23"/>
      <c r="O649" s="39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  <c r="IL649" s="23"/>
      <c r="IM649" s="23"/>
      <c r="IN649" s="23"/>
      <c r="IO649" s="23"/>
      <c r="IP649" s="23"/>
      <c r="IQ649" s="23"/>
      <c r="IR649" s="23"/>
      <c r="IS649" s="23"/>
      <c r="IT649" s="23"/>
      <c r="IU649" s="23"/>
      <c r="IV649" s="23"/>
      <c r="IW649" s="23"/>
      <c r="IX649" s="23"/>
      <c r="IY649" s="23"/>
      <c r="IZ649" s="23"/>
      <c r="JA649" s="23"/>
      <c r="JB649" s="23"/>
      <c r="JC649" s="23"/>
      <c r="JD649" s="23"/>
      <c r="JE649" s="23"/>
      <c r="JF649" s="23"/>
      <c r="JG649" s="23"/>
      <c r="JH649" s="23"/>
      <c r="JI649" s="23"/>
      <c r="JJ649" s="23"/>
      <c r="JK649" s="23"/>
      <c r="JL649" s="23"/>
      <c r="JM649" s="23"/>
      <c r="JN649" s="23"/>
      <c r="JO649" s="23"/>
      <c r="JP649" s="23"/>
      <c r="JQ649" s="23"/>
      <c r="JR649" s="23"/>
      <c r="JS649" s="23"/>
      <c r="JT649" s="23"/>
      <c r="JU649" s="23"/>
      <c r="JV649" s="23"/>
      <c r="JW649" s="23"/>
      <c r="JX649" s="23"/>
      <c r="JY649" s="23"/>
      <c r="JZ649" s="23"/>
      <c r="KA649" s="23"/>
      <c r="KB649" s="23"/>
      <c r="KC649" s="23"/>
      <c r="KD649" s="23"/>
      <c r="KE649" s="23"/>
      <c r="KF649" s="23"/>
      <c r="KG649" s="23"/>
      <c r="KH649" s="23"/>
      <c r="KI649" s="23"/>
      <c r="KJ649" s="23"/>
      <c r="KK649" s="23"/>
      <c r="KL649" s="23"/>
      <c r="KM649" s="23"/>
      <c r="KN649" s="23"/>
      <c r="KO649" s="23"/>
      <c r="KP649" s="23"/>
      <c r="KQ649" s="23"/>
      <c r="KR649" s="23"/>
      <c r="KS649" s="23"/>
      <c r="KT649" s="23"/>
      <c r="KU649" s="23"/>
      <c r="KV649" s="23"/>
      <c r="KW649" s="23"/>
      <c r="KX649" s="23"/>
      <c r="KY649" s="23"/>
      <c r="KZ649" s="23"/>
      <c r="LA649" s="23"/>
      <c r="LB649" s="23"/>
      <c r="LC649" s="23"/>
      <c r="LD649" s="23"/>
      <c r="LE649" s="23"/>
      <c r="LF649" s="23"/>
      <c r="LG649" s="23"/>
      <c r="LH649" s="23"/>
      <c r="LI649" s="23"/>
      <c r="LJ649" s="23"/>
      <c r="LK649" s="23"/>
      <c r="LL649" s="23"/>
      <c r="LM649" s="23"/>
      <c r="LN649" s="23"/>
      <c r="LO649" s="23"/>
    </row>
    <row r="650" spans="1:327">
      <c r="A650" s="390"/>
      <c r="B650" s="23"/>
      <c r="C650" s="391"/>
      <c r="D650" s="391"/>
      <c r="E650" s="23"/>
      <c r="F650" s="23"/>
      <c r="G650" s="392"/>
      <c r="H650" s="392"/>
      <c r="I650" s="392"/>
      <c r="J650" s="392"/>
      <c r="K650" s="392"/>
      <c r="L650" s="392"/>
      <c r="M650" s="392"/>
      <c r="N650" s="23"/>
      <c r="O650" s="39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  <c r="IL650" s="23"/>
      <c r="IM650" s="23"/>
      <c r="IN650" s="23"/>
      <c r="IO650" s="23"/>
      <c r="IP650" s="23"/>
      <c r="IQ650" s="23"/>
      <c r="IR650" s="23"/>
      <c r="IS650" s="23"/>
      <c r="IT650" s="23"/>
      <c r="IU650" s="23"/>
      <c r="IV650" s="23"/>
      <c r="IW650" s="23"/>
      <c r="IX650" s="23"/>
      <c r="IY650" s="23"/>
      <c r="IZ650" s="23"/>
      <c r="JA650" s="23"/>
      <c r="JB650" s="23"/>
      <c r="JC650" s="23"/>
      <c r="JD650" s="23"/>
      <c r="JE650" s="23"/>
      <c r="JF650" s="23"/>
      <c r="JG650" s="23"/>
      <c r="JH650" s="23"/>
      <c r="JI650" s="23"/>
      <c r="JJ650" s="23"/>
      <c r="JK650" s="23"/>
      <c r="JL650" s="23"/>
      <c r="JM650" s="23"/>
      <c r="JN650" s="23"/>
      <c r="JO650" s="23"/>
      <c r="JP650" s="23"/>
      <c r="JQ650" s="23"/>
      <c r="JR650" s="23"/>
      <c r="JS650" s="23"/>
      <c r="JT650" s="23"/>
      <c r="JU650" s="23"/>
      <c r="JV650" s="23"/>
      <c r="JW650" s="23"/>
      <c r="JX650" s="23"/>
      <c r="JY650" s="23"/>
      <c r="JZ650" s="23"/>
      <c r="KA650" s="23"/>
      <c r="KB650" s="23"/>
      <c r="KC650" s="23"/>
      <c r="KD650" s="23"/>
      <c r="KE650" s="23"/>
      <c r="KF650" s="23"/>
      <c r="KG650" s="23"/>
      <c r="KH650" s="23"/>
      <c r="KI650" s="23"/>
      <c r="KJ650" s="23"/>
      <c r="KK650" s="23"/>
      <c r="KL650" s="23"/>
      <c r="KM650" s="23"/>
      <c r="KN650" s="23"/>
      <c r="KO650" s="23"/>
      <c r="KP650" s="23"/>
      <c r="KQ650" s="23"/>
      <c r="KR650" s="23"/>
      <c r="KS650" s="23"/>
      <c r="KT650" s="23"/>
      <c r="KU650" s="23"/>
      <c r="KV650" s="23"/>
      <c r="KW650" s="23"/>
      <c r="KX650" s="23"/>
      <c r="KY650" s="23"/>
      <c r="KZ650" s="23"/>
      <c r="LA650" s="23"/>
      <c r="LB650" s="23"/>
      <c r="LC650" s="23"/>
      <c r="LD650" s="23"/>
      <c r="LE650" s="23"/>
      <c r="LF650" s="23"/>
      <c r="LG650" s="23"/>
      <c r="LH650" s="23"/>
      <c r="LI650" s="23"/>
      <c r="LJ650" s="23"/>
      <c r="LK650" s="23"/>
      <c r="LL650" s="23"/>
      <c r="LM650" s="23"/>
      <c r="LN650" s="23"/>
      <c r="LO650" s="23"/>
    </row>
    <row r="651" spans="1:327">
      <c r="A651" s="390"/>
      <c r="B651" s="23"/>
      <c r="C651" s="391"/>
      <c r="D651" s="391"/>
      <c r="E651" s="23"/>
      <c r="F651" s="23"/>
      <c r="G651" s="392"/>
      <c r="H651" s="392"/>
      <c r="I651" s="392"/>
      <c r="J651" s="392"/>
      <c r="K651" s="392"/>
      <c r="L651" s="392"/>
      <c r="M651" s="392"/>
      <c r="N651" s="23"/>
      <c r="O651" s="39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  <c r="IL651" s="23"/>
      <c r="IM651" s="23"/>
      <c r="IN651" s="23"/>
      <c r="IO651" s="23"/>
      <c r="IP651" s="23"/>
      <c r="IQ651" s="23"/>
      <c r="IR651" s="23"/>
      <c r="IS651" s="23"/>
      <c r="IT651" s="23"/>
      <c r="IU651" s="23"/>
      <c r="IV651" s="23"/>
      <c r="IW651" s="23"/>
      <c r="IX651" s="23"/>
      <c r="IY651" s="23"/>
      <c r="IZ651" s="23"/>
      <c r="JA651" s="23"/>
      <c r="JB651" s="23"/>
      <c r="JC651" s="23"/>
      <c r="JD651" s="23"/>
      <c r="JE651" s="23"/>
      <c r="JF651" s="23"/>
      <c r="JG651" s="23"/>
      <c r="JH651" s="23"/>
      <c r="JI651" s="23"/>
      <c r="JJ651" s="23"/>
      <c r="JK651" s="23"/>
      <c r="JL651" s="23"/>
      <c r="JM651" s="23"/>
      <c r="JN651" s="23"/>
      <c r="JO651" s="23"/>
      <c r="JP651" s="23"/>
      <c r="JQ651" s="23"/>
      <c r="JR651" s="23"/>
      <c r="JS651" s="23"/>
      <c r="JT651" s="23"/>
      <c r="JU651" s="23"/>
      <c r="JV651" s="23"/>
      <c r="JW651" s="23"/>
      <c r="JX651" s="23"/>
      <c r="JY651" s="23"/>
      <c r="JZ651" s="23"/>
      <c r="KA651" s="23"/>
      <c r="KB651" s="23"/>
      <c r="KC651" s="23"/>
      <c r="KD651" s="23"/>
      <c r="KE651" s="23"/>
      <c r="KF651" s="23"/>
      <c r="KG651" s="23"/>
      <c r="KH651" s="23"/>
      <c r="KI651" s="23"/>
      <c r="KJ651" s="23"/>
      <c r="KK651" s="23"/>
      <c r="KL651" s="23"/>
      <c r="KM651" s="23"/>
      <c r="KN651" s="23"/>
      <c r="KO651" s="23"/>
      <c r="KP651" s="23"/>
      <c r="KQ651" s="23"/>
      <c r="KR651" s="23"/>
      <c r="KS651" s="23"/>
      <c r="KT651" s="23"/>
      <c r="KU651" s="23"/>
      <c r="KV651" s="23"/>
      <c r="KW651" s="23"/>
      <c r="KX651" s="23"/>
      <c r="KY651" s="23"/>
      <c r="KZ651" s="23"/>
      <c r="LA651" s="23"/>
      <c r="LB651" s="23"/>
      <c r="LC651" s="23"/>
      <c r="LD651" s="23"/>
      <c r="LE651" s="23"/>
      <c r="LF651" s="23"/>
      <c r="LG651" s="23"/>
      <c r="LH651" s="23"/>
      <c r="LI651" s="23"/>
      <c r="LJ651" s="23"/>
      <c r="LK651" s="23"/>
      <c r="LL651" s="23"/>
      <c r="LM651" s="23"/>
      <c r="LN651" s="23"/>
      <c r="LO651" s="23"/>
    </row>
    <row r="652" spans="1:327">
      <c r="A652" s="390"/>
      <c r="B652" s="23"/>
      <c r="C652" s="391"/>
      <c r="D652" s="391"/>
      <c r="E652" s="23"/>
      <c r="F652" s="23"/>
      <c r="G652" s="392"/>
      <c r="H652" s="392"/>
      <c r="I652" s="392"/>
      <c r="J652" s="392"/>
      <c r="K652" s="392"/>
      <c r="L652" s="392"/>
      <c r="M652" s="392"/>
      <c r="N652" s="23"/>
      <c r="O652" s="39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  <c r="IL652" s="23"/>
      <c r="IM652" s="23"/>
      <c r="IN652" s="23"/>
      <c r="IO652" s="23"/>
      <c r="IP652" s="23"/>
      <c r="IQ652" s="23"/>
      <c r="IR652" s="23"/>
      <c r="IS652" s="23"/>
      <c r="IT652" s="23"/>
      <c r="IU652" s="23"/>
      <c r="IV652" s="23"/>
      <c r="IW652" s="23"/>
      <c r="IX652" s="23"/>
      <c r="IY652" s="23"/>
      <c r="IZ652" s="23"/>
      <c r="JA652" s="23"/>
      <c r="JB652" s="23"/>
      <c r="JC652" s="23"/>
      <c r="JD652" s="23"/>
      <c r="JE652" s="23"/>
      <c r="JF652" s="23"/>
      <c r="JG652" s="23"/>
      <c r="JH652" s="23"/>
      <c r="JI652" s="23"/>
      <c r="JJ652" s="23"/>
      <c r="JK652" s="23"/>
      <c r="JL652" s="23"/>
      <c r="JM652" s="23"/>
      <c r="JN652" s="23"/>
      <c r="JO652" s="23"/>
      <c r="JP652" s="23"/>
      <c r="JQ652" s="23"/>
      <c r="JR652" s="23"/>
      <c r="JS652" s="23"/>
      <c r="JT652" s="23"/>
      <c r="JU652" s="23"/>
      <c r="JV652" s="23"/>
      <c r="JW652" s="23"/>
      <c r="JX652" s="23"/>
      <c r="JY652" s="23"/>
      <c r="JZ652" s="23"/>
      <c r="KA652" s="23"/>
      <c r="KB652" s="23"/>
      <c r="KC652" s="23"/>
      <c r="KD652" s="23"/>
      <c r="KE652" s="23"/>
      <c r="KF652" s="23"/>
      <c r="KG652" s="23"/>
      <c r="KH652" s="23"/>
      <c r="KI652" s="23"/>
      <c r="KJ652" s="23"/>
      <c r="KK652" s="23"/>
      <c r="KL652" s="23"/>
      <c r="KM652" s="23"/>
      <c r="KN652" s="23"/>
      <c r="KO652" s="23"/>
      <c r="KP652" s="23"/>
      <c r="KQ652" s="23"/>
      <c r="KR652" s="23"/>
      <c r="KS652" s="23"/>
      <c r="KT652" s="23"/>
      <c r="KU652" s="23"/>
      <c r="KV652" s="23"/>
      <c r="KW652" s="23"/>
      <c r="KX652" s="23"/>
      <c r="KY652" s="23"/>
      <c r="KZ652" s="23"/>
      <c r="LA652" s="23"/>
      <c r="LB652" s="23"/>
      <c r="LC652" s="23"/>
      <c r="LD652" s="23"/>
      <c r="LE652" s="23"/>
      <c r="LF652" s="23"/>
      <c r="LG652" s="23"/>
      <c r="LH652" s="23"/>
      <c r="LI652" s="23"/>
      <c r="LJ652" s="23"/>
      <c r="LK652" s="23"/>
      <c r="LL652" s="23"/>
      <c r="LM652" s="23"/>
      <c r="LN652" s="23"/>
      <c r="LO652" s="23"/>
    </row>
    <row r="653" spans="1:327">
      <c r="A653" s="390"/>
      <c r="B653" s="23"/>
      <c r="C653" s="391"/>
      <c r="D653" s="391"/>
      <c r="E653" s="23"/>
      <c r="F653" s="23"/>
      <c r="G653" s="392"/>
      <c r="H653" s="392"/>
      <c r="I653" s="392"/>
      <c r="J653" s="392"/>
      <c r="K653" s="392"/>
      <c r="L653" s="392"/>
      <c r="M653" s="392"/>
      <c r="N653" s="23"/>
      <c r="O653" s="39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  <c r="IL653" s="23"/>
      <c r="IM653" s="23"/>
      <c r="IN653" s="23"/>
      <c r="IO653" s="23"/>
      <c r="IP653" s="23"/>
      <c r="IQ653" s="23"/>
      <c r="IR653" s="23"/>
      <c r="IS653" s="23"/>
      <c r="IT653" s="23"/>
      <c r="IU653" s="23"/>
      <c r="IV653" s="23"/>
      <c r="IW653" s="23"/>
      <c r="IX653" s="23"/>
      <c r="IY653" s="23"/>
      <c r="IZ653" s="23"/>
      <c r="JA653" s="23"/>
      <c r="JB653" s="23"/>
      <c r="JC653" s="23"/>
      <c r="JD653" s="23"/>
      <c r="JE653" s="23"/>
      <c r="JF653" s="23"/>
      <c r="JG653" s="23"/>
      <c r="JH653" s="23"/>
      <c r="JI653" s="23"/>
      <c r="JJ653" s="23"/>
      <c r="JK653" s="23"/>
      <c r="JL653" s="23"/>
      <c r="JM653" s="23"/>
      <c r="JN653" s="23"/>
      <c r="JO653" s="23"/>
      <c r="JP653" s="23"/>
      <c r="JQ653" s="23"/>
      <c r="JR653" s="23"/>
      <c r="JS653" s="23"/>
      <c r="JT653" s="23"/>
      <c r="JU653" s="23"/>
      <c r="JV653" s="23"/>
      <c r="JW653" s="23"/>
      <c r="JX653" s="23"/>
      <c r="JY653" s="23"/>
      <c r="JZ653" s="23"/>
      <c r="KA653" s="23"/>
      <c r="KB653" s="23"/>
      <c r="KC653" s="23"/>
      <c r="KD653" s="23"/>
      <c r="KE653" s="23"/>
      <c r="KF653" s="23"/>
      <c r="KG653" s="23"/>
      <c r="KH653" s="23"/>
      <c r="KI653" s="23"/>
      <c r="KJ653" s="23"/>
      <c r="KK653" s="23"/>
      <c r="KL653" s="23"/>
      <c r="KM653" s="23"/>
      <c r="KN653" s="23"/>
      <c r="KO653" s="23"/>
      <c r="KP653" s="23"/>
      <c r="KQ653" s="23"/>
      <c r="KR653" s="23"/>
      <c r="KS653" s="23"/>
      <c r="KT653" s="23"/>
      <c r="KU653" s="23"/>
      <c r="KV653" s="23"/>
      <c r="KW653" s="23"/>
      <c r="KX653" s="23"/>
      <c r="KY653" s="23"/>
      <c r="KZ653" s="23"/>
      <c r="LA653" s="23"/>
      <c r="LB653" s="23"/>
      <c r="LC653" s="23"/>
      <c r="LD653" s="23"/>
      <c r="LE653" s="23"/>
      <c r="LF653" s="23"/>
      <c r="LG653" s="23"/>
      <c r="LH653" s="23"/>
      <c r="LI653" s="23"/>
      <c r="LJ653" s="23"/>
      <c r="LK653" s="23"/>
      <c r="LL653" s="23"/>
      <c r="LM653" s="23"/>
      <c r="LN653" s="23"/>
      <c r="LO653" s="23"/>
    </row>
    <row r="654" spans="1:327">
      <c r="A654" s="390"/>
      <c r="B654" s="23"/>
      <c r="C654" s="391"/>
      <c r="D654" s="391"/>
      <c r="E654" s="23"/>
      <c r="F654" s="23"/>
      <c r="G654" s="392"/>
      <c r="H654" s="392"/>
      <c r="I654" s="392"/>
      <c r="J654" s="392"/>
      <c r="K654" s="392"/>
      <c r="L654" s="392"/>
      <c r="M654" s="392"/>
      <c r="N654" s="23"/>
      <c r="O654" s="39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  <c r="IL654" s="23"/>
      <c r="IM654" s="23"/>
      <c r="IN654" s="23"/>
      <c r="IO654" s="23"/>
      <c r="IP654" s="23"/>
      <c r="IQ654" s="23"/>
      <c r="IR654" s="23"/>
      <c r="IS654" s="23"/>
      <c r="IT654" s="23"/>
      <c r="IU654" s="23"/>
      <c r="IV654" s="23"/>
      <c r="IW654" s="23"/>
      <c r="IX654" s="23"/>
      <c r="IY654" s="23"/>
      <c r="IZ654" s="23"/>
      <c r="JA654" s="23"/>
      <c r="JB654" s="23"/>
      <c r="JC654" s="23"/>
      <c r="JD654" s="23"/>
      <c r="JE654" s="23"/>
      <c r="JF654" s="23"/>
      <c r="JG654" s="23"/>
      <c r="JH654" s="23"/>
      <c r="JI654" s="23"/>
      <c r="JJ654" s="23"/>
      <c r="JK654" s="23"/>
      <c r="JL654" s="23"/>
      <c r="JM654" s="23"/>
      <c r="JN654" s="23"/>
      <c r="JO654" s="23"/>
      <c r="JP654" s="23"/>
      <c r="JQ654" s="23"/>
      <c r="JR654" s="23"/>
      <c r="JS654" s="23"/>
      <c r="JT654" s="23"/>
      <c r="JU654" s="23"/>
      <c r="JV654" s="23"/>
      <c r="JW654" s="23"/>
      <c r="JX654" s="23"/>
      <c r="JY654" s="23"/>
      <c r="JZ654" s="23"/>
      <c r="KA654" s="23"/>
      <c r="KB654" s="23"/>
      <c r="KC654" s="23"/>
      <c r="KD654" s="23"/>
      <c r="KE654" s="23"/>
      <c r="KF654" s="23"/>
      <c r="KG654" s="23"/>
      <c r="KH654" s="23"/>
      <c r="KI654" s="23"/>
      <c r="KJ654" s="23"/>
      <c r="KK654" s="23"/>
      <c r="KL654" s="23"/>
      <c r="KM654" s="23"/>
      <c r="KN654" s="23"/>
      <c r="KO654" s="23"/>
      <c r="KP654" s="23"/>
      <c r="KQ654" s="23"/>
      <c r="KR654" s="23"/>
      <c r="KS654" s="23"/>
      <c r="KT654" s="23"/>
      <c r="KU654" s="23"/>
      <c r="KV654" s="23"/>
      <c r="KW654" s="23"/>
      <c r="KX654" s="23"/>
      <c r="KY654" s="23"/>
      <c r="KZ654" s="23"/>
      <c r="LA654" s="23"/>
      <c r="LB654" s="23"/>
      <c r="LC654" s="23"/>
      <c r="LD654" s="23"/>
      <c r="LE654" s="23"/>
      <c r="LF654" s="23"/>
      <c r="LG654" s="23"/>
      <c r="LH654" s="23"/>
      <c r="LI654" s="23"/>
      <c r="LJ654" s="23"/>
      <c r="LK654" s="23"/>
      <c r="LL654" s="23"/>
      <c r="LM654" s="23"/>
      <c r="LN654" s="23"/>
      <c r="LO654" s="23"/>
    </row>
    <row r="655" spans="1:327">
      <c r="A655" s="390"/>
      <c r="B655" s="23"/>
      <c r="C655" s="391"/>
      <c r="D655" s="391"/>
      <c r="E655" s="23"/>
      <c r="F655" s="23"/>
      <c r="G655" s="392"/>
      <c r="H655" s="392"/>
      <c r="I655" s="392"/>
      <c r="J655" s="392"/>
      <c r="K655" s="392"/>
      <c r="L655" s="392"/>
      <c r="M655" s="392"/>
      <c r="N655" s="23"/>
      <c r="O655" s="39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  <c r="IL655" s="23"/>
      <c r="IM655" s="23"/>
      <c r="IN655" s="23"/>
      <c r="IO655" s="23"/>
      <c r="IP655" s="23"/>
      <c r="IQ655" s="23"/>
      <c r="IR655" s="23"/>
      <c r="IS655" s="23"/>
      <c r="IT655" s="23"/>
      <c r="IU655" s="23"/>
      <c r="IV655" s="23"/>
      <c r="IW655" s="23"/>
      <c r="IX655" s="23"/>
      <c r="IY655" s="23"/>
      <c r="IZ655" s="23"/>
      <c r="JA655" s="23"/>
      <c r="JB655" s="23"/>
      <c r="JC655" s="23"/>
      <c r="JD655" s="23"/>
      <c r="JE655" s="23"/>
      <c r="JF655" s="23"/>
      <c r="JG655" s="23"/>
      <c r="JH655" s="23"/>
      <c r="JI655" s="23"/>
      <c r="JJ655" s="23"/>
      <c r="JK655" s="23"/>
      <c r="JL655" s="23"/>
      <c r="JM655" s="23"/>
      <c r="JN655" s="23"/>
      <c r="JO655" s="23"/>
      <c r="JP655" s="23"/>
      <c r="JQ655" s="23"/>
      <c r="JR655" s="23"/>
      <c r="JS655" s="23"/>
      <c r="JT655" s="23"/>
      <c r="JU655" s="23"/>
      <c r="JV655" s="23"/>
      <c r="JW655" s="23"/>
      <c r="JX655" s="23"/>
      <c r="JY655" s="23"/>
      <c r="JZ655" s="23"/>
      <c r="KA655" s="23"/>
      <c r="KB655" s="23"/>
      <c r="KC655" s="23"/>
      <c r="KD655" s="23"/>
      <c r="KE655" s="23"/>
      <c r="KF655" s="23"/>
      <c r="KG655" s="23"/>
      <c r="KH655" s="23"/>
      <c r="KI655" s="23"/>
      <c r="KJ655" s="23"/>
      <c r="KK655" s="23"/>
      <c r="KL655" s="23"/>
      <c r="KM655" s="23"/>
      <c r="KN655" s="23"/>
      <c r="KO655" s="23"/>
      <c r="KP655" s="23"/>
      <c r="KQ655" s="23"/>
      <c r="KR655" s="23"/>
      <c r="KS655" s="23"/>
      <c r="KT655" s="23"/>
      <c r="KU655" s="23"/>
      <c r="KV655" s="23"/>
      <c r="KW655" s="23"/>
      <c r="KX655" s="23"/>
      <c r="KY655" s="23"/>
      <c r="KZ655" s="23"/>
      <c r="LA655" s="23"/>
      <c r="LB655" s="23"/>
      <c r="LC655" s="23"/>
      <c r="LD655" s="23"/>
      <c r="LE655" s="23"/>
      <c r="LF655" s="23"/>
      <c r="LG655" s="23"/>
      <c r="LH655" s="23"/>
      <c r="LI655" s="23"/>
      <c r="LJ655" s="23"/>
      <c r="LK655" s="23"/>
      <c r="LL655" s="23"/>
      <c r="LM655" s="23"/>
      <c r="LN655" s="23"/>
      <c r="LO655" s="23"/>
    </row>
    <row r="656" spans="1:327">
      <c r="A656" s="390"/>
      <c r="B656" s="23"/>
      <c r="C656" s="391"/>
      <c r="D656" s="391"/>
      <c r="E656" s="23"/>
      <c r="F656" s="23"/>
      <c r="G656" s="392"/>
      <c r="H656" s="392"/>
      <c r="I656" s="392"/>
      <c r="J656" s="392"/>
      <c r="K656" s="392"/>
      <c r="L656" s="392"/>
      <c r="M656" s="392"/>
      <c r="N656" s="23"/>
      <c r="O656" s="39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  <c r="IL656" s="23"/>
      <c r="IM656" s="23"/>
      <c r="IN656" s="23"/>
      <c r="IO656" s="23"/>
      <c r="IP656" s="23"/>
      <c r="IQ656" s="23"/>
      <c r="IR656" s="23"/>
      <c r="IS656" s="23"/>
      <c r="IT656" s="23"/>
      <c r="IU656" s="23"/>
      <c r="IV656" s="23"/>
      <c r="IW656" s="23"/>
      <c r="IX656" s="23"/>
      <c r="IY656" s="23"/>
      <c r="IZ656" s="23"/>
      <c r="JA656" s="23"/>
      <c r="JB656" s="23"/>
      <c r="JC656" s="23"/>
      <c r="JD656" s="23"/>
      <c r="JE656" s="23"/>
      <c r="JF656" s="23"/>
      <c r="JG656" s="23"/>
      <c r="JH656" s="23"/>
      <c r="JI656" s="23"/>
      <c r="JJ656" s="23"/>
      <c r="JK656" s="23"/>
      <c r="JL656" s="23"/>
      <c r="JM656" s="23"/>
      <c r="JN656" s="23"/>
      <c r="JO656" s="23"/>
      <c r="JP656" s="23"/>
      <c r="JQ656" s="23"/>
      <c r="JR656" s="23"/>
      <c r="JS656" s="23"/>
      <c r="JT656" s="23"/>
      <c r="JU656" s="23"/>
      <c r="JV656" s="23"/>
      <c r="JW656" s="23"/>
      <c r="JX656" s="23"/>
      <c r="JY656" s="23"/>
      <c r="JZ656" s="23"/>
      <c r="KA656" s="23"/>
      <c r="KB656" s="23"/>
      <c r="KC656" s="23"/>
      <c r="KD656" s="23"/>
      <c r="KE656" s="23"/>
      <c r="KF656" s="23"/>
      <c r="KG656" s="23"/>
      <c r="KH656" s="23"/>
      <c r="KI656" s="23"/>
      <c r="KJ656" s="23"/>
      <c r="KK656" s="23"/>
      <c r="KL656" s="23"/>
      <c r="KM656" s="23"/>
      <c r="KN656" s="23"/>
      <c r="KO656" s="23"/>
      <c r="KP656" s="23"/>
      <c r="KQ656" s="23"/>
      <c r="KR656" s="23"/>
      <c r="KS656" s="23"/>
      <c r="KT656" s="23"/>
      <c r="KU656" s="23"/>
      <c r="KV656" s="23"/>
      <c r="KW656" s="23"/>
      <c r="KX656" s="23"/>
      <c r="KY656" s="23"/>
      <c r="KZ656" s="23"/>
      <c r="LA656" s="23"/>
      <c r="LB656" s="23"/>
      <c r="LC656" s="23"/>
      <c r="LD656" s="23"/>
      <c r="LE656" s="23"/>
      <c r="LF656" s="23"/>
      <c r="LG656" s="23"/>
      <c r="LH656" s="23"/>
      <c r="LI656" s="23"/>
      <c r="LJ656" s="23"/>
      <c r="LK656" s="23"/>
      <c r="LL656" s="23"/>
      <c r="LM656" s="23"/>
      <c r="LN656" s="23"/>
      <c r="LO656" s="23"/>
    </row>
    <row r="657" spans="1:327">
      <c r="A657" s="390"/>
      <c r="B657" s="23"/>
      <c r="C657" s="391"/>
      <c r="D657" s="391"/>
      <c r="E657" s="23"/>
      <c r="F657" s="23"/>
      <c r="G657" s="392"/>
      <c r="H657" s="392"/>
      <c r="I657" s="392"/>
      <c r="J657" s="392"/>
      <c r="K657" s="392"/>
      <c r="L657" s="392"/>
      <c r="M657" s="392"/>
      <c r="N657" s="23"/>
      <c r="O657" s="39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  <c r="IL657" s="23"/>
      <c r="IM657" s="23"/>
      <c r="IN657" s="23"/>
      <c r="IO657" s="23"/>
      <c r="IP657" s="23"/>
      <c r="IQ657" s="23"/>
      <c r="IR657" s="23"/>
      <c r="IS657" s="23"/>
      <c r="IT657" s="23"/>
      <c r="IU657" s="23"/>
      <c r="IV657" s="23"/>
      <c r="IW657" s="23"/>
      <c r="IX657" s="23"/>
      <c r="IY657" s="23"/>
      <c r="IZ657" s="23"/>
      <c r="JA657" s="23"/>
      <c r="JB657" s="23"/>
      <c r="JC657" s="23"/>
      <c r="JD657" s="23"/>
      <c r="JE657" s="23"/>
      <c r="JF657" s="23"/>
      <c r="JG657" s="23"/>
      <c r="JH657" s="23"/>
      <c r="JI657" s="23"/>
      <c r="JJ657" s="23"/>
      <c r="JK657" s="23"/>
      <c r="JL657" s="23"/>
      <c r="JM657" s="23"/>
      <c r="JN657" s="23"/>
      <c r="JO657" s="23"/>
      <c r="JP657" s="23"/>
      <c r="JQ657" s="23"/>
      <c r="JR657" s="23"/>
      <c r="JS657" s="23"/>
      <c r="JT657" s="23"/>
      <c r="JU657" s="23"/>
      <c r="JV657" s="23"/>
      <c r="JW657" s="23"/>
      <c r="JX657" s="23"/>
      <c r="JY657" s="23"/>
      <c r="JZ657" s="23"/>
      <c r="KA657" s="23"/>
      <c r="KB657" s="23"/>
      <c r="KC657" s="23"/>
      <c r="KD657" s="23"/>
      <c r="KE657" s="23"/>
      <c r="KF657" s="23"/>
      <c r="KG657" s="23"/>
      <c r="KH657" s="23"/>
      <c r="KI657" s="23"/>
      <c r="KJ657" s="23"/>
      <c r="KK657" s="23"/>
      <c r="KL657" s="23"/>
      <c r="KM657" s="23"/>
      <c r="KN657" s="23"/>
      <c r="KO657" s="23"/>
      <c r="KP657" s="23"/>
      <c r="KQ657" s="23"/>
      <c r="KR657" s="23"/>
      <c r="KS657" s="23"/>
      <c r="KT657" s="23"/>
      <c r="KU657" s="23"/>
      <c r="KV657" s="23"/>
      <c r="KW657" s="23"/>
      <c r="KX657" s="23"/>
      <c r="KY657" s="23"/>
      <c r="KZ657" s="23"/>
      <c r="LA657" s="23"/>
      <c r="LB657" s="23"/>
      <c r="LC657" s="23"/>
      <c r="LD657" s="23"/>
      <c r="LE657" s="23"/>
      <c r="LF657" s="23"/>
      <c r="LG657" s="23"/>
      <c r="LH657" s="23"/>
      <c r="LI657" s="23"/>
      <c r="LJ657" s="23"/>
      <c r="LK657" s="23"/>
      <c r="LL657" s="23"/>
      <c r="LM657" s="23"/>
      <c r="LN657" s="23"/>
      <c r="LO657" s="23"/>
    </row>
    <row r="658" spans="1:327">
      <c r="A658" s="390"/>
      <c r="B658" s="23"/>
      <c r="C658" s="391"/>
      <c r="D658" s="391"/>
      <c r="E658" s="23"/>
      <c r="F658" s="23"/>
      <c r="G658" s="392"/>
      <c r="H658" s="392"/>
      <c r="I658" s="392"/>
      <c r="J658" s="392"/>
      <c r="K658" s="392"/>
      <c r="L658" s="392"/>
      <c r="M658" s="392"/>
      <c r="N658" s="23"/>
      <c r="O658" s="39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  <c r="IL658" s="23"/>
      <c r="IM658" s="23"/>
      <c r="IN658" s="23"/>
      <c r="IO658" s="23"/>
      <c r="IP658" s="23"/>
      <c r="IQ658" s="23"/>
      <c r="IR658" s="23"/>
      <c r="IS658" s="23"/>
      <c r="IT658" s="23"/>
      <c r="IU658" s="23"/>
      <c r="IV658" s="23"/>
      <c r="IW658" s="23"/>
      <c r="IX658" s="23"/>
      <c r="IY658" s="23"/>
      <c r="IZ658" s="23"/>
      <c r="JA658" s="23"/>
      <c r="JB658" s="23"/>
      <c r="JC658" s="23"/>
      <c r="JD658" s="23"/>
      <c r="JE658" s="23"/>
      <c r="JF658" s="23"/>
      <c r="JG658" s="23"/>
      <c r="JH658" s="23"/>
      <c r="JI658" s="23"/>
      <c r="JJ658" s="23"/>
      <c r="JK658" s="23"/>
      <c r="JL658" s="23"/>
      <c r="JM658" s="23"/>
      <c r="JN658" s="23"/>
      <c r="JO658" s="23"/>
      <c r="JP658" s="23"/>
      <c r="JQ658" s="23"/>
      <c r="JR658" s="23"/>
      <c r="JS658" s="23"/>
      <c r="JT658" s="23"/>
      <c r="JU658" s="23"/>
      <c r="JV658" s="23"/>
      <c r="JW658" s="23"/>
      <c r="JX658" s="23"/>
      <c r="JY658" s="23"/>
      <c r="JZ658" s="23"/>
      <c r="KA658" s="23"/>
      <c r="KB658" s="23"/>
      <c r="KC658" s="23"/>
      <c r="KD658" s="23"/>
      <c r="KE658" s="23"/>
      <c r="KF658" s="23"/>
      <c r="KG658" s="23"/>
      <c r="KH658" s="23"/>
      <c r="KI658" s="23"/>
      <c r="KJ658" s="23"/>
      <c r="KK658" s="23"/>
      <c r="KL658" s="23"/>
      <c r="KM658" s="23"/>
      <c r="KN658" s="23"/>
      <c r="KO658" s="23"/>
      <c r="KP658" s="23"/>
      <c r="KQ658" s="23"/>
      <c r="KR658" s="23"/>
      <c r="KS658" s="23"/>
      <c r="KT658" s="23"/>
      <c r="KU658" s="23"/>
      <c r="KV658" s="23"/>
      <c r="KW658" s="23"/>
      <c r="KX658" s="23"/>
      <c r="KY658" s="23"/>
      <c r="KZ658" s="23"/>
      <c r="LA658" s="23"/>
      <c r="LB658" s="23"/>
      <c r="LC658" s="23"/>
      <c r="LD658" s="23"/>
      <c r="LE658" s="23"/>
      <c r="LF658" s="23"/>
      <c r="LG658" s="23"/>
      <c r="LH658" s="23"/>
      <c r="LI658" s="23"/>
      <c r="LJ658" s="23"/>
      <c r="LK658" s="23"/>
      <c r="LL658" s="23"/>
      <c r="LM658" s="23"/>
      <c r="LN658" s="23"/>
      <c r="LO658" s="23"/>
    </row>
    <row r="659" spans="1:327">
      <c r="A659" s="390"/>
      <c r="B659" s="23"/>
      <c r="C659" s="391"/>
      <c r="D659" s="391"/>
      <c r="E659" s="23"/>
      <c r="F659" s="23"/>
      <c r="G659" s="392"/>
      <c r="H659" s="392"/>
      <c r="I659" s="392"/>
      <c r="J659" s="392"/>
      <c r="K659" s="392"/>
      <c r="L659" s="392"/>
      <c r="M659" s="392"/>
      <c r="N659" s="23"/>
      <c r="O659" s="39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  <c r="IL659" s="23"/>
      <c r="IM659" s="23"/>
      <c r="IN659" s="23"/>
      <c r="IO659" s="23"/>
      <c r="IP659" s="23"/>
      <c r="IQ659" s="23"/>
      <c r="IR659" s="23"/>
      <c r="IS659" s="23"/>
      <c r="IT659" s="23"/>
      <c r="IU659" s="23"/>
      <c r="IV659" s="23"/>
      <c r="IW659" s="23"/>
      <c r="IX659" s="23"/>
      <c r="IY659" s="23"/>
      <c r="IZ659" s="23"/>
      <c r="JA659" s="23"/>
      <c r="JB659" s="23"/>
      <c r="JC659" s="23"/>
      <c r="JD659" s="23"/>
      <c r="JE659" s="23"/>
      <c r="JF659" s="23"/>
      <c r="JG659" s="23"/>
      <c r="JH659" s="23"/>
      <c r="JI659" s="23"/>
      <c r="JJ659" s="23"/>
      <c r="JK659" s="23"/>
      <c r="JL659" s="23"/>
      <c r="JM659" s="23"/>
      <c r="JN659" s="23"/>
      <c r="JO659" s="23"/>
      <c r="JP659" s="23"/>
      <c r="JQ659" s="23"/>
      <c r="JR659" s="23"/>
      <c r="JS659" s="23"/>
      <c r="JT659" s="23"/>
      <c r="JU659" s="23"/>
      <c r="JV659" s="23"/>
      <c r="JW659" s="23"/>
      <c r="JX659" s="23"/>
      <c r="JY659" s="23"/>
      <c r="JZ659" s="23"/>
      <c r="KA659" s="23"/>
      <c r="KB659" s="23"/>
      <c r="KC659" s="23"/>
      <c r="KD659" s="23"/>
      <c r="KE659" s="23"/>
      <c r="KF659" s="23"/>
      <c r="KG659" s="23"/>
      <c r="KH659" s="23"/>
      <c r="KI659" s="23"/>
      <c r="KJ659" s="23"/>
      <c r="KK659" s="23"/>
      <c r="KL659" s="23"/>
      <c r="KM659" s="23"/>
      <c r="KN659" s="23"/>
      <c r="KO659" s="23"/>
      <c r="KP659" s="23"/>
      <c r="KQ659" s="23"/>
      <c r="KR659" s="23"/>
      <c r="KS659" s="23"/>
      <c r="KT659" s="23"/>
      <c r="KU659" s="23"/>
      <c r="KV659" s="23"/>
      <c r="KW659" s="23"/>
      <c r="KX659" s="23"/>
      <c r="KY659" s="23"/>
      <c r="KZ659" s="23"/>
      <c r="LA659" s="23"/>
      <c r="LB659" s="23"/>
      <c r="LC659" s="23"/>
      <c r="LD659" s="23"/>
      <c r="LE659" s="23"/>
      <c r="LF659" s="23"/>
      <c r="LG659" s="23"/>
      <c r="LH659" s="23"/>
      <c r="LI659" s="23"/>
      <c r="LJ659" s="23"/>
      <c r="LK659" s="23"/>
      <c r="LL659" s="23"/>
      <c r="LM659" s="23"/>
      <c r="LN659" s="23"/>
      <c r="LO659" s="23"/>
    </row>
    <row r="660" spans="1:327">
      <c r="A660" s="390"/>
      <c r="B660" s="23"/>
      <c r="C660" s="391"/>
      <c r="D660" s="391"/>
      <c r="E660" s="23"/>
      <c r="F660" s="23"/>
      <c r="G660" s="392"/>
      <c r="H660" s="392"/>
      <c r="I660" s="392"/>
      <c r="J660" s="392"/>
      <c r="K660" s="392"/>
      <c r="L660" s="392"/>
      <c r="M660" s="392"/>
      <c r="N660" s="23"/>
      <c r="O660" s="39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  <c r="IL660" s="23"/>
      <c r="IM660" s="23"/>
      <c r="IN660" s="23"/>
      <c r="IO660" s="23"/>
      <c r="IP660" s="23"/>
      <c r="IQ660" s="23"/>
      <c r="IR660" s="23"/>
      <c r="IS660" s="23"/>
      <c r="IT660" s="23"/>
      <c r="IU660" s="23"/>
      <c r="IV660" s="23"/>
      <c r="IW660" s="23"/>
      <c r="IX660" s="23"/>
      <c r="IY660" s="23"/>
      <c r="IZ660" s="23"/>
      <c r="JA660" s="23"/>
      <c r="JB660" s="23"/>
      <c r="JC660" s="23"/>
      <c r="JD660" s="23"/>
      <c r="JE660" s="23"/>
      <c r="JF660" s="23"/>
      <c r="JG660" s="23"/>
      <c r="JH660" s="23"/>
      <c r="JI660" s="23"/>
      <c r="JJ660" s="23"/>
      <c r="JK660" s="23"/>
      <c r="JL660" s="23"/>
      <c r="JM660" s="23"/>
      <c r="JN660" s="23"/>
      <c r="JO660" s="23"/>
      <c r="JP660" s="23"/>
      <c r="JQ660" s="23"/>
      <c r="JR660" s="23"/>
      <c r="JS660" s="23"/>
      <c r="JT660" s="23"/>
      <c r="JU660" s="23"/>
      <c r="JV660" s="23"/>
      <c r="JW660" s="23"/>
      <c r="JX660" s="23"/>
      <c r="JY660" s="23"/>
      <c r="JZ660" s="23"/>
      <c r="KA660" s="23"/>
      <c r="KB660" s="23"/>
      <c r="KC660" s="23"/>
      <c r="KD660" s="23"/>
      <c r="KE660" s="23"/>
      <c r="KF660" s="23"/>
      <c r="KG660" s="23"/>
      <c r="KH660" s="23"/>
      <c r="KI660" s="23"/>
      <c r="KJ660" s="23"/>
      <c r="KK660" s="23"/>
      <c r="KL660" s="23"/>
      <c r="KM660" s="23"/>
      <c r="KN660" s="23"/>
      <c r="KO660" s="23"/>
      <c r="KP660" s="23"/>
      <c r="KQ660" s="23"/>
      <c r="KR660" s="23"/>
      <c r="KS660" s="23"/>
      <c r="KT660" s="23"/>
      <c r="KU660" s="23"/>
      <c r="KV660" s="23"/>
      <c r="KW660" s="23"/>
      <c r="KX660" s="23"/>
      <c r="KY660" s="23"/>
      <c r="KZ660" s="23"/>
      <c r="LA660" s="23"/>
      <c r="LB660" s="23"/>
      <c r="LC660" s="23"/>
      <c r="LD660" s="23"/>
      <c r="LE660" s="23"/>
      <c r="LF660" s="23"/>
      <c r="LG660" s="23"/>
      <c r="LH660" s="23"/>
      <c r="LI660" s="23"/>
      <c r="LJ660" s="23"/>
      <c r="LK660" s="23"/>
      <c r="LL660" s="23"/>
      <c r="LM660" s="23"/>
      <c r="LN660" s="23"/>
      <c r="LO660" s="23"/>
    </row>
    <row r="661" spans="1:327">
      <c r="A661" s="390"/>
      <c r="B661" s="23"/>
      <c r="C661" s="391"/>
      <c r="D661" s="391"/>
      <c r="E661" s="23"/>
      <c r="F661" s="23"/>
      <c r="G661" s="392"/>
      <c r="H661" s="392"/>
      <c r="I661" s="392"/>
      <c r="J661" s="392"/>
      <c r="K661" s="392"/>
      <c r="L661" s="392"/>
      <c r="M661" s="392"/>
      <c r="N661" s="23"/>
      <c r="O661" s="39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  <c r="IL661" s="23"/>
      <c r="IM661" s="23"/>
      <c r="IN661" s="23"/>
      <c r="IO661" s="23"/>
      <c r="IP661" s="23"/>
      <c r="IQ661" s="23"/>
      <c r="IR661" s="23"/>
      <c r="IS661" s="23"/>
      <c r="IT661" s="23"/>
      <c r="IU661" s="23"/>
      <c r="IV661" s="23"/>
      <c r="IW661" s="23"/>
      <c r="IX661" s="23"/>
      <c r="IY661" s="23"/>
      <c r="IZ661" s="23"/>
      <c r="JA661" s="23"/>
      <c r="JB661" s="23"/>
      <c r="JC661" s="23"/>
      <c r="JD661" s="23"/>
      <c r="JE661" s="23"/>
      <c r="JF661" s="23"/>
      <c r="JG661" s="23"/>
      <c r="JH661" s="23"/>
      <c r="JI661" s="23"/>
      <c r="JJ661" s="23"/>
      <c r="JK661" s="23"/>
      <c r="JL661" s="23"/>
      <c r="JM661" s="23"/>
      <c r="JN661" s="23"/>
      <c r="JO661" s="23"/>
      <c r="JP661" s="23"/>
      <c r="JQ661" s="23"/>
      <c r="JR661" s="23"/>
      <c r="JS661" s="23"/>
      <c r="JT661" s="23"/>
      <c r="JU661" s="23"/>
      <c r="JV661" s="23"/>
      <c r="JW661" s="23"/>
      <c r="JX661" s="23"/>
      <c r="JY661" s="23"/>
      <c r="JZ661" s="23"/>
      <c r="KA661" s="23"/>
      <c r="KB661" s="23"/>
      <c r="KC661" s="23"/>
      <c r="KD661" s="23"/>
      <c r="KE661" s="23"/>
      <c r="KF661" s="23"/>
      <c r="KG661" s="23"/>
      <c r="KH661" s="23"/>
      <c r="KI661" s="23"/>
      <c r="KJ661" s="23"/>
      <c r="KK661" s="23"/>
      <c r="KL661" s="23"/>
      <c r="KM661" s="23"/>
      <c r="KN661" s="23"/>
      <c r="KO661" s="23"/>
      <c r="KP661" s="23"/>
      <c r="KQ661" s="23"/>
      <c r="KR661" s="23"/>
      <c r="KS661" s="23"/>
      <c r="KT661" s="23"/>
      <c r="KU661" s="23"/>
      <c r="KV661" s="23"/>
      <c r="KW661" s="23"/>
      <c r="KX661" s="23"/>
      <c r="KY661" s="23"/>
      <c r="KZ661" s="23"/>
      <c r="LA661" s="23"/>
      <c r="LB661" s="23"/>
      <c r="LC661" s="23"/>
      <c r="LD661" s="23"/>
      <c r="LE661" s="23"/>
      <c r="LF661" s="23"/>
      <c r="LG661" s="23"/>
      <c r="LH661" s="23"/>
      <c r="LI661" s="23"/>
      <c r="LJ661" s="23"/>
      <c r="LK661" s="23"/>
      <c r="LL661" s="23"/>
      <c r="LM661" s="23"/>
      <c r="LN661" s="23"/>
      <c r="LO661" s="23"/>
    </row>
    <row r="662" spans="1:327">
      <c r="A662" s="390"/>
      <c r="B662" s="23"/>
      <c r="C662" s="391"/>
      <c r="D662" s="391"/>
      <c r="E662" s="23"/>
      <c r="F662" s="23"/>
      <c r="G662" s="392"/>
      <c r="H662" s="392"/>
      <c r="I662" s="392"/>
      <c r="J662" s="392"/>
      <c r="K662" s="392"/>
      <c r="L662" s="392"/>
      <c r="M662" s="392"/>
      <c r="N662" s="23"/>
      <c r="O662" s="39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  <c r="IL662" s="23"/>
      <c r="IM662" s="23"/>
      <c r="IN662" s="23"/>
      <c r="IO662" s="23"/>
      <c r="IP662" s="23"/>
      <c r="IQ662" s="23"/>
      <c r="IR662" s="23"/>
      <c r="IS662" s="23"/>
      <c r="IT662" s="23"/>
      <c r="IU662" s="23"/>
      <c r="IV662" s="23"/>
      <c r="IW662" s="23"/>
      <c r="IX662" s="23"/>
      <c r="IY662" s="23"/>
      <c r="IZ662" s="23"/>
      <c r="JA662" s="23"/>
      <c r="JB662" s="23"/>
      <c r="JC662" s="23"/>
      <c r="JD662" s="23"/>
      <c r="JE662" s="23"/>
      <c r="JF662" s="23"/>
      <c r="JG662" s="23"/>
      <c r="JH662" s="23"/>
      <c r="JI662" s="23"/>
      <c r="JJ662" s="23"/>
      <c r="JK662" s="23"/>
      <c r="JL662" s="23"/>
      <c r="JM662" s="23"/>
      <c r="JN662" s="23"/>
      <c r="JO662" s="23"/>
      <c r="JP662" s="23"/>
      <c r="JQ662" s="23"/>
      <c r="JR662" s="23"/>
      <c r="JS662" s="23"/>
      <c r="JT662" s="23"/>
      <c r="JU662" s="23"/>
      <c r="JV662" s="23"/>
      <c r="JW662" s="23"/>
      <c r="JX662" s="23"/>
      <c r="JY662" s="23"/>
      <c r="JZ662" s="23"/>
      <c r="KA662" s="23"/>
      <c r="KB662" s="23"/>
      <c r="KC662" s="23"/>
      <c r="KD662" s="23"/>
      <c r="KE662" s="23"/>
      <c r="KF662" s="23"/>
      <c r="KG662" s="23"/>
      <c r="KH662" s="23"/>
      <c r="KI662" s="23"/>
      <c r="KJ662" s="23"/>
      <c r="KK662" s="23"/>
      <c r="KL662" s="23"/>
      <c r="KM662" s="23"/>
      <c r="KN662" s="23"/>
      <c r="KO662" s="23"/>
      <c r="KP662" s="23"/>
      <c r="KQ662" s="23"/>
      <c r="KR662" s="23"/>
      <c r="KS662" s="23"/>
      <c r="KT662" s="23"/>
      <c r="KU662" s="23"/>
      <c r="KV662" s="23"/>
      <c r="KW662" s="23"/>
      <c r="KX662" s="23"/>
      <c r="KY662" s="23"/>
      <c r="KZ662" s="23"/>
      <c r="LA662" s="23"/>
      <c r="LB662" s="23"/>
      <c r="LC662" s="23"/>
      <c r="LD662" s="23"/>
      <c r="LE662" s="23"/>
      <c r="LF662" s="23"/>
      <c r="LG662" s="23"/>
      <c r="LH662" s="23"/>
      <c r="LI662" s="23"/>
      <c r="LJ662" s="23"/>
      <c r="LK662" s="23"/>
      <c r="LL662" s="23"/>
      <c r="LM662" s="23"/>
      <c r="LN662" s="23"/>
      <c r="LO662" s="23"/>
    </row>
    <row r="663" spans="1:327">
      <c r="A663" s="390"/>
      <c r="B663" s="23"/>
      <c r="C663" s="391"/>
      <c r="D663" s="391"/>
      <c r="E663" s="23"/>
      <c r="F663" s="23"/>
      <c r="G663" s="392"/>
      <c r="H663" s="392"/>
      <c r="I663" s="392"/>
      <c r="J663" s="392"/>
      <c r="K663" s="392"/>
      <c r="L663" s="392"/>
      <c r="M663" s="392"/>
      <c r="N663" s="23"/>
      <c r="O663" s="39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  <c r="IL663" s="23"/>
      <c r="IM663" s="23"/>
      <c r="IN663" s="23"/>
      <c r="IO663" s="23"/>
      <c r="IP663" s="23"/>
      <c r="IQ663" s="23"/>
      <c r="IR663" s="23"/>
      <c r="IS663" s="23"/>
      <c r="IT663" s="23"/>
      <c r="IU663" s="23"/>
      <c r="IV663" s="23"/>
      <c r="IW663" s="23"/>
      <c r="IX663" s="23"/>
      <c r="IY663" s="23"/>
      <c r="IZ663" s="23"/>
      <c r="JA663" s="23"/>
      <c r="JB663" s="23"/>
      <c r="JC663" s="23"/>
      <c r="JD663" s="23"/>
      <c r="JE663" s="23"/>
      <c r="JF663" s="23"/>
      <c r="JG663" s="23"/>
      <c r="JH663" s="23"/>
      <c r="JI663" s="23"/>
      <c r="JJ663" s="23"/>
      <c r="JK663" s="23"/>
      <c r="JL663" s="23"/>
      <c r="JM663" s="23"/>
      <c r="JN663" s="23"/>
      <c r="JO663" s="23"/>
      <c r="JP663" s="23"/>
      <c r="JQ663" s="23"/>
      <c r="JR663" s="23"/>
      <c r="JS663" s="23"/>
      <c r="JT663" s="23"/>
      <c r="JU663" s="23"/>
      <c r="JV663" s="23"/>
      <c r="JW663" s="23"/>
      <c r="JX663" s="23"/>
      <c r="JY663" s="23"/>
      <c r="JZ663" s="23"/>
      <c r="KA663" s="23"/>
      <c r="KB663" s="23"/>
      <c r="KC663" s="23"/>
      <c r="KD663" s="23"/>
      <c r="KE663" s="23"/>
      <c r="KF663" s="23"/>
      <c r="KG663" s="23"/>
      <c r="KH663" s="23"/>
      <c r="KI663" s="23"/>
      <c r="KJ663" s="23"/>
      <c r="KK663" s="23"/>
      <c r="KL663" s="23"/>
      <c r="KM663" s="23"/>
      <c r="KN663" s="23"/>
      <c r="KO663" s="23"/>
      <c r="KP663" s="23"/>
      <c r="KQ663" s="23"/>
      <c r="KR663" s="23"/>
      <c r="KS663" s="23"/>
      <c r="KT663" s="23"/>
      <c r="KU663" s="23"/>
      <c r="KV663" s="23"/>
      <c r="KW663" s="23"/>
      <c r="KX663" s="23"/>
      <c r="KY663" s="23"/>
      <c r="KZ663" s="23"/>
      <c r="LA663" s="23"/>
      <c r="LB663" s="23"/>
      <c r="LC663" s="23"/>
      <c r="LD663" s="23"/>
      <c r="LE663" s="23"/>
      <c r="LF663" s="23"/>
      <c r="LG663" s="23"/>
      <c r="LH663" s="23"/>
      <c r="LI663" s="23"/>
      <c r="LJ663" s="23"/>
      <c r="LK663" s="23"/>
      <c r="LL663" s="23"/>
      <c r="LM663" s="23"/>
      <c r="LN663" s="23"/>
      <c r="LO663" s="23"/>
    </row>
    <row r="664" spans="1:327">
      <c r="A664" s="390"/>
      <c r="B664" s="23"/>
      <c r="C664" s="391"/>
      <c r="D664" s="391"/>
      <c r="E664" s="23"/>
      <c r="F664" s="23"/>
      <c r="G664" s="392"/>
      <c r="H664" s="392"/>
      <c r="I664" s="392"/>
      <c r="J664" s="392"/>
      <c r="K664" s="392"/>
      <c r="L664" s="392"/>
      <c r="M664" s="392"/>
      <c r="N664" s="23"/>
      <c r="O664" s="39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  <c r="IL664" s="23"/>
      <c r="IM664" s="23"/>
      <c r="IN664" s="23"/>
      <c r="IO664" s="23"/>
      <c r="IP664" s="23"/>
      <c r="IQ664" s="23"/>
      <c r="IR664" s="23"/>
      <c r="IS664" s="23"/>
      <c r="IT664" s="23"/>
      <c r="IU664" s="23"/>
      <c r="IV664" s="23"/>
      <c r="IW664" s="23"/>
      <c r="IX664" s="23"/>
      <c r="IY664" s="23"/>
      <c r="IZ664" s="23"/>
      <c r="JA664" s="23"/>
      <c r="JB664" s="23"/>
      <c r="JC664" s="23"/>
      <c r="JD664" s="23"/>
      <c r="JE664" s="23"/>
      <c r="JF664" s="23"/>
      <c r="JG664" s="23"/>
      <c r="JH664" s="23"/>
      <c r="JI664" s="23"/>
      <c r="JJ664" s="23"/>
      <c r="JK664" s="23"/>
      <c r="JL664" s="23"/>
      <c r="JM664" s="23"/>
      <c r="JN664" s="23"/>
      <c r="JO664" s="23"/>
      <c r="JP664" s="23"/>
      <c r="JQ664" s="23"/>
      <c r="JR664" s="23"/>
      <c r="JS664" s="23"/>
      <c r="JT664" s="23"/>
      <c r="JU664" s="23"/>
      <c r="JV664" s="23"/>
      <c r="JW664" s="23"/>
      <c r="JX664" s="23"/>
      <c r="JY664" s="23"/>
      <c r="JZ664" s="23"/>
      <c r="KA664" s="23"/>
      <c r="KB664" s="23"/>
      <c r="KC664" s="23"/>
      <c r="KD664" s="23"/>
      <c r="KE664" s="23"/>
      <c r="KF664" s="23"/>
      <c r="KG664" s="23"/>
      <c r="KH664" s="23"/>
      <c r="KI664" s="23"/>
      <c r="KJ664" s="23"/>
      <c r="KK664" s="23"/>
      <c r="KL664" s="23"/>
      <c r="KM664" s="23"/>
      <c r="KN664" s="23"/>
      <c r="KO664" s="23"/>
      <c r="KP664" s="23"/>
      <c r="KQ664" s="23"/>
      <c r="KR664" s="23"/>
      <c r="KS664" s="23"/>
      <c r="KT664" s="23"/>
      <c r="KU664" s="23"/>
      <c r="KV664" s="23"/>
      <c r="KW664" s="23"/>
      <c r="KX664" s="23"/>
      <c r="KY664" s="23"/>
      <c r="KZ664" s="23"/>
      <c r="LA664" s="23"/>
      <c r="LB664" s="23"/>
      <c r="LC664" s="23"/>
      <c r="LD664" s="23"/>
      <c r="LE664" s="23"/>
      <c r="LF664" s="23"/>
      <c r="LG664" s="23"/>
      <c r="LH664" s="23"/>
      <c r="LI664" s="23"/>
      <c r="LJ664" s="23"/>
      <c r="LK664" s="23"/>
      <c r="LL664" s="23"/>
      <c r="LM664" s="23"/>
      <c r="LN664" s="23"/>
      <c r="LO664" s="23"/>
    </row>
    <row r="665" spans="1:327">
      <c r="A665" s="390"/>
      <c r="B665" s="23"/>
      <c r="C665" s="391"/>
      <c r="D665" s="391"/>
      <c r="E665" s="23"/>
      <c r="F665" s="23"/>
      <c r="G665" s="392"/>
      <c r="H665" s="392"/>
      <c r="I665" s="392"/>
      <c r="J665" s="392"/>
      <c r="K665" s="392"/>
      <c r="L665" s="392"/>
      <c r="M665" s="392"/>
      <c r="N665" s="23"/>
      <c r="O665" s="39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  <c r="IL665" s="23"/>
      <c r="IM665" s="23"/>
      <c r="IN665" s="23"/>
      <c r="IO665" s="23"/>
      <c r="IP665" s="23"/>
      <c r="IQ665" s="23"/>
      <c r="IR665" s="23"/>
      <c r="IS665" s="23"/>
      <c r="IT665" s="23"/>
      <c r="IU665" s="23"/>
      <c r="IV665" s="23"/>
      <c r="IW665" s="23"/>
      <c r="IX665" s="23"/>
      <c r="IY665" s="23"/>
      <c r="IZ665" s="23"/>
      <c r="JA665" s="23"/>
      <c r="JB665" s="23"/>
      <c r="JC665" s="23"/>
      <c r="JD665" s="23"/>
      <c r="JE665" s="23"/>
      <c r="JF665" s="23"/>
      <c r="JG665" s="23"/>
      <c r="JH665" s="23"/>
      <c r="JI665" s="23"/>
      <c r="JJ665" s="23"/>
      <c r="JK665" s="23"/>
      <c r="JL665" s="23"/>
      <c r="JM665" s="23"/>
      <c r="JN665" s="23"/>
      <c r="JO665" s="23"/>
      <c r="JP665" s="23"/>
      <c r="JQ665" s="23"/>
      <c r="JR665" s="23"/>
      <c r="JS665" s="23"/>
      <c r="JT665" s="23"/>
      <c r="JU665" s="23"/>
      <c r="JV665" s="23"/>
      <c r="JW665" s="23"/>
      <c r="JX665" s="23"/>
      <c r="JY665" s="23"/>
      <c r="JZ665" s="23"/>
      <c r="KA665" s="23"/>
      <c r="KB665" s="23"/>
      <c r="KC665" s="23"/>
      <c r="KD665" s="23"/>
      <c r="KE665" s="23"/>
      <c r="KF665" s="23"/>
      <c r="KG665" s="23"/>
      <c r="KH665" s="23"/>
      <c r="KI665" s="23"/>
      <c r="KJ665" s="23"/>
      <c r="KK665" s="23"/>
      <c r="KL665" s="23"/>
      <c r="KM665" s="23"/>
      <c r="KN665" s="23"/>
      <c r="KO665" s="23"/>
      <c r="KP665" s="23"/>
      <c r="KQ665" s="23"/>
      <c r="KR665" s="23"/>
      <c r="KS665" s="23"/>
      <c r="KT665" s="23"/>
      <c r="KU665" s="23"/>
      <c r="KV665" s="23"/>
      <c r="KW665" s="23"/>
      <c r="KX665" s="23"/>
      <c r="KY665" s="23"/>
      <c r="KZ665" s="23"/>
      <c r="LA665" s="23"/>
      <c r="LB665" s="23"/>
      <c r="LC665" s="23"/>
      <c r="LD665" s="23"/>
      <c r="LE665" s="23"/>
      <c r="LF665" s="23"/>
      <c r="LG665" s="23"/>
      <c r="LH665" s="23"/>
      <c r="LI665" s="23"/>
      <c r="LJ665" s="23"/>
      <c r="LK665" s="23"/>
      <c r="LL665" s="23"/>
      <c r="LM665" s="23"/>
      <c r="LN665" s="23"/>
      <c r="LO665" s="23"/>
    </row>
    <row r="666" spans="1:327">
      <c r="A666" s="390"/>
      <c r="B666" s="23"/>
      <c r="C666" s="391"/>
      <c r="D666" s="391"/>
      <c r="E666" s="23"/>
      <c r="F666" s="23"/>
      <c r="G666" s="392"/>
      <c r="H666" s="392"/>
      <c r="I666" s="392"/>
      <c r="J666" s="392"/>
      <c r="K666" s="392"/>
      <c r="L666" s="392"/>
      <c r="M666" s="392"/>
      <c r="N666" s="23"/>
      <c r="O666" s="39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  <c r="IL666" s="23"/>
      <c r="IM666" s="23"/>
      <c r="IN666" s="23"/>
      <c r="IO666" s="23"/>
      <c r="IP666" s="23"/>
      <c r="IQ666" s="23"/>
      <c r="IR666" s="23"/>
      <c r="IS666" s="23"/>
      <c r="IT666" s="23"/>
      <c r="IU666" s="23"/>
      <c r="IV666" s="23"/>
      <c r="IW666" s="23"/>
      <c r="IX666" s="23"/>
      <c r="IY666" s="23"/>
      <c r="IZ666" s="23"/>
      <c r="JA666" s="23"/>
      <c r="JB666" s="23"/>
      <c r="JC666" s="23"/>
      <c r="JD666" s="23"/>
      <c r="JE666" s="23"/>
      <c r="JF666" s="23"/>
      <c r="JG666" s="23"/>
      <c r="JH666" s="23"/>
      <c r="JI666" s="23"/>
      <c r="JJ666" s="23"/>
      <c r="JK666" s="23"/>
      <c r="JL666" s="23"/>
      <c r="JM666" s="23"/>
      <c r="JN666" s="23"/>
      <c r="JO666" s="23"/>
      <c r="JP666" s="23"/>
      <c r="JQ666" s="23"/>
      <c r="JR666" s="23"/>
      <c r="JS666" s="23"/>
      <c r="JT666" s="23"/>
      <c r="JU666" s="23"/>
      <c r="JV666" s="23"/>
      <c r="JW666" s="23"/>
      <c r="JX666" s="23"/>
      <c r="JY666" s="23"/>
      <c r="JZ666" s="23"/>
      <c r="KA666" s="23"/>
      <c r="KB666" s="23"/>
      <c r="KC666" s="23"/>
      <c r="KD666" s="23"/>
      <c r="KE666" s="23"/>
      <c r="KF666" s="23"/>
      <c r="KG666" s="23"/>
      <c r="KH666" s="23"/>
      <c r="KI666" s="23"/>
      <c r="KJ666" s="23"/>
      <c r="KK666" s="23"/>
      <c r="KL666" s="23"/>
      <c r="KM666" s="23"/>
      <c r="KN666" s="23"/>
      <c r="KO666" s="23"/>
      <c r="KP666" s="23"/>
      <c r="KQ666" s="23"/>
      <c r="KR666" s="23"/>
      <c r="KS666" s="23"/>
      <c r="KT666" s="23"/>
      <c r="KU666" s="23"/>
      <c r="KV666" s="23"/>
      <c r="KW666" s="23"/>
      <c r="KX666" s="23"/>
      <c r="KY666" s="23"/>
      <c r="KZ666" s="23"/>
      <c r="LA666" s="23"/>
      <c r="LB666" s="23"/>
      <c r="LC666" s="23"/>
      <c r="LD666" s="23"/>
      <c r="LE666" s="23"/>
      <c r="LF666" s="23"/>
      <c r="LG666" s="23"/>
      <c r="LH666" s="23"/>
      <c r="LI666" s="23"/>
      <c r="LJ666" s="23"/>
      <c r="LK666" s="23"/>
      <c r="LL666" s="23"/>
      <c r="LM666" s="23"/>
      <c r="LN666" s="23"/>
      <c r="LO666" s="23"/>
    </row>
    <row r="667" spans="1:327">
      <c r="A667" s="390"/>
      <c r="B667" s="23"/>
      <c r="C667" s="391"/>
      <c r="D667" s="391"/>
      <c r="E667" s="23"/>
      <c r="F667" s="23"/>
      <c r="G667" s="392"/>
      <c r="H667" s="392"/>
      <c r="I667" s="392"/>
      <c r="J667" s="392"/>
      <c r="K667" s="392"/>
      <c r="L667" s="392"/>
      <c r="M667" s="392"/>
      <c r="N667" s="23"/>
      <c r="O667" s="39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  <c r="IL667" s="23"/>
      <c r="IM667" s="23"/>
      <c r="IN667" s="23"/>
      <c r="IO667" s="23"/>
      <c r="IP667" s="23"/>
      <c r="IQ667" s="23"/>
      <c r="IR667" s="23"/>
      <c r="IS667" s="23"/>
      <c r="IT667" s="23"/>
      <c r="IU667" s="23"/>
      <c r="IV667" s="23"/>
      <c r="IW667" s="23"/>
      <c r="IX667" s="23"/>
      <c r="IY667" s="23"/>
      <c r="IZ667" s="23"/>
      <c r="JA667" s="23"/>
      <c r="JB667" s="23"/>
      <c r="JC667" s="23"/>
      <c r="JD667" s="23"/>
      <c r="JE667" s="23"/>
      <c r="JF667" s="23"/>
      <c r="JG667" s="23"/>
      <c r="JH667" s="23"/>
      <c r="JI667" s="23"/>
      <c r="JJ667" s="23"/>
      <c r="JK667" s="23"/>
      <c r="JL667" s="23"/>
      <c r="JM667" s="23"/>
      <c r="JN667" s="23"/>
      <c r="JO667" s="23"/>
      <c r="JP667" s="23"/>
      <c r="JQ667" s="23"/>
      <c r="JR667" s="23"/>
      <c r="JS667" s="23"/>
      <c r="JT667" s="23"/>
      <c r="JU667" s="23"/>
      <c r="JV667" s="23"/>
      <c r="JW667" s="23"/>
      <c r="JX667" s="23"/>
      <c r="JY667" s="23"/>
      <c r="JZ667" s="23"/>
      <c r="KA667" s="23"/>
      <c r="KB667" s="23"/>
      <c r="KC667" s="23"/>
      <c r="KD667" s="23"/>
      <c r="KE667" s="23"/>
      <c r="KF667" s="23"/>
      <c r="KG667" s="23"/>
      <c r="KH667" s="23"/>
      <c r="KI667" s="23"/>
      <c r="KJ667" s="23"/>
      <c r="KK667" s="23"/>
      <c r="KL667" s="23"/>
      <c r="KM667" s="23"/>
      <c r="KN667" s="23"/>
      <c r="KO667" s="23"/>
      <c r="KP667" s="23"/>
      <c r="KQ667" s="23"/>
      <c r="KR667" s="23"/>
      <c r="KS667" s="23"/>
      <c r="KT667" s="23"/>
      <c r="KU667" s="23"/>
      <c r="KV667" s="23"/>
      <c r="KW667" s="23"/>
      <c r="KX667" s="23"/>
      <c r="KY667" s="23"/>
      <c r="KZ667" s="23"/>
      <c r="LA667" s="23"/>
      <c r="LB667" s="23"/>
      <c r="LC667" s="23"/>
      <c r="LD667" s="23"/>
      <c r="LE667" s="23"/>
      <c r="LF667" s="23"/>
      <c r="LG667" s="23"/>
      <c r="LH667" s="23"/>
      <c r="LI667" s="23"/>
      <c r="LJ667" s="23"/>
      <c r="LK667" s="23"/>
      <c r="LL667" s="23"/>
      <c r="LM667" s="23"/>
      <c r="LN667" s="23"/>
      <c r="LO667" s="23"/>
    </row>
    <row r="668" spans="1:327">
      <c r="A668" s="390"/>
      <c r="B668" s="23"/>
      <c r="C668" s="391"/>
      <c r="D668" s="391"/>
      <c r="E668" s="23"/>
      <c r="F668" s="23"/>
      <c r="G668" s="392"/>
      <c r="H668" s="392"/>
      <c r="I668" s="392"/>
      <c r="J668" s="392"/>
      <c r="K668" s="392"/>
      <c r="L668" s="392"/>
      <c r="M668" s="392"/>
      <c r="N668" s="23"/>
      <c r="O668" s="39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  <c r="IL668" s="23"/>
      <c r="IM668" s="23"/>
      <c r="IN668" s="23"/>
      <c r="IO668" s="23"/>
      <c r="IP668" s="23"/>
      <c r="IQ668" s="23"/>
      <c r="IR668" s="23"/>
      <c r="IS668" s="23"/>
      <c r="IT668" s="23"/>
      <c r="IU668" s="23"/>
      <c r="IV668" s="23"/>
      <c r="IW668" s="23"/>
      <c r="IX668" s="23"/>
      <c r="IY668" s="23"/>
      <c r="IZ668" s="23"/>
      <c r="JA668" s="23"/>
      <c r="JB668" s="23"/>
      <c r="JC668" s="23"/>
      <c r="JD668" s="23"/>
      <c r="JE668" s="23"/>
      <c r="JF668" s="23"/>
      <c r="JG668" s="23"/>
      <c r="JH668" s="23"/>
      <c r="JI668" s="23"/>
      <c r="JJ668" s="23"/>
      <c r="JK668" s="23"/>
      <c r="JL668" s="23"/>
      <c r="JM668" s="23"/>
      <c r="JN668" s="23"/>
      <c r="JO668" s="23"/>
      <c r="JP668" s="23"/>
      <c r="JQ668" s="23"/>
      <c r="JR668" s="23"/>
      <c r="JS668" s="23"/>
      <c r="JT668" s="23"/>
      <c r="JU668" s="23"/>
      <c r="JV668" s="23"/>
      <c r="JW668" s="23"/>
      <c r="JX668" s="23"/>
      <c r="JY668" s="23"/>
      <c r="JZ668" s="23"/>
      <c r="KA668" s="23"/>
      <c r="KB668" s="23"/>
      <c r="KC668" s="23"/>
      <c r="KD668" s="23"/>
      <c r="KE668" s="23"/>
      <c r="KF668" s="23"/>
      <c r="KG668" s="23"/>
      <c r="KH668" s="23"/>
      <c r="KI668" s="23"/>
      <c r="KJ668" s="23"/>
      <c r="KK668" s="23"/>
      <c r="KL668" s="23"/>
      <c r="KM668" s="23"/>
      <c r="KN668" s="23"/>
      <c r="KO668" s="23"/>
      <c r="KP668" s="23"/>
      <c r="KQ668" s="23"/>
      <c r="KR668" s="23"/>
      <c r="KS668" s="23"/>
      <c r="KT668" s="23"/>
      <c r="KU668" s="23"/>
      <c r="KV668" s="23"/>
      <c r="KW668" s="23"/>
      <c r="KX668" s="23"/>
      <c r="KY668" s="23"/>
      <c r="KZ668" s="23"/>
      <c r="LA668" s="23"/>
      <c r="LB668" s="23"/>
      <c r="LC668" s="23"/>
      <c r="LD668" s="23"/>
      <c r="LE668" s="23"/>
      <c r="LF668" s="23"/>
      <c r="LG668" s="23"/>
      <c r="LH668" s="23"/>
      <c r="LI668" s="23"/>
      <c r="LJ668" s="23"/>
      <c r="LK668" s="23"/>
      <c r="LL668" s="23"/>
      <c r="LM668" s="23"/>
      <c r="LN668" s="23"/>
      <c r="LO668" s="23"/>
    </row>
    <row r="669" spans="1:327">
      <c r="A669" s="390"/>
      <c r="B669" s="23"/>
      <c r="C669" s="391"/>
      <c r="D669" s="391"/>
      <c r="E669" s="23"/>
      <c r="F669" s="23"/>
      <c r="G669" s="392"/>
      <c r="H669" s="392"/>
      <c r="I669" s="392"/>
      <c r="J669" s="392"/>
      <c r="K669" s="392"/>
      <c r="L669" s="392"/>
      <c r="M669" s="392"/>
      <c r="N669" s="23"/>
      <c r="O669" s="39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  <c r="IL669" s="23"/>
      <c r="IM669" s="23"/>
      <c r="IN669" s="23"/>
      <c r="IO669" s="23"/>
      <c r="IP669" s="23"/>
      <c r="IQ669" s="23"/>
      <c r="IR669" s="23"/>
      <c r="IS669" s="23"/>
      <c r="IT669" s="23"/>
      <c r="IU669" s="23"/>
      <c r="IV669" s="23"/>
      <c r="IW669" s="23"/>
      <c r="IX669" s="23"/>
      <c r="IY669" s="23"/>
      <c r="IZ669" s="23"/>
      <c r="JA669" s="23"/>
      <c r="JB669" s="23"/>
      <c r="JC669" s="23"/>
      <c r="JD669" s="23"/>
      <c r="JE669" s="23"/>
      <c r="JF669" s="23"/>
      <c r="JG669" s="23"/>
      <c r="JH669" s="23"/>
      <c r="JI669" s="23"/>
      <c r="JJ669" s="23"/>
      <c r="JK669" s="23"/>
      <c r="JL669" s="23"/>
      <c r="JM669" s="23"/>
      <c r="JN669" s="23"/>
      <c r="JO669" s="23"/>
      <c r="JP669" s="23"/>
      <c r="JQ669" s="23"/>
      <c r="JR669" s="23"/>
      <c r="JS669" s="23"/>
      <c r="JT669" s="23"/>
      <c r="JU669" s="23"/>
      <c r="JV669" s="23"/>
      <c r="JW669" s="23"/>
      <c r="JX669" s="23"/>
      <c r="JY669" s="23"/>
      <c r="JZ669" s="23"/>
      <c r="KA669" s="23"/>
      <c r="KB669" s="23"/>
      <c r="KC669" s="23"/>
      <c r="KD669" s="23"/>
      <c r="KE669" s="23"/>
      <c r="KF669" s="23"/>
      <c r="KG669" s="23"/>
      <c r="KH669" s="23"/>
      <c r="KI669" s="23"/>
      <c r="KJ669" s="23"/>
      <c r="KK669" s="23"/>
      <c r="KL669" s="23"/>
      <c r="KM669" s="23"/>
      <c r="KN669" s="23"/>
      <c r="KO669" s="23"/>
      <c r="KP669" s="23"/>
      <c r="KQ669" s="23"/>
      <c r="KR669" s="23"/>
      <c r="KS669" s="23"/>
      <c r="KT669" s="23"/>
      <c r="KU669" s="23"/>
      <c r="KV669" s="23"/>
      <c r="KW669" s="23"/>
      <c r="KX669" s="23"/>
      <c r="KY669" s="23"/>
      <c r="KZ669" s="23"/>
      <c r="LA669" s="23"/>
      <c r="LB669" s="23"/>
      <c r="LC669" s="23"/>
      <c r="LD669" s="23"/>
      <c r="LE669" s="23"/>
      <c r="LF669" s="23"/>
      <c r="LG669" s="23"/>
      <c r="LH669" s="23"/>
      <c r="LI669" s="23"/>
      <c r="LJ669" s="23"/>
      <c r="LK669" s="23"/>
      <c r="LL669" s="23"/>
      <c r="LM669" s="23"/>
      <c r="LN669" s="23"/>
      <c r="LO669" s="23"/>
    </row>
    <row r="670" spans="1:327">
      <c r="A670" s="390"/>
      <c r="B670" s="23"/>
      <c r="C670" s="391"/>
      <c r="D670" s="391"/>
      <c r="E670" s="23"/>
      <c r="F670" s="23"/>
      <c r="G670" s="392"/>
      <c r="H670" s="392"/>
      <c r="I670" s="392"/>
      <c r="J670" s="392"/>
      <c r="K670" s="392"/>
      <c r="L670" s="392"/>
      <c r="M670" s="392"/>
      <c r="N670" s="23"/>
      <c r="O670" s="39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  <c r="IL670" s="23"/>
      <c r="IM670" s="23"/>
      <c r="IN670" s="23"/>
      <c r="IO670" s="23"/>
      <c r="IP670" s="23"/>
      <c r="IQ670" s="23"/>
      <c r="IR670" s="23"/>
      <c r="IS670" s="23"/>
      <c r="IT670" s="23"/>
      <c r="IU670" s="23"/>
      <c r="IV670" s="23"/>
      <c r="IW670" s="23"/>
      <c r="IX670" s="23"/>
      <c r="IY670" s="23"/>
      <c r="IZ670" s="23"/>
      <c r="JA670" s="23"/>
      <c r="JB670" s="23"/>
      <c r="JC670" s="23"/>
      <c r="JD670" s="23"/>
      <c r="JE670" s="23"/>
      <c r="JF670" s="23"/>
      <c r="JG670" s="23"/>
      <c r="JH670" s="23"/>
      <c r="JI670" s="23"/>
      <c r="JJ670" s="23"/>
      <c r="JK670" s="23"/>
      <c r="JL670" s="23"/>
      <c r="JM670" s="23"/>
      <c r="JN670" s="23"/>
      <c r="JO670" s="23"/>
      <c r="JP670" s="23"/>
      <c r="JQ670" s="23"/>
      <c r="JR670" s="23"/>
      <c r="JS670" s="23"/>
      <c r="JT670" s="23"/>
      <c r="JU670" s="23"/>
      <c r="JV670" s="23"/>
      <c r="JW670" s="23"/>
      <c r="JX670" s="23"/>
      <c r="JY670" s="23"/>
      <c r="JZ670" s="23"/>
      <c r="KA670" s="23"/>
      <c r="KB670" s="23"/>
      <c r="KC670" s="23"/>
      <c r="KD670" s="23"/>
      <c r="KE670" s="23"/>
      <c r="KF670" s="23"/>
      <c r="KG670" s="23"/>
      <c r="KH670" s="23"/>
      <c r="KI670" s="23"/>
      <c r="KJ670" s="23"/>
      <c r="KK670" s="23"/>
      <c r="KL670" s="23"/>
      <c r="KM670" s="23"/>
      <c r="KN670" s="23"/>
      <c r="KO670" s="23"/>
      <c r="KP670" s="23"/>
      <c r="KQ670" s="23"/>
      <c r="KR670" s="23"/>
      <c r="KS670" s="23"/>
      <c r="KT670" s="23"/>
      <c r="KU670" s="23"/>
      <c r="KV670" s="23"/>
      <c r="KW670" s="23"/>
      <c r="KX670" s="23"/>
      <c r="KY670" s="23"/>
      <c r="KZ670" s="23"/>
      <c r="LA670" s="23"/>
      <c r="LB670" s="23"/>
      <c r="LC670" s="23"/>
      <c r="LD670" s="23"/>
      <c r="LE670" s="23"/>
      <c r="LF670" s="23"/>
      <c r="LG670" s="23"/>
      <c r="LH670" s="23"/>
      <c r="LI670" s="23"/>
      <c r="LJ670" s="23"/>
      <c r="LK670" s="23"/>
      <c r="LL670" s="23"/>
      <c r="LM670" s="23"/>
      <c r="LN670" s="23"/>
      <c r="LO670" s="23"/>
    </row>
    <row r="671" spans="1:327">
      <c r="A671" s="390"/>
      <c r="B671" s="23"/>
      <c r="C671" s="391"/>
      <c r="D671" s="391"/>
      <c r="E671" s="23"/>
      <c r="F671" s="23"/>
      <c r="G671" s="392"/>
      <c r="H671" s="392"/>
      <c r="I671" s="392"/>
      <c r="J671" s="392"/>
      <c r="K671" s="392"/>
      <c r="L671" s="392"/>
      <c r="M671" s="392"/>
      <c r="N671" s="23"/>
      <c r="O671" s="39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  <c r="IL671" s="23"/>
      <c r="IM671" s="23"/>
      <c r="IN671" s="23"/>
      <c r="IO671" s="23"/>
      <c r="IP671" s="23"/>
      <c r="IQ671" s="23"/>
      <c r="IR671" s="23"/>
      <c r="IS671" s="23"/>
      <c r="IT671" s="23"/>
      <c r="IU671" s="23"/>
      <c r="IV671" s="23"/>
      <c r="IW671" s="23"/>
      <c r="IX671" s="23"/>
      <c r="IY671" s="23"/>
      <c r="IZ671" s="23"/>
      <c r="JA671" s="23"/>
      <c r="JB671" s="23"/>
      <c r="JC671" s="23"/>
      <c r="JD671" s="23"/>
      <c r="JE671" s="23"/>
      <c r="JF671" s="23"/>
      <c r="JG671" s="23"/>
      <c r="JH671" s="23"/>
      <c r="JI671" s="23"/>
      <c r="JJ671" s="23"/>
      <c r="JK671" s="23"/>
      <c r="JL671" s="23"/>
      <c r="JM671" s="23"/>
      <c r="JN671" s="23"/>
      <c r="JO671" s="23"/>
      <c r="JP671" s="23"/>
      <c r="JQ671" s="23"/>
      <c r="JR671" s="23"/>
      <c r="JS671" s="23"/>
      <c r="JT671" s="23"/>
      <c r="JU671" s="23"/>
      <c r="JV671" s="23"/>
      <c r="JW671" s="23"/>
      <c r="JX671" s="23"/>
      <c r="JY671" s="23"/>
      <c r="JZ671" s="23"/>
      <c r="KA671" s="23"/>
      <c r="KB671" s="23"/>
      <c r="KC671" s="23"/>
      <c r="KD671" s="23"/>
      <c r="KE671" s="23"/>
      <c r="KF671" s="23"/>
      <c r="KG671" s="23"/>
      <c r="KH671" s="23"/>
      <c r="KI671" s="23"/>
      <c r="KJ671" s="23"/>
      <c r="KK671" s="23"/>
      <c r="KL671" s="23"/>
      <c r="KM671" s="23"/>
      <c r="KN671" s="23"/>
      <c r="KO671" s="23"/>
      <c r="KP671" s="23"/>
      <c r="KQ671" s="23"/>
      <c r="KR671" s="23"/>
      <c r="KS671" s="23"/>
      <c r="KT671" s="23"/>
      <c r="KU671" s="23"/>
      <c r="KV671" s="23"/>
      <c r="KW671" s="23"/>
      <c r="KX671" s="23"/>
      <c r="KY671" s="23"/>
      <c r="KZ671" s="23"/>
      <c r="LA671" s="23"/>
      <c r="LB671" s="23"/>
      <c r="LC671" s="23"/>
      <c r="LD671" s="23"/>
      <c r="LE671" s="23"/>
      <c r="LF671" s="23"/>
      <c r="LG671" s="23"/>
      <c r="LH671" s="23"/>
      <c r="LI671" s="23"/>
      <c r="LJ671" s="23"/>
      <c r="LK671" s="23"/>
      <c r="LL671" s="23"/>
      <c r="LM671" s="23"/>
      <c r="LN671" s="23"/>
      <c r="LO671" s="23"/>
    </row>
    <row r="672" spans="1:327">
      <c r="A672" s="390"/>
      <c r="B672" s="23"/>
      <c r="C672" s="391"/>
      <c r="D672" s="391"/>
      <c r="E672" s="23"/>
      <c r="F672" s="23"/>
      <c r="G672" s="392"/>
      <c r="H672" s="392"/>
      <c r="I672" s="392"/>
      <c r="J672" s="392"/>
      <c r="K672" s="392"/>
      <c r="L672" s="392"/>
      <c r="M672" s="392"/>
      <c r="N672" s="23"/>
      <c r="O672" s="39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  <c r="IL672" s="23"/>
      <c r="IM672" s="23"/>
      <c r="IN672" s="23"/>
      <c r="IO672" s="23"/>
      <c r="IP672" s="23"/>
      <c r="IQ672" s="23"/>
      <c r="IR672" s="23"/>
      <c r="IS672" s="23"/>
      <c r="IT672" s="23"/>
      <c r="IU672" s="23"/>
      <c r="IV672" s="23"/>
      <c r="IW672" s="23"/>
      <c r="IX672" s="23"/>
      <c r="IY672" s="23"/>
      <c r="IZ672" s="23"/>
      <c r="JA672" s="23"/>
      <c r="JB672" s="23"/>
      <c r="JC672" s="23"/>
      <c r="JD672" s="23"/>
      <c r="JE672" s="23"/>
      <c r="JF672" s="23"/>
      <c r="JG672" s="23"/>
      <c r="JH672" s="23"/>
      <c r="JI672" s="23"/>
      <c r="JJ672" s="23"/>
      <c r="JK672" s="23"/>
      <c r="JL672" s="23"/>
      <c r="JM672" s="23"/>
      <c r="JN672" s="23"/>
      <c r="JO672" s="23"/>
      <c r="JP672" s="23"/>
      <c r="JQ672" s="23"/>
      <c r="JR672" s="23"/>
      <c r="JS672" s="23"/>
      <c r="JT672" s="23"/>
      <c r="JU672" s="23"/>
      <c r="JV672" s="23"/>
      <c r="JW672" s="23"/>
      <c r="JX672" s="23"/>
      <c r="JY672" s="23"/>
      <c r="JZ672" s="23"/>
      <c r="KA672" s="23"/>
      <c r="KB672" s="23"/>
      <c r="KC672" s="23"/>
      <c r="KD672" s="23"/>
      <c r="KE672" s="23"/>
      <c r="KF672" s="23"/>
      <c r="KG672" s="23"/>
      <c r="KH672" s="23"/>
      <c r="KI672" s="23"/>
      <c r="KJ672" s="23"/>
      <c r="KK672" s="23"/>
      <c r="KL672" s="23"/>
      <c r="KM672" s="23"/>
      <c r="KN672" s="23"/>
      <c r="KO672" s="23"/>
      <c r="KP672" s="23"/>
      <c r="KQ672" s="23"/>
      <c r="KR672" s="23"/>
      <c r="KS672" s="23"/>
      <c r="KT672" s="23"/>
      <c r="KU672" s="23"/>
      <c r="KV672" s="23"/>
      <c r="KW672" s="23"/>
      <c r="KX672" s="23"/>
      <c r="KY672" s="23"/>
      <c r="KZ672" s="23"/>
      <c r="LA672" s="23"/>
      <c r="LB672" s="23"/>
      <c r="LC672" s="23"/>
      <c r="LD672" s="23"/>
      <c r="LE672" s="23"/>
      <c r="LF672" s="23"/>
      <c r="LG672" s="23"/>
      <c r="LH672" s="23"/>
      <c r="LI672" s="23"/>
      <c r="LJ672" s="23"/>
      <c r="LK672" s="23"/>
      <c r="LL672" s="23"/>
      <c r="LM672" s="23"/>
      <c r="LN672" s="23"/>
      <c r="LO672" s="23"/>
    </row>
    <row r="673" spans="1:327">
      <c r="A673" s="390"/>
      <c r="B673" s="23"/>
      <c r="C673" s="391"/>
      <c r="D673" s="391"/>
      <c r="E673" s="23"/>
      <c r="F673" s="23"/>
      <c r="G673" s="392"/>
      <c r="H673" s="392"/>
      <c r="I673" s="392"/>
      <c r="J673" s="392"/>
      <c r="K673" s="392"/>
      <c r="L673" s="392"/>
      <c r="M673" s="392"/>
      <c r="N673" s="23"/>
      <c r="O673" s="39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  <c r="IL673" s="23"/>
      <c r="IM673" s="23"/>
      <c r="IN673" s="23"/>
      <c r="IO673" s="23"/>
      <c r="IP673" s="23"/>
      <c r="IQ673" s="23"/>
      <c r="IR673" s="23"/>
      <c r="IS673" s="23"/>
      <c r="IT673" s="23"/>
      <c r="IU673" s="23"/>
      <c r="IV673" s="23"/>
      <c r="IW673" s="23"/>
      <c r="IX673" s="23"/>
      <c r="IY673" s="23"/>
      <c r="IZ673" s="23"/>
      <c r="JA673" s="23"/>
      <c r="JB673" s="23"/>
      <c r="JC673" s="23"/>
      <c r="JD673" s="23"/>
      <c r="JE673" s="23"/>
      <c r="JF673" s="23"/>
      <c r="JG673" s="23"/>
      <c r="JH673" s="23"/>
      <c r="JI673" s="23"/>
      <c r="JJ673" s="23"/>
      <c r="JK673" s="23"/>
      <c r="JL673" s="23"/>
      <c r="JM673" s="23"/>
      <c r="JN673" s="23"/>
      <c r="JO673" s="23"/>
      <c r="JP673" s="23"/>
      <c r="JQ673" s="23"/>
      <c r="JR673" s="23"/>
      <c r="JS673" s="23"/>
      <c r="JT673" s="23"/>
      <c r="JU673" s="23"/>
      <c r="JV673" s="23"/>
      <c r="JW673" s="23"/>
      <c r="JX673" s="23"/>
      <c r="JY673" s="23"/>
      <c r="JZ673" s="23"/>
      <c r="KA673" s="23"/>
      <c r="KB673" s="23"/>
      <c r="KC673" s="23"/>
      <c r="KD673" s="23"/>
      <c r="KE673" s="23"/>
      <c r="KF673" s="23"/>
      <c r="KG673" s="23"/>
      <c r="KH673" s="23"/>
      <c r="KI673" s="23"/>
      <c r="KJ673" s="23"/>
      <c r="KK673" s="23"/>
      <c r="KL673" s="23"/>
      <c r="KM673" s="23"/>
      <c r="KN673" s="23"/>
      <c r="KO673" s="23"/>
      <c r="KP673" s="23"/>
      <c r="KQ673" s="23"/>
      <c r="KR673" s="23"/>
      <c r="KS673" s="23"/>
      <c r="KT673" s="23"/>
      <c r="KU673" s="23"/>
      <c r="KV673" s="23"/>
      <c r="KW673" s="23"/>
      <c r="KX673" s="23"/>
      <c r="KY673" s="23"/>
      <c r="KZ673" s="23"/>
      <c r="LA673" s="23"/>
      <c r="LB673" s="23"/>
      <c r="LC673" s="23"/>
      <c r="LD673" s="23"/>
      <c r="LE673" s="23"/>
      <c r="LF673" s="23"/>
      <c r="LG673" s="23"/>
      <c r="LH673" s="23"/>
      <c r="LI673" s="23"/>
      <c r="LJ673" s="23"/>
      <c r="LK673" s="23"/>
      <c r="LL673" s="23"/>
      <c r="LM673" s="23"/>
      <c r="LN673" s="23"/>
      <c r="LO673" s="23"/>
    </row>
    <row r="674" spans="1:327">
      <c r="A674" s="390"/>
      <c r="B674" s="23"/>
      <c r="C674" s="391"/>
      <c r="D674" s="391"/>
      <c r="E674" s="23"/>
      <c r="F674" s="23"/>
      <c r="G674" s="392"/>
      <c r="H674" s="392"/>
      <c r="I674" s="392"/>
      <c r="J674" s="392"/>
      <c r="K674" s="392"/>
      <c r="L674" s="392"/>
      <c r="M674" s="392"/>
      <c r="N674" s="23"/>
      <c r="O674" s="39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  <c r="IL674" s="23"/>
      <c r="IM674" s="23"/>
      <c r="IN674" s="23"/>
      <c r="IO674" s="23"/>
      <c r="IP674" s="23"/>
      <c r="IQ674" s="23"/>
      <c r="IR674" s="23"/>
      <c r="IS674" s="23"/>
      <c r="IT674" s="23"/>
      <c r="IU674" s="23"/>
      <c r="IV674" s="23"/>
      <c r="IW674" s="23"/>
      <c r="IX674" s="23"/>
      <c r="IY674" s="23"/>
      <c r="IZ674" s="23"/>
      <c r="JA674" s="23"/>
      <c r="JB674" s="23"/>
      <c r="JC674" s="23"/>
      <c r="JD674" s="23"/>
      <c r="JE674" s="23"/>
      <c r="JF674" s="23"/>
      <c r="JG674" s="23"/>
      <c r="JH674" s="23"/>
      <c r="JI674" s="23"/>
      <c r="JJ674" s="23"/>
      <c r="JK674" s="23"/>
      <c r="JL674" s="23"/>
      <c r="JM674" s="23"/>
      <c r="JN674" s="23"/>
      <c r="JO674" s="23"/>
      <c r="JP674" s="23"/>
      <c r="JQ674" s="23"/>
      <c r="JR674" s="23"/>
      <c r="JS674" s="23"/>
      <c r="JT674" s="23"/>
      <c r="JU674" s="23"/>
      <c r="JV674" s="23"/>
      <c r="JW674" s="23"/>
      <c r="JX674" s="23"/>
      <c r="JY674" s="23"/>
      <c r="JZ674" s="23"/>
      <c r="KA674" s="23"/>
      <c r="KB674" s="23"/>
      <c r="KC674" s="23"/>
      <c r="KD674" s="23"/>
      <c r="KE674" s="23"/>
      <c r="KF674" s="23"/>
      <c r="KG674" s="23"/>
      <c r="KH674" s="23"/>
      <c r="KI674" s="23"/>
      <c r="KJ674" s="23"/>
      <c r="KK674" s="23"/>
      <c r="KL674" s="23"/>
      <c r="KM674" s="23"/>
      <c r="KN674" s="23"/>
      <c r="KO674" s="23"/>
      <c r="KP674" s="23"/>
      <c r="KQ674" s="23"/>
      <c r="KR674" s="23"/>
      <c r="KS674" s="23"/>
      <c r="KT674" s="23"/>
      <c r="KU674" s="23"/>
      <c r="KV674" s="23"/>
      <c r="KW674" s="23"/>
      <c r="KX674" s="23"/>
      <c r="KY674" s="23"/>
      <c r="KZ674" s="23"/>
      <c r="LA674" s="23"/>
      <c r="LB674" s="23"/>
      <c r="LC674" s="23"/>
      <c r="LD674" s="23"/>
      <c r="LE674" s="23"/>
      <c r="LF674" s="23"/>
      <c r="LG674" s="23"/>
      <c r="LH674" s="23"/>
      <c r="LI674" s="23"/>
      <c r="LJ674" s="23"/>
      <c r="LK674" s="23"/>
      <c r="LL674" s="23"/>
      <c r="LM674" s="23"/>
      <c r="LN674" s="23"/>
      <c r="LO674" s="23"/>
    </row>
    <row r="675" spans="1:327">
      <c r="A675" s="390"/>
      <c r="B675" s="23"/>
      <c r="C675" s="391"/>
      <c r="D675" s="391"/>
      <c r="E675" s="23"/>
      <c r="F675" s="23"/>
      <c r="G675" s="392"/>
      <c r="H675" s="392"/>
      <c r="I675" s="392"/>
      <c r="J675" s="392"/>
      <c r="K675" s="392"/>
      <c r="L675" s="392"/>
      <c r="M675" s="392"/>
      <c r="N675" s="23"/>
      <c r="O675" s="39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  <c r="IL675" s="23"/>
      <c r="IM675" s="23"/>
      <c r="IN675" s="23"/>
      <c r="IO675" s="23"/>
      <c r="IP675" s="23"/>
      <c r="IQ675" s="23"/>
      <c r="IR675" s="23"/>
      <c r="IS675" s="23"/>
      <c r="IT675" s="23"/>
      <c r="IU675" s="23"/>
      <c r="IV675" s="23"/>
      <c r="IW675" s="23"/>
      <c r="IX675" s="23"/>
      <c r="IY675" s="23"/>
      <c r="IZ675" s="23"/>
      <c r="JA675" s="23"/>
      <c r="JB675" s="23"/>
      <c r="JC675" s="23"/>
      <c r="JD675" s="23"/>
      <c r="JE675" s="23"/>
      <c r="JF675" s="23"/>
      <c r="JG675" s="23"/>
      <c r="JH675" s="23"/>
      <c r="JI675" s="23"/>
      <c r="JJ675" s="23"/>
      <c r="JK675" s="23"/>
      <c r="JL675" s="23"/>
      <c r="JM675" s="23"/>
      <c r="JN675" s="23"/>
      <c r="JO675" s="23"/>
      <c r="JP675" s="23"/>
      <c r="JQ675" s="23"/>
      <c r="JR675" s="23"/>
      <c r="JS675" s="23"/>
      <c r="JT675" s="23"/>
      <c r="JU675" s="23"/>
      <c r="JV675" s="23"/>
      <c r="JW675" s="23"/>
      <c r="JX675" s="23"/>
      <c r="JY675" s="23"/>
      <c r="JZ675" s="23"/>
      <c r="KA675" s="23"/>
      <c r="KB675" s="23"/>
      <c r="KC675" s="23"/>
      <c r="KD675" s="23"/>
      <c r="KE675" s="23"/>
      <c r="KF675" s="23"/>
      <c r="KG675" s="23"/>
      <c r="KH675" s="23"/>
      <c r="KI675" s="23"/>
      <c r="KJ675" s="23"/>
      <c r="KK675" s="23"/>
      <c r="KL675" s="23"/>
      <c r="KM675" s="23"/>
      <c r="KN675" s="23"/>
      <c r="KO675" s="23"/>
      <c r="KP675" s="23"/>
      <c r="KQ675" s="23"/>
      <c r="KR675" s="23"/>
      <c r="KS675" s="23"/>
      <c r="KT675" s="23"/>
      <c r="KU675" s="23"/>
      <c r="KV675" s="23"/>
      <c r="KW675" s="23"/>
      <c r="KX675" s="23"/>
      <c r="KY675" s="23"/>
      <c r="KZ675" s="23"/>
      <c r="LA675" s="23"/>
      <c r="LB675" s="23"/>
      <c r="LC675" s="23"/>
      <c r="LD675" s="23"/>
      <c r="LE675" s="23"/>
      <c r="LF675" s="23"/>
      <c r="LG675" s="23"/>
      <c r="LH675" s="23"/>
      <c r="LI675" s="23"/>
      <c r="LJ675" s="23"/>
      <c r="LK675" s="23"/>
      <c r="LL675" s="23"/>
      <c r="LM675" s="23"/>
      <c r="LN675" s="23"/>
      <c r="LO675" s="23"/>
    </row>
    <row r="676" spans="1:327">
      <c r="A676" s="390"/>
      <c r="B676" s="23"/>
      <c r="C676" s="391"/>
      <c r="D676" s="391"/>
      <c r="E676" s="23"/>
      <c r="F676" s="23"/>
      <c r="G676" s="392"/>
      <c r="H676" s="392"/>
      <c r="I676" s="392"/>
      <c r="J676" s="392"/>
      <c r="K676" s="392"/>
      <c r="L676" s="392"/>
      <c r="M676" s="392"/>
      <c r="N676" s="23"/>
      <c r="O676" s="39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  <c r="IL676" s="23"/>
      <c r="IM676" s="23"/>
      <c r="IN676" s="23"/>
      <c r="IO676" s="23"/>
      <c r="IP676" s="23"/>
      <c r="IQ676" s="23"/>
      <c r="IR676" s="23"/>
      <c r="IS676" s="23"/>
      <c r="IT676" s="23"/>
      <c r="IU676" s="23"/>
      <c r="IV676" s="23"/>
      <c r="IW676" s="23"/>
      <c r="IX676" s="23"/>
      <c r="IY676" s="23"/>
      <c r="IZ676" s="23"/>
      <c r="JA676" s="23"/>
      <c r="JB676" s="23"/>
      <c r="JC676" s="23"/>
      <c r="JD676" s="23"/>
      <c r="JE676" s="23"/>
      <c r="JF676" s="23"/>
      <c r="JG676" s="23"/>
      <c r="JH676" s="23"/>
      <c r="JI676" s="23"/>
      <c r="JJ676" s="23"/>
      <c r="JK676" s="23"/>
      <c r="JL676" s="23"/>
      <c r="JM676" s="23"/>
      <c r="JN676" s="23"/>
      <c r="JO676" s="23"/>
      <c r="JP676" s="23"/>
      <c r="JQ676" s="23"/>
      <c r="JR676" s="23"/>
      <c r="JS676" s="23"/>
      <c r="JT676" s="23"/>
      <c r="JU676" s="23"/>
      <c r="JV676" s="23"/>
      <c r="JW676" s="23"/>
      <c r="JX676" s="23"/>
      <c r="JY676" s="23"/>
      <c r="JZ676" s="23"/>
      <c r="KA676" s="23"/>
      <c r="KB676" s="23"/>
      <c r="KC676" s="23"/>
      <c r="KD676" s="23"/>
      <c r="KE676" s="23"/>
      <c r="KF676" s="23"/>
      <c r="KG676" s="23"/>
      <c r="KH676" s="23"/>
      <c r="KI676" s="23"/>
      <c r="KJ676" s="23"/>
      <c r="KK676" s="23"/>
      <c r="KL676" s="23"/>
      <c r="KM676" s="23"/>
      <c r="KN676" s="23"/>
      <c r="KO676" s="23"/>
      <c r="KP676" s="23"/>
      <c r="KQ676" s="23"/>
      <c r="KR676" s="23"/>
      <c r="KS676" s="23"/>
      <c r="KT676" s="23"/>
      <c r="KU676" s="23"/>
      <c r="KV676" s="23"/>
      <c r="KW676" s="23"/>
      <c r="KX676" s="23"/>
      <c r="KY676" s="23"/>
      <c r="KZ676" s="23"/>
      <c r="LA676" s="23"/>
      <c r="LB676" s="23"/>
      <c r="LC676" s="23"/>
      <c r="LD676" s="23"/>
      <c r="LE676" s="23"/>
      <c r="LF676" s="23"/>
      <c r="LG676" s="23"/>
      <c r="LH676" s="23"/>
      <c r="LI676" s="23"/>
      <c r="LJ676" s="23"/>
      <c r="LK676" s="23"/>
      <c r="LL676" s="23"/>
      <c r="LM676" s="23"/>
      <c r="LN676" s="23"/>
      <c r="LO676" s="23"/>
    </row>
    <row r="677" spans="1:327">
      <c r="A677" s="390"/>
      <c r="B677" s="23"/>
      <c r="C677" s="391"/>
      <c r="D677" s="391"/>
      <c r="E677" s="23"/>
      <c r="F677" s="23"/>
      <c r="G677" s="392"/>
      <c r="H677" s="392"/>
      <c r="I677" s="392"/>
      <c r="J677" s="392"/>
      <c r="K677" s="392"/>
      <c r="L677" s="392"/>
      <c r="M677" s="392"/>
      <c r="N677" s="23"/>
      <c r="O677" s="39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  <c r="IL677" s="23"/>
      <c r="IM677" s="23"/>
      <c r="IN677" s="23"/>
      <c r="IO677" s="23"/>
      <c r="IP677" s="23"/>
      <c r="IQ677" s="23"/>
      <c r="IR677" s="23"/>
      <c r="IS677" s="23"/>
      <c r="IT677" s="23"/>
      <c r="IU677" s="23"/>
      <c r="IV677" s="23"/>
      <c r="IW677" s="23"/>
      <c r="IX677" s="23"/>
      <c r="IY677" s="23"/>
      <c r="IZ677" s="23"/>
      <c r="JA677" s="23"/>
      <c r="JB677" s="23"/>
      <c r="JC677" s="23"/>
      <c r="JD677" s="23"/>
      <c r="JE677" s="23"/>
      <c r="JF677" s="23"/>
      <c r="JG677" s="23"/>
      <c r="JH677" s="23"/>
      <c r="JI677" s="23"/>
      <c r="JJ677" s="23"/>
      <c r="JK677" s="23"/>
      <c r="JL677" s="23"/>
      <c r="JM677" s="23"/>
      <c r="JN677" s="23"/>
      <c r="JO677" s="23"/>
      <c r="JP677" s="23"/>
      <c r="JQ677" s="23"/>
      <c r="JR677" s="23"/>
      <c r="JS677" s="23"/>
      <c r="JT677" s="23"/>
      <c r="JU677" s="23"/>
      <c r="JV677" s="23"/>
      <c r="JW677" s="23"/>
      <c r="JX677" s="23"/>
      <c r="JY677" s="23"/>
      <c r="JZ677" s="23"/>
      <c r="KA677" s="23"/>
      <c r="KB677" s="23"/>
      <c r="KC677" s="23"/>
      <c r="KD677" s="23"/>
      <c r="KE677" s="23"/>
      <c r="KF677" s="23"/>
      <c r="KG677" s="23"/>
      <c r="KH677" s="23"/>
      <c r="KI677" s="23"/>
      <c r="KJ677" s="23"/>
      <c r="KK677" s="23"/>
      <c r="KL677" s="23"/>
      <c r="KM677" s="23"/>
      <c r="KN677" s="23"/>
      <c r="KO677" s="23"/>
      <c r="KP677" s="23"/>
      <c r="KQ677" s="23"/>
      <c r="KR677" s="23"/>
      <c r="KS677" s="23"/>
      <c r="KT677" s="23"/>
      <c r="KU677" s="23"/>
      <c r="KV677" s="23"/>
      <c r="KW677" s="23"/>
      <c r="KX677" s="23"/>
      <c r="KY677" s="23"/>
      <c r="KZ677" s="23"/>
      <c r="LA677" s="23"/>
      <c r="LB677" s="23"/>
      <c r="LC677" s="23"/>
      <c r="LD677" s="23"/>
      <c r="LE677" s="23"/>
      <c r="LF677" s="23"/>
      <c r="LG677" s="23"/>
      <c r="LH677" s="23"/>
      <c r="LI677" s="23"/>
      <c r="LJ677" s="23"/>
      <c r="LK677" s="23"/>
      <c r="LL677" s="23"/>
      <c r="LM677" s="23"/>
      <c r="LN677" s="23"/>
      <c r="LO677" s="23"/>
    </row>
    <row r="678" spans="1:327">
      <c r="A678" s="390"/>
      <c r="B678" s="23"/>
      <c r="C678" s="391"/>
      <c r="D678" s="391"/>
      <c r="E678" s="23"/>
      <c r="F678" s="23"/>
      <c r="G678" s="392"/>
      <c r="H678" s="392"/>
      <c r="I678" s="392"/>
      <c r="J678" s="392"/>
      <c r="K678" s="392"/>
      <c r="L678" s="392"/>
      <c r="M678" s="392"/>
      <c r="N678" s="23"/>
      <c r="O678" s="39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  <c r="IL678" s="23"/>
      <c r="IM678" s="23"/>
      <c r="IN678" s="23"/>
      <c r="IO678" s="23"/>
      <c r="IP678" s="23"/>
      <c r="IQ678" s="23"/>
      <c r="IR678" s="23"/>
      <c r="IS678" s="23"/>
      <c r="IT678" s="23"/>
      <c r="IU678" s="23"/>
      <c r="IV678" s="23"/>
      <c r="IW678" s="23"/>
      <c r="IX678" s="23"/>
      <c r="IY678" s="23"/>
      <c r="IZ678" s="23"/>
      <c r="JA678" s="23"/>
      <c r="JB678" s="23"/>
      <c r="JC678" s="23"/>
      <c r="JD678" s="23"/>
      <c r="JE678" s="23"/>
      <c r="JF678" s="23"/>
      <c r="JG678" s="23"/>
      <c r="JH678" s="23"/>
      <c r="JI678" s="23"/>
      <c r="JJ678" s="23"/>
      <c r="JK678" s="23"/>
      <c r="JL678" s="23"/>
      <c r="JM678" s="23"/>
      <c r="JN678" s="23"/>
      <c r="JO678" s="23"/>
      <c r="JP678" s="23"/>
      <c r="JQ678" s="23"/>
      <c r="JR678" s="23"/>
      <c r="JS678" s="23"/>
      <c r="JT678" s="23"/>
      <c r="JU678" s="23"/>
      <c r="JV678" s="23"/>
      <c r="JW678" s="23"/>
      <c r="JX678" s="23"/>
      <c r="JY678" s="23"/>
      <c r="JZ678" s="23"/>
      <c r="KA678" s="23"/>
      <c r="KB678" s="23"/>
      <c r="KC678" s="23"/>
      <c r="KD678" s="23"/>
      <c r="KE678" s="23"/>
      <c r="KF678" s="23"/>
      <c r="KG678" s="23"/>
      <c r="KH678" s="23"/>
      <c r="KI678" s="23"/>
      <c r="KJ678" s="23"/>
      <c r="KK678" s="23"/>
      <c r="KL678" s="23"/>
      <c r="KM678" s="23"/>
      <c r="KN678" s="23"/>
      <c r="KO678" s="23"/>
      <c r="KP678" s="23"/>
      <c r="KQ678" s="23"/>
      <c r="KR678" s="23"/>
      <c r="KS678" s="23"/>
      <c r="KT678" s="23"/>
      <c r="KU678" s="23"/>
      <c r="KV678" s="23"/>
      <c r="KW678" s="23"/>
      <c r="KX678" s="23"/>
      <c r="KY678" s="23"/>
      <c r="KZ678" s="23"/>
      <c r="LA678" s="23"/>
      <c r="LB678" s="23"/>
      <c r="LC678" s="23"/>
      <c r="LD678" s="23"/>
      <c r="LE678" s="23"/>
      <c r="LF678" s="23"/>
      <c r="LG678" s="23"/>
      <c r="LH678" s="23"/>
      <c r="LI678" s="23"/>
      <c r="LJ678" s="23"/>
      <c r="LK678" s="23"/>
      <c r="LL678" s="23"/>
      <c r="LM678" s="23"/>
      <c r="LN678" s="23"/>
      <c r="LO678" s="23"/>
    </row>
    <row r="679" spans="1:327">
      <c r="A679" s="390"/>
      <c r="B679" s="23"/>
      <c r="C679" s="391"/>
      <c r="D679" s="391"/>
      <c r="E679" s="23"/>
      <c r="F679" s="23"/>
      <c r="G679" s="392"/>
      <c r="H679" s="392"/>
      <c r="I679" s="392"/>
      <c r="J679" s="392"/>
      <c r="K679" s="392"/>
      <c r="L679" s="392"/>
      <c r="M679" s="392"/>
      <c r="N679" s="23"/>
      <c r="O679" s="39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  <c r="IL679" s="23"/>
      <c r="IM679" s="23"/>
      <c r="IN679" s="23"/>
      <c r="IO679" s="23"/>
      <c r="IP679" s="23"/>
      <c r="IQ679" s="23"/>
      <c r="IR679" s="23"/>
      <c r="IS679" s="23"/>
      <c r="IT679" s="23"/>
      <c r="IU679" s="23"/>
      <c r="IV679" s="23"/>
      <c r="IW679" s="23"/>
      <c r="IX679" s="23"/>
      <c r="IY679" s="23"/>
      <c r="IZ679" s="23"/>
      <c r="JA679" s="23"/>
      <c r="JB679" s="23"/>
      <c r="JC679" s="23"/>
      <c r="JD679" s="23"/>
      <c r="JE679" s="23"/>
      <c r="JF679" s="23"/>
      <c r="JG679" s="23"/>
      <c r="JH679" s="23"/>
      <c r="JI679" s="23"/>
      <c r="JJ679" s="23"/>
      <c r="JK679" s="23"/>
      <c r="JL679" s="23"/>
      <c r="JM679" s="23"/>
      <c r="JN679" s="23"/>
      <c r="JO679" s="23"/>
      <c r="JP679" s="23"/>
      <c r="JQ679" s="23"/>
      <c r="JR679" s="23"/>
      <c r="JS679" s="23"/>
      <c r="JT679" s="23"/>
      <c r="JU679" s="23"/>
      <c r="JV679" s="23"/>
      <c r="JW679" s="23"/>
      <c r="JX679" s="23"/>
      <c r="JY679" s="23"/>
      <c r="JZ679" s="23"/>
      <c r="KA679" s="23"/>
      <c r="KB679" s="23"/>
      <c r="KC679" s="23"/>
      <c r="KD679" s="23"/>
      <c r="KE679" s="23"/>
      <c r="KF679" s="23"/>
      <c r="KG679" s="23"/>
      <c r="KH679" s="23"/>
      <c r="KI679" s="23"/>
      <c r="KJ679" s="23"/>
      <c r="KK679" s="23"/>
      <c r="KL679" s="23"/>
      <c r="KM679" s="23"/>
      <c r="KN679" s="23"/>
      <c r="KO679" s="23"/>
      <c r="KP679" s="23"/>
      <c r="KQ679" s="23"/>
      <c r="KR679" s="23"/>
      <c r="KS679" s="23"/>
      <c r="KT679" s="23"/>
      <c r="KU679" s="23"/>
      <c r="KV679" s="23"/>
      <c r="KW679" s="23"/>
      <c r="KX679" s="23"/>
      <c r="KY679" s="23"/>
      <c r="KZ679" s="23"/>
      <c r="LA679" s="23"/>
      <c r="LB679" s="23"/>
      <c r="LC679" s="23"/>
      <c r="LD679" s="23"/>
      <c r="LE679" s="23"/>
      <c r="LF679" s="23"/>
      <c r="LG679" s="23"/>
      <c r="LH679" s="23"/>
      <c r="LI679" s="23"/>
      <c r="LJ679" s="23"/>
      <c r="LK679" s="23"/>
      <c r="LL679" s="23"/>
      <c r="LM679" s="23"/>
      <c r="LN679" s="23"/>
      <c r="LO679" s="23"/>
    </row>
    <row r="680" spans="1:327">
      <c r="A680" s="390"/>
      <c r="B680" s="23"/>
      <c r="C680" s="391"/>
      <c r="D680" s="391"/>
      <c r="E680" s="23"/>
      <c r="F680" s="23"/>
      <c r="G680" s="392"/>
      <c r="H680" s="392"/>
      <c r="I680" s="392"/>
      <c r="J680" s="392"/>
      <c r="K680" s="392"/>
      <c r="L680" s="392"/>
      <c r="M680" s="392"/>
      <c r="N680" s="23"/>
      <c r="O680" s="39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  <c r="IL680" s="23"/>
      <c r="IM680" s="23"/>
      <c r="IN680" s="23"/>
      <c r="IO680" s="23"/>
      <c r="IP680" s="23"/>
      <c r="IQ680" s="23"/>
      <c r="IR680" s="23"/>
      <c r="IS680" s="23"/>
      <c r="IT680" s="23"/>
      <c r="IU680" s="23"/>
      <c r="IV680" s="23"/>
      <c r="IW680" s="23"/>
      <c r="IX680" s="23"/>
      <c r="IY680" s="23"/>
      <c r="IZ680" s="23"/>
      <c r="JA680" s="23"/>
      <c r="JB680" s="23"/>
      <c r="JC680" s="23"/>
      <c r="JD680" s="23"/>
      <c r="JE680" s="23"/>
      <c r="JF680" s="23"/>
      <c r="JG680" s="23"/>
      <c r="JH680" s="23"/>
      <c r="JI680" s="23"/>
      <c r="JJ680" s="23"/>
      <c r="JK680" s="23"/>
      <c r="JL680" s="23"/>
      <c r="JM680" s="23"/>
      <c r="JN680" s="23"/>
      <c r="JO680" s="23"/>
      <c r="JP680" s="23"/>
      <c r="JQ680" s="23"/>
      <c r="JR680" s="23"/>
      <c r="JS680" s="23"/>
      <c r="JT680" s="23"/>
      <c r="JU680" s="23"/>
      <c r="JV680" s="23"/>
      <c r="JW680" s="23"/>
      <c r="JX680" s="23"/>
      <c r="JY680" s="23"/>
      <c r="JZ680" s="23"/>
      <c r="KA680" s="23"/>
      <c r="KB680" s="23"/>
      <c r="KC680" s="23"/>
      <c r="KD680" s="23"/>
      <c r="KE680" s="23"/>
      <c r="KF680" s="23"/>
      <c r="KG680" s="23"/>
      <c r="KH680" s="23"/>
      <c r="KI680" s="23"/>
      <c r="KJ680" s="23"/>
      <c r="KK680" s="23"/>
      <c r="KL680" s="23"/>
      <c r="KM680" s="23"/>
      <c r="KN680" s="23"/>
      <c r="KO680" s="23"/>
      <c r="KP680" s="23"/>
      <c r="KQ680" s="23"/>
      <c r="KR680" s="23"/>
      <c r="KS680" s="23"/>
      <c r="KT680" s="23"/>
      <c r="KU680" s="23"/>
      <c r="KV680" s="23"/>
      <c r="KW680" s="23"/>
      <c r="KX680" s="23"/>
      <c r="KY680" s="23"/>
      <c r="KZ680" s="23"/>
      <c r="LA680" s="23"/>
      <c r="LB680" s="23"/>
      <c r="LC680" s="23"/>
      <c r="LD680" s="23"/>
      <c r="LE680" s="23"/>
      <c r="LF680" s="23"/>
      <c r="LG680" s="23"/>
      <c r="LH680" s="23"/>
      <c r="LI680" s="23"/>
      <c r="LJ680" s="23"/>
      <c r="LK680" s="23"/>
      <c r="LL680" s="23"/>
      <c r="LM680" s="23"/>
      <c r="LN680" s="23"/>
      <c r="LO680" s="23"/>
    </row>
    <row r="681" spans="1:327">
      <c r="A681" s="390"/>
      <c r="B681" s="23"/>
      <c r="C681" s="391"/>
      <c r="D681" s="391"/>
      <c r="E681" s="23"/>
      <c r="F681" s="23"/>
      <c r="G681" s="392"/>
      <c r="H681" s="392"/>
      <c r="I681" s="392"/>
      <c r="J681" s="392"/>
      <c r="K681" s="392"/>
      <c r="L681" s="392"/>
      <c r="M681" s="392"/>
      <c r="N681" s="23"/>
      <c r="O681" s="39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  <c r="IL681" s="23"/>
      <c r="IM681" s="23"/>
      <c r="IN681" s="23"/>
      <c r="IO681" s="23"/>
      <c r="IP681" s="23"/>
      <c r="IQ681" s="23"/>
      <c r="IR681" s="23"/>
      <c r="IS681" s="23"/>
      <c r="IT681" s="23"/>
      <c r="IU681" s="23"/>
      <c r="IV681" s="23"/>
      <c r="IW681" s="23"/>
      <c r="IX681" s="23"/>
      <c r="IY681" s="23"/>
      <c r="IZ681" s="23"/>
      <c r="JA681" s="23"/>
      <c r="JB681" s="23"/>
      <c r="JC681" s="23"/>
      <c r="JD681" s="23"/>
      <c r="JE681" s="23"/>
      <c r="JF681" s="23"/>
      <c r="JG681" s="23"/>
      <c r="JH681" s="23"/>
      <c r="JI681" s="23"/>
      <c r="JJ681" s="23"/>
      <c r="JK681" s="23"/>
      <c r="JL681" s="23"/>
      <c r="JM681" s="23"/>
      <c r="JN681" s="23"/>
      <c r="JO681" s="23"/>
      <c r="JP681" s="23"/>
      <c r="JQ681" s="23"/>
      <c r="JR681" s="23"/>
      <c r="JS681" s="23"/>
      <c r="JT681" s="23"/>
      <c r="JU681" s="23"/>
      <c r="JV681" s="23"/>
      <c r="JW681" s="23"/>
      <c r="JX681" s="23"/>
      <c r="JY681" s="23"/>
      <c r="JZ681" s="23"/>
      <c r="KA681" s="23"/>
      <c r="KB681" s="23"/>
      <c r="KC681" s="23"/>
      <c r="KD681" s="23"/>
      <c r="KE681" s="23"/>
      <c r="KF681" s="23"/>
      <c r="KG681" s="23"/>
      <c r="KH681" s="23"/>
      <c r="KI681" s="23"/>
      <c r="KJ681" s="23"/>
      <c r="KK681" s="23"/>
      <c r="KL681" s="23"/>
      <c r="KM681" s="23"/>
      <c r="KN681" s="23"/>
      <c r="KO681" s="23"/>
      <c r="KP681" s="23"/>
      <c r="KQ681" s="23"/>
      <c r="KR681" s="23"/>
      <c r="KS681" s="23"/>
      <c r="KT681" s="23"/>
      <c r="KU681" s="23"/>
      <c r="KV681" s="23"/>
      <c r="KW681" s="23"/>
      <c r="KX681" s="23"/>
      <c r="KY681" s="23"/>
      <c r="KZ681" s="23"/>
      <c r="LA681" s="23"/>
      <c r="LB681" s="23"/>
      <c r="LC681" s="23"/>
      <c r="LD681" s="23"/>
      <c r="LE681" s="23"/>
      <c r="LF681" s="23"/>
      <c r="LG681" s="23"/>
      <c r="LH681" s="23"/>
      <c r="LI681" s="23"/>
      <c r="LJ681" s="23"/>
      <c r="LK681" s="23"/>
      <c r="LL681" s="23"/>
      <c r="LM681" s="23"/>
      <c r="LN681" s="23"/>
      <c r="LO681" s="23"/>
    </row>
    <row r="682" spans="1:327">
      <c r="A682" s="390"/>
      <c r="B682" s="23"/>
      <c r="C682" s="391"/>
      <c r="D682" s="391"/>
      <c r="E682" s="23"/>
      <c r="F682" s="23"/>
      <c r="G682" s="392"/>
      <c r="H682" s="392"/>
      <c r="I682" s="392"/>
      <c r="J682" s="392"/>
      <c r="K682" s="392"/>
      <c r="L682" s="392"/>
      <c r="M682" s="392"/>
      <c r="N682" s="23"/>
      <c r="O682" s="39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  <c r="IL682" s="23"/>
      <c r="IM682" s="23"/>
      <c r="IN682" s="23"/>
      <c r="IO682" s="23"/>
      <c r="IP682" s="23"/>
      <c r="IQ682" s="23"/>
      <c r="IR682" s="23"/>
      <c r="IS682" s="23"/>
      <c r="IT682" s="23"/>
      <c r="IU682" s="23"/>
      <c r="IV682" s="23"/>
      <c r="IW682" s="23"/>
      <c r="IX682" s="23"/>
      <c r="IY682" s="23"/>
      <c r="IZ682" s="23"/>
      <c r="JA682" s="23"/>
      <c r="JB682" s="23"/>
      <c r="JC682" s="23"/>
      <c r="JD682" s="23"/>
      <c r="JE682" s="23"/>
      <c r="JF682" s="23"/>
      <c r="JG682" s="23"/>
      <c r="JH682" s="23"/>
      <c r="JI682" s="23"/>
      <c r="JJ682" s="23"/>
      <c r="JK682" s="23"/>
      <c r="JL682" s="23"/>
      <c r="JM682" s="23"/>
      <c r="JN682" s="23"/>
      <c r="JO682" s="23"/>
      <c r="JP682" s="23"/>
      <c r="JQ682" s="23"/>
      <c r="JR682" s="23"/>
      <c r="JS682" s="23"/>
      <c r="JT682" s="23"/>
      <c r="JU682" s="23"/>
      <c r="JV682" s="23"/>
      <c r="JW682" s="23"/>
      <c r="JX682" s="23"/>
      <c r="JY682" s="23"/>
      <c r="JZ682" s="23"/>
      <c r="KA682" s="23"/>
      <c r="KB682" s="23"/>
      <c r="KC682" s="23"/>
      <c r="KD682" s="23"/>
      <c r="KE682" s="23"/>
      <c r="KF682" s="23"/>
      <c r="KG682" s="23"/>
      <c r="KH682" s="23"/>
      <c r="KI682" s="23"/>
      <c r="KJ682" s="23"/>
      <c r="KK682" s="23"/>
      <c r="KL682" s="23"/>
      <c r="KM682" s="23"/>
      <c r="KN682" s="23"/>
      <c r="KO682" s="23"/>
      <c r="KP682" s="23"/>
      <c r="KQ682" s="23"/>
      <c r="KR682" s="23"/>
      <c r="KS682" s="23"/>
      <c r="KT682" s="23"/>
      <c r="KU682" s="23"/>
      <c r="KV682" s="23"/>
      <c r="KW682" s="23"/>
      <c r="KX682" s="23"/>
      <c r="KY682" s="23"/>
      <c r="KZ682" s="23"/>
      <c r="LA682" s="23"/>
      <c r="LB682" s="23"/>
      <c r="LC682" s="23"/>
      <c r="LD682" s="23"/>
      <c r="LE682" s="23"/>
      <c r="LF682" s="23"/>
      <c r="LG682" s="23"/>
      <c r="LH682" s="23"/>
      <c r="LI682" s="23"/>
      <c r="LJ682" s="23"/>
      <c r="LK682" s="23"/>
      <c r="LL682" s="23"/>
      <c r="LM682" s="23"/>
      <c r="LN682" s="23"/>
      <c r="LO682" s="23"/>
    </row>
    <row r="683" spans="1:327">
      <c r="A683" s="390"/>
      <c r="B683" s="23"/>
      <c r="C683" s="391"/>
      <c r="D683" s="391"/>
      <c r="E683" s="23"/>
      <c r="F683" s="23"/>
      <c r="G683" s="392"/>
      <c r="H683" s="392"/>
      <c r="I683" s="392"/>
      <c r="J683" s="392"/>
      <c r="K683" s="392"/>
      <c r="L683" s="392"/>
      <c r="M683" s="392"/>
      <c r="N683" s="23"/>
      <c r="O683" s="39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  <c r="IL683" s="23"/>
      <c r="IM683" s="23"/>
      <c r="IN683" s="23"/>
      <c r="IO683" s="23"/>
      <c r="IP683" s="23"/>
      <c r="IQ683" s="23"/>
      <c r="IR683" s="23"/>
      <c r="IS683" s="23"/>
      <c r="IT683" s="23"/>
      <c r="IU683" s="23"/>
      <c r="IV683" s="23"/>
      <c r="IW683" s="23"/>
      <c r="IX683" s="23"/>
      <c r="IY683" s="23"/>
      <c r="IZ683" s="23"/>
      <c r="JA683" s="23"/>
      <c r="JB683" s="23"/>
      <c r="JC683" s="23"/>
      <c r="JD683" s="23"/>
      <c r="JE683" s="23"/>
      <c r="JF683" s="23"/>
      <c r="JG683" s="23"/>
      <c r="JH683" s="23"/>
      <c r="JI683" s="23"/>
      <c r="JJ683" s="23"/>
      <c r="JK683" s="23"/>
      <c r="JL683" s="23"/>
      <c r="JM683" s="23"/>
      <c r="JN683" s="23"/>
      <c r="JO683" s="23"/>
      <c r="JP683" s="23"/>
      <c r="JQ683" s="23"/>
      <c r="JR683" s="23"/>
      <c r="JS683" s="23"/>
      <c r="JT683" s="23"/>
      <c r="JU683" s="23"/>
      <c r="JV683" s="23"/>
      <c r="JW683" s="23"/>
      <c r="JX683" s="23"/>
      <c r="JY683" s="23"/>
      <c r="JZ683" s="23"/>
      <c r="KA683" s="23"/>
      <c r="KB683" s="23"/>
      <c r="KC683" s="23"/>
      <c r="KD683" s="23"/>
      <c r="KE683" s="23"/>
      <c r="KF683" s="23"/>
      <c r="KG683" s="23"/>
      <c r="KH683" s="23"/>
      <c r="KI683" s="23"/>
      <c r="KJ683" s="23"/>
      <c r="KK683" s="23"/>
      <c r="KL683" s="23"/>
      <c r="KM683" s="23"/>
      <c r="KN683" s="23"/>
      <c r="KO683" s="23"/>
      <c r="KP683" s="23"/>
      <c r="KQ683" s="23"/>
      <c r="KR683" s="23"/>
      <c r="KS683" s="23"/>
      <c r="KT683" s="23"/>
      <c r="KU683" s="23"/>
      <c r="KV683" s="23"/>
      <c r="KW683" s="23"/>
      <c r="KX683" s="23"/>
      <c r="KY683" s="23"/>
      <c r="KZ683" s="23"/>
      <c r="LA683" s="23"/>
      <c r="LB683" s="23"/>
      <c r="LC683" s="23"/>
      <c r="LD683" s="23"/>
      <c r="LE683" s="23"/>
      <c r="LF683" s="23"/>
      <c r="LG683" s="23"/>
      <c r="LH683" s="23"/>
      <c r="LI683" s="23"/>
      <c r="LJ683" s="23"/>
      <c r="LK683" s="23"/>
      <c r="LL683" s="23"/>
      <c r="LM683" s="23"/>
      <c r="LN683" s="23"/>
      <c r="LO683" s="23"/>
    </row>
    <row r="684" spans="1:327">
      <c r="A684" s="390"/>
      <c r="B684" s="23"/>
      <c r="C684" s="391"/>
      <c r="D684" s="391"/>
      <c r="E684" s="23"/>
      <c r="F684" s="23"/>
      <c r="G684" s="392"/>
      <c r="H684" s="392"/>
      <c r="I684" s="392"/>
      <c r="J684" s="392"/>
      <c r="K684" s="392"/>
      <c r="L684" s="392"/>
      <c r="M684" s="392"/>
      <c r="N684" s="23"/>
      <c r="O684" s="39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  <c r="IL684" s="23"/>
      <c r="IM684" s="23"/>
      <c r="IN684" s="23"/>
      <c r="IO684" s="23"/>
      <c r="IP684" s="23"/>
      <c r="IQ684" s="23"/>
      <c r="IR684" s="23"/>
      <c r="IS684" s="23"/>
      <c r="IT684" s="23"/>
      <c r="IU684" s="23"/>
      <c r="IV684" s="23"/>
      <c r="IW684" s="23"/>
      <c r="IX684" s="23"/>
      <c r="IY684" s="23"/>
      <c r="IZ684" s="23"/>
      <c r="JA684" s="23"/>
      <c r="JB684" s="23"/>
      <c r="JC684" s="23"/>
      <c r="JD684" s="23"/>
      <c r="JE684" s="23"/>
      <c r="JF684" s="23"/>
      <c r="JG684" s="23"/>
      <c r="JH684" s="23"/>
      <c r="JI684" s="23"/>
      <c r="JJ684" s="23"/>
      <c r="JK684" s="23"/>
      <c r="JL684" s="23"/>
      <c r="JM684" s="23"/>
      <c r="JN684" s="23"/>
      <c r="JO684" s="23"/>
      <c r="JP684" s="23"/>
      <c r="JQ684" s="23"/>
      <c r="JR684" s="23"/>
      <c r="JS684" s="23"/>
      <c r="JT684" s="23"/>
      <c r="JU684" s="23"/>
      <c r="JV684" s="23"/>
      <c r="JW684" s="23"/>
      <c r="JX684" s="23"/>
      <c r="JY684" s="23"/>
      <c r="JZ684" s="23"/>
      <c r="KA684" s="23"/>
      <c r="KB684" s="23"/>
      <c r="KC684" s="23"/>
      <c r="KD684" s="23"/>
      <c r="KE684" s="23"/>
      <c r="KF684" s="23"/>
      <c r="KG684" s="23"/>
      <c r="KH684" s="23"/>
      <c r="KI684" s="23"/>
      <c r="KJ684" s="23"/>
      <c r="KK684" s="23"/>
      <c r="KL684" s="23"/>
      <c r="KM684" s="23"/>
      <c r="KN684" s="23"/>
      <c r="KO684" s="23"/>
      <c r="KP684" s="23"/>
      <c r="KQ684" s="23"/>
      <c r="KR684" s="23"/>
      <c r="KS684" s="23"/>
      <c r="KT684" s="23"/>
      <c r="KU684" s="23"/>
      <c r="KV684" s="23"/>
      <c r="KW684" s="23"/>
      <c r="KX684" s="23"/>
      <c r="KY684" s="23"/>
      <c r="KZ684" s="23"/>
      <c r="LA684" s="23"/>
      <c r="LB684" s="23"/>
      <c r="LC684" s="23"/>
      <c r="LD684" s="23"/>
      <c r="LE684" s="23"/>
      <c r="LF684" s="23"/>
      <c r="LG684" s="23"/>
      <c r="LH684" s="23"/>
      <c r="LI684" s="23"/>
      <c r="LJ684" s="23"/>
      <c r="LK684" s="23"/>
      <c r="LL684" s="23"/>
      <c r="LM684" s="23"/>
      <c r="LN684" s="23"/>
      <c r="LO684" s="23"/>
    </row>
    <row r="685" spans="1:327">
      <c r="A685" s="390"/>
      <c r="B685" s="23"/>
      <c r="C685" s="391"/>
      <c r="D685" s="391"/>
      <c r="E685" s="23"/>
      <c r="F685" s="23"/>
      <c r="G685" s="392"/>
      <c r="H685" s="392"/>
      <c r="I685" s="392"/>
      <c r="J685" s="392"/>
      <c r="K685" s="392"/>
      <c r="L685" s="392"/>
      <c r="M685" s="392"/>
      <c r="N685" s="23"/>
      <c r="O685" s="39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  <c r="IL685" s="23"/>
      <c r="IM685" s="23"/>
      <c r="IN685" s="23"/>
      <c r="IO685" s="23"/>
      <c r="IP685" s="23"/>
      <c r="IQ685" s="23"/>
      <c r="IR685" s="23"/>
      <c r="IS685" s="23"/>
      <c r="IT685" s="23"/>
      <c r="IU685" s="23"/>
      <c r="IV685" s="23"/>
      <c r="IW685" s="23"/>
      <c r="IX685" s="23"/>
      <c r="IY685" s="23"/>
      <c r="IZ685" s="23"/>
      <c r="JA685" s="23"/>
      <c r="JB685" s="23"/>
      <c r="JC685" s="23"/>
      <c r="JD685" s="23"/>
      <c r="JE685" s="23"/>
      <c r="JF685" s="23"/>
      <c r="JG685" s="23"/>
      <c r="JH685" s="23"/>
      <c r="JI685" s="23"/>
      <c r="JJ685" s="23"/>
      <c r="JK685" s="23"/>
      <c r="JL685" s="23"/>
      <c r="JM685" s="23"/>
      <c r="JN685" s="23"/>
      <c r="JO685" s="23"/>
      <c r="JP685" s="23"/>
      <c r="JQ685" s="23"/>
      <c r="JR685" s="23"/>
      <c r="JS685" s="23"/>
      <c r="JT685" s="23"/>
      <c r="JU685" s="23"/>
      <c r="JV685" s="23"/>
      <c r="JW685" s="23"/>
      <c r="JX685" s="23"/>
      <c r="JY685" s="23"/>
      <c r="JZ685" s="23"/>
      <c r="KA685" s="23"/>
      <c r="KB685" s="23"/>
      <c r="KC685" s="23"/>
      <c r="KD685" s="23"/>
      <c r="KE685" s="23"/>
      <c r="KF685" s="23"/>
      <c r="KG685" s="23"/>
      <c r="KH685" s="23"/>
      <c r="KI685" s="23"/>
      <c r="KJ685" s="23"/>
      <c r="KK685" s="23"/>
      <c r="KL685" s="23"/>
      <c r="KM685" s="23"/>
      <c r="KN685" s="23"/>
      <c r="KO685" s="23"/>
      <c r="KP685" s="23"/>
      <c r="KQ685" s="23"/>
      <c r="KR685" s="23"/>
      <c r="KS685" s="23"/>
      <c r="KT685" s="23"/>
      <c r="KU685" s="23"/>
      <c r="KV685" s="23"/>
      <c r="KW685" s="23"/>
      <c r="KX685" s="23"/>
      <c r="KY685" s="23"/>
      <c r="KZ685" s="23"/>
      <c r="LA685" s="23"/>
      <c r="LB685" s="23"/>
      <c r="LC685" s="23"/>
      <c r="LD685" s="23"/>
      <c r="LE685" s="23"/>
      <c r="LF685" s="23"/>
      <c r="LG685" s="23"/>
      <c r="LH685" s="23"/>
      <c r="LI685" s="23"/>
      <c r="LJ685" s="23"/>
      <c r="LK685" s="23"/>
      <c r="LL685" s="23"/>
      <c r="LM685" s="23"/>
      <c r="LN685" s="23"/>
      <c r="LO685" s="23"/>
    </row>
    <row r="686" spans="1:327">
      <c r="A686" s="390"/>
      <c r="B686" s="23"/>
      <c r="C686" s="391"/>
      <c r="D686" s="391"/>
      <c r="E686" s="23"/>
      <c r="F686" s="23"/>
      <c r="G686" s="392"/>
      <c r="H686" s="392"/>
      <c r="I686" s="392"/>
      <c r="J686" s="392"/>
      <c r="K686" s="392"/>
      <c r="L686" s="392"/>
      <c r="M686" s="392"/>
      <c r="N686" s="23"/>
      <c r="O686" s="39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  <c r="IL686" s="23"/>
      <c r="IM686" s="23"/>
      <c r="IN686" s="23"/>
      <c r="IO686" s="23"/>
      <c r="IP686" s="23"/>
      <c r="IQ686" s="23"/>
      <c r="IR686" s="23"/>
      <c r="IS686" s="23"/>
      <c r="IT686" s="23"/>
      <c r="IU686" s="23"/>
      <c r="IV686" s="23"/>
      <c r="IW686" s="23"/>
      <c r="IX686" s="23"/>
      <c r="IY686" s="23"/>
      <c r="IZ686" s="23"/>
      <c r="JA686" s="23"/>
      <c r="JB686" s="23"/>
      <c r="JC686" s="23"/>
      <c r="JD686" s="23"/>
      <c r="JE686" s="23"/>
      <c r="JF686" s="23"/>
      <c r="JG686" s="23"/>
      <c r="JH686" s="23"/>
      <c r="JI686" s="23"/>
      <c r="JJ686" s="23"/>
      <c r="JK686" s="23"/>
      <c r="JL686" s="23"/>
      <c r="JM686" s="23"/>
      <c r="JN686" s="23"/>
      <c r="JO686" s="23"/>
      <c r="JP686" s="23"/>
      <c r="JQ686" s="23"/>
      <c r="JR686" s="23"/>
      <c r="JS686" s="23"/>
      <c r="JT686" s="23"/>
      <c r="JU686" s="23"/>
      <c r="JV686" s="23"/>
      <c r="JW686" s="23"/>
      <c r="JX686" s="23"/>
      <c r="JY686" s="23"/>
      <c r="JZ686" s="23"/>
      <c r="KA686" s="23"/>
      <c r="KB686" s="23"/>
      <c r="KC686" s="23"/>
      <c r="KD686" s="23"/>
      <c r="KE686" s="23"/>
      <c r="KF686" s="23"/>
      <c r="KG686" s="23"/>
      <c r="KH686" s="23"/>
      <c r="KI686" s="23"/>
      <c r="KJ686" s="23"/>
      <c r="KK686" s="23"/>
      <c r="KL686" s="23"/>
      <c r="KM686" s="23"/>
      <c r="KN686" s="23"/>
      <c r="KO686" s="23"/>
      <c r="KP686" s="23"/>
      <c r="KQ686" s="23"/>
      <c r="KR686" s="23"/>
      <c r="KS686" s="23"/>
      <c r="KT686" s="23"/>
      <c r="KU686" s="23"/>
      <c r="KV686" s="23"/>
      <c r="KW686" s="23"/>
      <c r="KX686" s="23"/>
      <c r="KY686" s="23"/>
      <c r="KZ686" s="23"/>
      <c r="LA686" s="23"/>
      <c r="LB686" s="23"/>
      <c r="LC686" s="23"/>
      <c r="LD686" s="23"/>
      <c r="LE686" s="23"/>
      <c r="LF686" s="23"/>
      <c r="LG686" s="23"/>
      <c r="LH686" s="23"/>
      <c r="LI686" s="23"/>
      <c r="LJ686" s="23"/>
      <c r="LK686" s="23"/>
      <c r="LL686" s="23"/>
      <c r="LM686" s="23"/>
      <c r="LN686" s="23"/>
      <c r="LO686" s="23"/>
    </row>
    <row r="687" spans="1:327">
      <c r="A687" s="390"/>
      <c r="B687" s="23"/>
      <c r="C687" s="391"/>
      <c r="D687" s="391"/>
      <c r="E687" s="23"/>
      <c r="F687" s="23"/>
      <c r="G687" s="392"/>
      <c r="H687" s="392"/>
      <c r="I687" s="392"/>
      <c r="J687" s="392"/>
      <c r="K687" s="392"/>
      <c r="L687" s="392"/>
      <c r="M687" s="392"/>
      <c r="N687" s="23"/>
      <c r="O687" s="39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  <c r="IL687" s="23"/>
      <c r="IM687" s="23"/>
      <c r="IN687" s="23"/>
      <c r="IO687" s="23"/>
      <c r="IP687" s="23"/>
      <c r="IQ687" s="23"/>
      <c r="IR687" s="23"/>
      <c r="IS687" s="23"/>
      <c r="IT687" s="23"/>
      <c r="IU687" s="23"/>
      <c r="IV687" s="23"/>
      <c r="IW687" s="23"/>
      <c r="IX687" s="23"/>
      <c r="IY687" s="23"/>
      <c r="IZ687" s="23"/>
      <c r="JA687" s="23"/>
      <c r="JB687" s="23"/>
      <c r="JC687" s="23"/>
      <c r="JD687" s="23"/>
      <c r="JE687" s="23"/>
      <c r="JF687" s="23"/>
      <c r="JG687" s="23"/>
      <c r="JH687" s="23"/>
      <c r="JI687" s="23"/>
      <c r="JJ687" s="23"/>
      <c r="JK687" s="23"/>
      <c r="JL687" s="23"/>
      <c r="JM687" s="23"/>
      <c r="JN687" s="23"/>
      <c r="JO687" s="23"/>
      <c r="JP687" s="23"/>
      <c r="JQ687" s="23"/>
      <c r="JR687" s="23"/>
      <c r="JS687" s="23"/>
      <c r="JT687" s="23"/>
      <c r="JU687" s="23"/>
      <c r="JV687" s="23"/>
      <c r="JW687" s="23"/>
      <c r="JX687" s="23"/>
      <c r="JY687" s="23"/>
      <c r="JZ687" s="23"/>
      <c r="KA687" s="23"/>
      <c r="KB687" s="23"/>
      <c r="KC687" s="23"/>
      <c r="KD687" s="23"/>
      <c r="KE687" s="23"/>
      <c r="KF687" s="23"/>
      <c r="KG687" s="23"/>
      <c r="KH687" s="23"/>
      <c r="KI687" s="23"/>
      <c r="KJ687" s="23"/>
      <c r="KK687" s="23"/>
      <c r="KL687" s="23"/>
      <c r="KM687" s="23"/>
      <c r="KN687" s="23"/>
      <c r="KO687" s="23"/>
      <c r="KP687" s="23"/>
      <c r="KQ687" s="23"/>
      <c r="KR687" s="23"/>
      <c r="KS687" s="23"/>
      <c r="KT687" s="23"/>
      <c r="KU687" s="23"/>
      <c r="KV687" s="23"/>
      <c r="KW687" s="23"/>
      <c r="KX687" s="23"/>
      <c r="KY687" s="23"/>
      <c r="KZ687" s="23"/>
      <c r="LA687" s="23"/>
      <c r="LB687" s="23"/>
      <c r="LC687" s="23"/>
      <c r="LD687" s="23"/>
      <c r="LE687" s="23"/>
      <c r="LF687" s="23"/>
      <c r="LG687" s="23"/>
      <c r="LH687" s="23"/>
      <c r="LI687" s="23"/>
      <c r="LJ687" s="23"/>
      <c r="LK687" s="23"/>
      <c r="LL687" s="23"/>
      <c r="LM687" s="23"/>
      <c r="LN687" s="23"/>
      <c r="LO687" s="23"/>
    </row>
    <row r="688" spans="1:327">
      <c r="A688" s="390"/>
      <c r="B688" s="23"/>
      <c r="C688" s="391"/>
      <c r="D688" s="391"/>
      <c r="E688" s="23"/>
      <c r="F688" s="23"/>
      <c r="G688" s="392"/>
      <c r="H688" s="392"/>
      <c r="I688" s="392"/>
      <c r="J688" s="392"/>
      <c r="K688" s="392"/>
      <c r="L688" s="392"/>
      <c r="M688" s="392"/>
      <c r="N688" s="23"/>
      <c r="O688" s="39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  <c r="IL688" s="23"/>
      <c r="IM688" s="23"/>
      <c r="IN688" s="23"/>
      <c r="IO688" s="23"/>
      <c r="IP688" s="23"/>
      <c r="IQ688" s="23"/>
      <c r="IR688" s="23"/>
      <c r="IS688" s="23"/>
      <c r="IT688" s="23"/>
      <c r="IU688" s="23"/>
      <c r="IV688" s="23"/>
      <c r="IW688" s="23"/>
      <c r="IX688" s="23"/>
      <c r="IY688" s="23"/>
      <c r="IZ688" s="23"/>
      <c r="JA688" s="23"/>
      <c r="JB688" s="23"/>
      <c r="JC688" s="23"/>
      <c r="JD688" s="23"/>
      <c r="JE688" s="23"/>
      <c r="JF688" s="23"/>
      <c r="JG688" s="23"/>
      <c r="JH688" s="23"/>
      <c r="JI688" s="23"/>
      <c r="JJ688" s="23"/>
      <c r="JK688" s="23"/>
      <c r="JL688" s="23"/>
      <c r="JM688" s="23"/>
      <c r="JN688" s="23"/>
      <c r="JO688" s="23"/>
      <c r="JP688" s="23"/>
      <c r="JQ688" s="23"/>
      <c r="JR688" s="23"/>
      <c r="JS688" s="23"/>
      <c r="JT688" s="23"/>
      <c r="JU688" s="23"/>
      <c r="JV688" s="23"/>
      <c r="JW688" s="23"/>
      <c r="JX688" s="23"/>
      <c r="JY688" s="23"/>
      <c r="JZ688" s="23"/>
      <c r="KA688" s="23"/>
      <c r="KB688" s="23"/>
      <c r="KC688" s="23"/>
      <c r="KD688" s="23"/>
      <c r="KE688" s="23"/>
      <c r="KF688" s="23"/>
      <c r="KG688" s="23"/>
      <c r="KH688" s="23"/>
      <c r="KI688" s="23"/>
      <c r="KJ688" s="23"/>
      <c r="KK688" s="23"/>
      <c r="KL688" s="23"/>
      <c r="KM688" s="23"/>
      <c r="KN688" s="23"/>
      <c r="KO688" s="23"/>
      <c r="KP688" s="23"/>
      <c r="KQ688" s="23"/>
      <c r="KR688" s="23"/>
      <c r="KS688" s="23"/>
      <c r="KT688" s="23"/>
      <c r="KU688" s="23"/>
      <c r="KV688" s="23"/>
      <c r="KW688" s="23"/>
      <c r="KX688" s="23"/>
      <c r="KY688" s="23"/>
      <c r="KZ688" s="23"/>
      <c r="LA688" s="23"/>
      <c r="LB688" s="23"/>
      <c r="LC688" s="23"/>
      <c r="LD688" s="23"/>
      <c r="LE688" s="23"/>
      <c r="LF688" s="23"/>
      <c r="LG688" s="23"/>
      <c r="LH688" s="23"/>
      <c r="LI688" s="23"/>
      <c r="LJ688" s="23"/>
      <c r="LK688" s="23"/>
      <c r="LL688" s="23"/>
      <c r="LM688" s="23"/>
      <c r="LN688" s="23"/>
      <c r="LO688" s="23"/>
    </row>
    <row r="689" spans="1:327">
      <c r="A689" s="390"/>
      <c r="B689" s="23"/>
      <c r="C689" s="391"/>
      <c r="D689" s="391"/>
      <c r="E689" s="23"/>
      <c r="F689" s="23"/>
      <c r="G689" s="392"/>
      <c r="H689" s="392"/>
      <c r="I689" s="392"/>
      <c r="J689" s="392"/>
      <c r="K689" s="392"/>
      <c r="L689" s="392"/>
      <c r="M689" s="392"/>
      <c r="N689" s="23"/>
      <c r="O689" s="39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  <c r="IL689" s="23"/>
      <c r="IM689" s="23"/>
      <c r="IN689" s="23"/>
      <c r="IO689" s="23"/>
      <c r="IP689" s="23"/>
      <c r="IQ689" s="23"/>
      <c r="IR689" s="23"/>
      <c r="IS689" s="23"/>
      <c r="IT689" s="23"/>
      <c r="IU689" s="23"/>
      <c r="IV689" s="23"/>
      <c r="IW689" s="23"/>
      <c r="IX689" s="23"/>
      <c r="IY689" s="23"/>
      <c r="IZ689" s="23"/>
      <c r="JA689" s="23"/>
      <c r="JB689" s="23"/>
      <c r="JC689" s="23"/>
      <c r="JD689" s="23"/>
      <c r="JE689" s="23"/>
      <c r="JF689" s="23"/>
      <c r="JG689" s="23"/>
      <c r="JH689" s="23"/>
      <c r="JI689" s="23"/>
      <c r="JJ689" s="23"/>
      <c r="JK689" s="23"/>
      <c r="JL689" s="23"/>
      <c r="JM689" s="23"/>
      <c r="JN689" s="23"/>
      <c r="JO689" s="23"/>
      <c r="JP689" s="23"/>
      <c r="JQ689" s="23"/>
      <c r="JR689" s="23"/>
      <c r="JS689" s="23"/>
      <c r="JT689" s="23"/>
      <c r="JU689" s="23"/>
      <c r="JV689" s="23"/>
      <c r="JW689" s="23"/>
      <c r="JX689" s="23"/>
      <c r="JY689" s="23"/>
      <c r="JZ689" s="23"/>
      <c r="KA689" s="23"/>
      <c r="KB689" s="23"/>
      <c r="KC689" s="23"/>
      <c r="KD689" s="23"/>
      <c r="KE689" s="23"/>
      <c r="KF689" s="23"/>
      <c r="KG689" s="23"/>
      <c r="KH689" s="23"/>
      <c r="KI689" s="23"/>
      <c r="KJ689" s="23"/>
      <c r="KK689" s="23"/>
      <c r="KL689" s="23"/>
      <c r="KM689" s="23"/>
      <c r="KN689" s="23"/>
      <c r="KO689" s="23"/>
      <c r="KP689" s="23"/>
      <c r="KQ689" s="23"/>
      <c r="KR689" s="23"/>
      <c r="KS689" s="23"/>
      <c r="KT689" s="23"/>
      <c r="KU689" s="23"/>
      <c r="KV689" s="23"/>
      <c r="KW689" s="23"/>
      <c r="KX689" s="23"/>
      <c r="KY689" s="23"/>
      <c r="KZ689" s="23"/>
      <c r="LA689" s="23"/>
      <c r="LB689" s="23"/>
      <c r="LC689" s="23"/>
      <c r="LD689" s="23"/>
      <c r="LE689" s="23"/>
      <c r="LF689" s="23"/>
      <c r="LG689" s="23"/>
      <c r="LH689" s="23"/>
      <c r="LI689" s="23"/>
      <c r="LJ689" s="23"/>
      <c r="LK689" s="23"/>
      <c r="LL689" s="23"/>
      <c r="LM689" s="23"/>
      <c r="LN689" s="23"/>
      <c r="LO689" s="23"/>
    </row>
    <row r="690" spans="1:327">
      <c r="A690" s="390"/>
      <c r="B690" s="23"/>
      <c r="C690" s="391"/>
      <c r="D690" s="391"/>
      <c r="E690" s="23"/>
      <c r="F690" s="23"/>
      <c r="G690" s="392"/>
      <c r="H690" s="392"/>
      <c r="I690" s="392"/>
      <c r="J690" s="392"/>
      <c r="K690" s="392"/>
      <c r="L690" s="392"/>
      <c r="M690" s="392"/>
      <c r="N690" s="23"/>
      <c r="O690" s="39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  <c r="IL690" s="23"/>
      <c r="IM690" s="23"/>
      <c r="IN690" s="23"/>
      <c r="IO690" s="23"/>
      <c r="IP690" s="23"/>
      <c r="IQ690" s="23"/>
      <c r="IR690" s="23"/>
      <c r="IS690" s="23"/>
      <c r="IT690" s="23"/>
      <c r="IU690" s="23"/>
      <c r="IV690" s="23"/>
      <c r="IW690" s="23"/>
      <c r="IX690" s="23"/>
      <c r="IY690" s="23"/>
      <c r="IZ690" s="23"/>
      <c r="JA690" s="23"/>
      <c r="JB690" s="23"/>
      <c r="JC690" s="23"/>
      <c r="JD690" s="23"/>
      <c r="JE690" s="23"/>
      <c r="JF690" s="23"/>
      <c r="JG690" s="23"/>
      <c r="JH690" s="23"/>
      <c r="JI690" s="23"/>
      <c r="JJ690" s="23"/>
      <c r="JK690" s="23"/>
      <c r="JL690" s="23"/>
      <c r="JM690" s="23"/>
      <c r="JN690" s="23"/>
      <c r="JO690" s="23"/>
      <c r="JP690" s="23"/>
      <c r="JQ690" s="23"/>
      <c r="JR690" s="23"/>
      <c r="JS690" s="23"/>
      <c r="JT690" s="23"/>
      <c r="JU690" s="23"/>
      <c r="JV690" s="23"/>
      <c r="JW690" s="23"/>
      <c r="JX690" s="23"/>
      <c r="JY690" s="23"/>
      <c r="JZ690" s="23"/>
      <c r="KA690" s="23"/>
      <c r="KB690" s="23"/>
      <c r="KC690" s="23"/>
      <c r="KD690" s="23"/>
      <c r="KE690" s="23"/>
      <c r="KF690" s="23"/>
      <c r="KG690" s="23"/>
      <c r="KH690" s="23"/>
      <c r="KI690" s="23"/>
      <c r="KJ690" s="23"/>
      <c r="KK690" s="23"/>
      <c r="KL690" s="23"/>
      <c r="KM690" s="23"/>
      <c r="KN690" s="23"/>
      <c r="KO690" s="23"/>
      <c r="KP690" s="23"/>
      <c r="KQ690" s="23"/>
      <c r="KR690" s="23"/>
      <c r="KS690" s="23"/>
      <c r="KT690" s="23"/>
      <c r="KU690" s="23"/>
      <c r="KV690" s="23"/>
      <c r="KW690" s="23"/>
      <c r="KX690" s="23"/>
      <c r="KY690" s="23"/>
      <c r="KZ690" s="23"/>
      <c r="LA690" s="23"/>
      <c r="LB690" s="23"/>
      <c r="LC690" s="23"/>
      <c r="LD690" s="23"/>
      <c r="LE690" s="23"/>
      <c r="LF690" s="23"/>
      <c r="LG690" s="23"/>
      <c r="LH690" s="23"/>
      <c r="LI690" s="23"/>
      <c r="LJ690" s="23"/>
      <c r="LK690" s="23"/>
      <c r="LL690" s="23"/>
      <c r="LM690" s="23"/>
      <c r="LN690" s="23"/>
      <c r="LO690" s="23"/>
    </row>
    <row r="691" spans="1:327">
      <c r="A691" s="390"/>
      <c r="B691" s="23"/>
      <c r="C691" s="391"/>
      <c r="D691" s="391"/>
      <c r="E691" s="23"/>
      <c r="F691" s="23"/>
      <c r="G691" s="392"/>
      <c r="H691" s="392"/>
      <c r="I691" s="392"/>
      <c r="J691" s="392"/>
      <c r="K691" s="392"/>
      <c r="L691" s="392"/>
      <c r="M691" s="392"/>
      <c r="N691" s="23"/>
      <c r="O691" s="39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  <c r="IL691" s="23"/>
      <c r="IM691" s="23"/>
      <c r="IN691" s="23"/>
      <c r="IO691" s="23"/>
      <c r="IP691" s="23"/>
      <c r="IQ691" s="23"/>
      <c r="IR691" s="23"/>
      <c r="IS691" s="23"/>
      <c r="IT691" s="23"/>
      <c r="IU691" s="23"/>
      <c r="IV691" s="23"/>
      <c r="IW691" s="23"/>
      <c r="IX691" s="23"/>
      <c r="IY691" s="23"/>
      <c r="IZ691" s="23"/>
      <c r="JA691" s="23"/>
      <c r="JB691" s="23"/>
      <c r="JC691" s="23"/>
      <c r="JD691" s="23"/>
      <c r="JE691" s="23"/>
      <c r="JF691" s="23"/>
      <c r="JG691" s="23"/>
      <c r="JH691" s="23"/>
      <c r="JI691" s="23"/>
      <c r="JJ691" s="23"/>
      <c r="JK691" s="23"/>
      <c r="JL691" s="23"/>
      <c r="JM691" s="23"/>
      <c r="JN691" s="23"/>
      <c r="JO691" s="23"/>
      <c r="JP691" s="23"/>
      <c r="JQ691" s="23"/>
      <c r="JR691" s="23"/>
      <c r="JS691" s="23"/>
      <c r="JT691" s="23"/>
      <c r="JU691" s="23"/>
      <c r="JV691" s="23"/>
      <c r="JW691" s="23"/>
      <c r="JX691" s="23"/>
      <c r="JY691" s="23"/>
      <c r="JZ691" s="23"/>
      <c r="KA691" s="23"/>
      <c r="KB691" s="23"/>
      <c r="KC691" s="23"/>
      <c r="KD691" s="23"/>
      <c r="KE691" s="23"/>
      <c r="KF691" s="23"/>
      <c r="KG691" s="23"/>
      <c r="KH691" s="23"/>
      <c r="KI691" s="23"/>
      <c r="KJ691" s="23"/>
      <c r="KK691" s="23"/>
      <c r="KL691" s="23"/>
      <c r="KM691" s="23"/>
      <c r="KN691" s="23"/>
      <c r="KO691" s="23"/>
      <c r="KP691" s="23"/>
      <c r="KQ691" s="23"/>
      <c r="KR691" s="23"/>
      <c r="KS691" s="23"/>
      <c r="KT691" s="23"/>
      <c r="KU691" s="23"/>
      <c r="KV691" s="23"/>
      <c r="KW691" s="23"/>
      <c r="KX691" s="23"/>
      <c r="KY691" s="23"/>
      <c r="KZ691" s="23"/>
      <c r="LA691" s="23"/>
      <c r="LB691" s="23"/>
      <c r="LC691" s="23"/>
      <c r="LD691" s="23"/>
      <c r="LE691" s="23"/>
      <c r="LF691" s="23"/>
      <c r="LG691" s="23"/>
      <c r="LH691" s="23"/>
      <c r="LI691" s="23"/>
      <c r="LJ691" s="23"/>
      <c r="LK691" s="23"/>
      <c r="LL691" s="23"/>
      <c r="LM691" s="23"/>
      <c r="LN691" s="23"/>
      <c r="LO691" s="23"/>
    </row>
    <row r="692" spans="1:327">
      <c r="A692" s="390"/>
      <c r="B692" s="23"/>
      <c r="C692" s="391"/>
      <c r="D692" s="391"/>
      <c r="E692" s="23"/>
      <c r="F692" s="23"/>
      <c r="G692" s="392"/>
      <c r="H692" s="392"/>
      <c r="I692" s="392"/>
      <c r="J692" s="392"/>
      <c r="K692" s="392"/>
      <c r="L692" s="392"/>
      <c r="M692" s="392"/>
      <c r="N692" s="23"/>
      <c r="O692" s="39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  <c r="IL692" s="23"/>
      <c r="IM692" s="23"/>
      <c r="IN692" s="23"/>
      <c r="IO692" s="23"/>
      <c r="IP692" s="23"/>
      <c r="IQ692" s="23"/>
      <c r="IR692" s="23"/>
      <c r="IS692" s="23"/>
      <c r="IT692" s="23"/>
      <c r="IU692" s="23"/>
      <c r="IV692" s="23"/>
      <c r="IW692" s="23"/>
      <c r="IX692" s="23"/>
      <c r="IY692" s="23"/>
      <c r="IZ692" s="23"/>
      <c r="JA692" s="23"/>
      <c r="JB692" s="23"/>
      <c r="JC692" s="23"/>
      <c r="JD692" s="23"/>
      <c r="JE692" s="23"/>
      <c r="JF692" s="23"/>
      <c r="JG692" s="23"/>
      <c r="JH692" s="23"/>
      <c r="JI692" s="23"/>
      <c r="JJ692" s="23"/>
      <c r="JK692" s="23"/>
      <c r="JL692" s="23"/>
      <c r="JM692" s="23"/>
      <c r="JN692" s="23"/>
      <c r="JO692" s="23"/>
      <c r="JP692" s="23"/>
      <c r="JQ692" s="23"/>
      <c r="JR692" s="23"/>
      <c r="JS692" s="23"/>
      <c r="JT692" s="23"/>
      <c r="JU692" s="23"/>
      <c r="JV692" s="23"/>
      <c r="JW692" s="23"/>
      <c r="JX692" s="23"/>
      <c r="JY692" s="23"/>
      <c r="JZ692" s="23"/>
      <c r="KA692" s="23"/>
      <c r="KB692" s="23"/>
      <c r="KC692" s="23"/>
      <c r="KD692" s="23"/>
      <c r="KE692" s="23"/>
      <c r="KF692" s="23"/>
      <c r="KG692" s="23"/>
      <c r="KH692" s="23"/>
      <c r="KI692" s="23"/>
      <c r="KJ692" s="23"/>
      <c r="KK692" s="23"/>
      <c r="KL692" s="23"/>
      <c r="KM692" s="23"/>
      <c r="KN692" s="23"/>
      <c r="KO692" s="23"/>
      <c r="KP692" s="23"/>
      <c r="KQ692" s="23"/>
      <c r="KR692" s="23"/>
      <c r="KS692" s="23"/>
      <c r="KT692" s="23"/>
      <c r="KU692" s="23"/>
      <c r="KV692" s="23"/>
      <c r="KW692" s="23"/>
      <c r="KX692" s="23"/>
      <c r="KY692" s="23"/>
      <c r="KZ692" s="23"/>
      <c r="LA692" s="23"/>
      <c r="LB692" s="23"/>
      <c r="LC692" s="23"/>
      <c r="LD692" s="23"/>
      <c r="LE692" s="23"/>
      <c r="LF692" s="23"/>
      <c r="LG692" s="23"/>
      <c r="LH692" s="23"/>
      <c r="LI692" s="23"/>
      <c r="LJ692" s="23"/>
      <c r="LK692" s="23"/>
      <c r="LL692" s="23"/>
      <c r="LM692" s="23"/>
      <c r="LN692" s="23"/>
      <c r="LO692" s="23"/>
    </row>
    <row r="693" spans="1:327">
      <c r="A693" s="390"/>
      <c r="B693" s="23"/>
      <c r="C693" s="391"/>
      <c r="D693" s="391"/>
      <c r="E693" s="23"/>
      <c r="F693" s="23"/>
      <c r="G693" s="392"/>
      <c r="H693" s="392"/>
      <c r="I693" s="392"/>
      <c r="J693" s="392"/>
      <c r="K693" s="392"/>
      <c r="L693" s="392"/>
      <c r="M693" s="392"/>
      <c r="N693" s="23"/>
      <c r="O693" s="39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  <c r="IL693" s="23"/>
      <c r="IM693" s="23"/>
      <c r="IN693" s="23"/>
      <c r="IO693" s="23"/>
      <c r="IP693" s="23"/>
      <c r="IQ693" s="23"/>
      <c r="IR693" s="23"/>
      <c r="IS693" s="23"/>
      <c r="IT693" s="23"/>
      <c r="IU693" s="23"/>
      <c r="IV693" s="23"/>
      <c r="IW693" s="23"/>
      <c r="IX693" s="23"/>
      <c r="IY693" s="23"/>
      <c r="IZ693" s="23"/>
      <c r="JA693" s="23"/>
      <c r="JB693" s="23"/>
      <c r="JC693" s="23"/>
      <c r="JD693" s="23"/>
      <c r="JE693" s="23"/>
      <c r="JF693" s="23"/>
      <c r="JG693" s="23"/>
      <c r="JH693" s="23"/>
      <c r="JI693" s="23"/>
      <c r="JJ693" s="23"/>
      <c r="JK693" s="23"/>
      <c r="JL693" s="23"/>
      <c r="JM693" s="23"/>
      <c r="JN693" s="23"/>
      <c r="JO693" s="23"/>
      <c r="JP693" s="23"/>
      <c r="JQ693" s="23"/>
      <c r="JR693" s="23"/>
      <c r="JS693" s="23"/>
      <c r="JT693" s="23"/>
      <c r="JU693" s="23"/>
      <c r="JV693" s="23"/>
      <c r="JW693" s="23"/>
      <c r="JX693" s="23"/>
      <c r="JY693" s="23"/>
      <c r="JZ693" s="23"/>
      <c r="KA693" s="23"/>
      <c r="KB693" s="23"/>
      <c r="KC693" s="23"/>
      <c r="KD693" s="23"/>
      <c r="KE693" s="23"/>
      <c r="KF693" s="23"/>
      <c r="KG693" s="23"/>
      <c r="KH693" s="23"/>
      <c r="KI693" s="23"/>
      <c r="KJ693" s="23"/>
      <c r="KK693" s="23"/>
      <c r="KL693" s="23"/>
      <c r="KM693" s="23"/>
      <c r="KN693" s="23"/>
      <c r="KO693" s="23"/>
      <c r="KP693" s="23"/>
      <c r="KQ693" s="23"/>
      <c r="KR693" s="23"/>
      <c r="KS693" s="23"/>
      <c r="KT693" s="23"/>
      <c r="KU693" s="23"/>
      <c r="KV693" s="23"/>
      <c r="KW693" s="23"/>
      <c r="KX693" s="23"/>
      <c r="KY693" s="23"/>
      <c r="KZ693" s="23"/>
      <c r="LA693" s="23"/>
      <c r="LB693" s="23"/>
      <c r="LC693" s="23"/>
      <c r="LD693" s="23"/>
      <c r="LE693" s="23"/>
      <c r="LF693" s="23"/>
      <c r="LG693" s="23"/>
      <c r="LH693" s="23"/>
      <c r="LI693" s="23"/>
      <c r="LJ693" s="23"/>
      <c r="LK693" s="23"/>
      <c r="LL693" s="23"/>
      <c r="LM693" s="23"/>
      <c r="LN693" s="23"/>
      <c r="LO693" s="23"/>
    </row>
    <row r="694" spans="1:327"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  <c r="IL694" s="23"/>
      <c r="IM694" s="23"/>
      <c r="IN694" s="23"/>
      <c r="IO694" s="23"/>
      <c r="IP694" s="23"/>
      <c r="IQ694" s="23"/>
      <c r="IR694" s="23"/>
      <c r="IS694" s="23"/>
      <c r="IT694" s="23"/>
      <c r="IU694" s="23"/>
      <c r="IV694" s="23"/>
      <c r="IW694" s="23"/>
      <c r="IX694" s="23"/>
      <c r="IY694" s="23"/>
      <c r="IZ694" s="23"/>
      <c r="JA694" s="23"/>
      <c r="JB694" s="23"/>
      <c r="JC694" s="23"/>
      <c r="JD694" s="23"/>
      <c r="JE694" s="23"/>
      <c r="JF694" s="23"/>
      <c r="JG694" s="23"/>
      <c r="JH694" s="23"/>
      <c r="JI694" s="23"/>
      <c r="JJ694" s="23"/>
      <c r="JK694" s="23"/>
      <c r="JL694" s="23"/>
      <c r="JM694" s="23"/>
      <c r="JN694" s="23"/>
      <c r="JO694" s="23"/>
      <c r="JP694" s="23"/>
      <c r="JQ694" s="23"/>
      <c r="JR694" s="23"/>
      <c r="JS694" s="23"/>
      <c r="JT694" s="23"/>
    </row>
    <row r="695" spans="1:327"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  <c r="IL695" s="23"/>
      <c r="IM695" s="23"/>
      <c r="IN695" s="23"/>
      <c r="IO695" s="23"/>
      <c r="IP695" s="23"/>
      <c r="IQ695" s="23"/>
      <c r="IR695" s="23"/>
      <c r="IS695" s="23"/>
      <c r="IT695" s="23"/>
      <c r="IU695" s="23"/>
      <c r="IV695" s="23"/>
      <c r="IW695" s="23"/>
      <c r="IX695" s="23"/>
      <c r="IY695" s="23"/>
      <c r="IZ695" s="23"/>
      <c r="JA695" s="23"/>
      <c r="JB695" s="23"/>
      <c r="JC695" s="23"/>
      <c r="JD695" s="23"/>
      <c r="JE695" s="23"/>
      <c r="JF695" s="23"/>
      <c r="JG695" s="23"/>
      <c r="JH695" s="23"/>
      <c r="JI695" s="23"/>
      <c r="JJ695" s="23"/>
      <c r="JK695" s="23"/>
      <c r="JL695" s="23"/>
      <c r="JM695" s="23"/>
      <c r="JN695" s="23"/>
      <c r="JO695" s="23"/>
      <c r="JP695" s="23"/>
      <c r="JQ695" s="23"/>
      <c r="JR695" s="23"/>
      <c r="JS695" s="23"/>
      <c r="JT695" s="23"/>
    </row>
    <row r="696" spans="1:327"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  <c r="IL696" s="23"/>
      <c r="IM696" s="23"/>
      <c r="IN696" s="23"/>
      <c r="IO696" s="23"/>
      <c r="IP696" s="23"/>
      <c r="IQ696" s="23"/>
      <c r="IR696" s="23"/>
      <c r="IS696" s="23"/>
      <c r="IT696" s="23"/>
      <c r="IU696" s="23"/>
      <c r="IV696" s="23"/>
      <c r="IW696" s="23"/>
      <c r="IX696" s="23"/>
      <c r="IY696" s="23"/>
      <c r="IZ696" s="23"/>
      <c r="JA696" s="23"/>
      <c r="JB696" s="23"/>
      <c r="JC696" s="23"/>
      <c r="JD696" s="23"/>
      <c r="JE696" s="23"/>
      <c r="JF696" s="23"/>
      <c r="JG696" s="23"/>
      <c r="JH696" s="23"/>
      <c r="JI696" s="23"/>
      <c r="JJ696" s="23"/>
      <c r="JK696" s="23"/>
      <c r="JL696" s="23"/>
      <c r="JM696" s="23"/>
      <c r="JN696" s="23"/>
      <c r="JO696" s="23"/>
      <c r="JP696" s="23"/>
      <c r="JQ696" s="23"/>
      <c r="JR696" s="23"/>
      <c r="JS696" s="23"/>
      <c r="JT696" s="23"/>
    </row>
    <row r="697" spans="1:327"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  <c r="IL697" s="23"/>
      <c r="IM697" s="23"/>
      <c r="IN697" s="23"/>
      <c r="IO697" s="23"/>
      <c r="IP697" s="23"/>
      <c r="IQ697" s="23"/>
      <c r="IR697" s="23"/>
      <c r="IS697" s="23"/>
      <c r="IT697" s="23"/>
      <c r="IU697" s="23"/>
      <c r="IV697" s="23"/>
      <c r="IW697" s="23"/>
      <c r="IX697" s="23"/>
      <c r="IY697" s="23"/>
      <c r="IZ697" s="23"/>
      <c r="JA697" s="23"/>
      <c r="JB697" s="23"/>
      <c r="JC697" s="23"/>
      <c r="JD697" s="23"/>
      <c r="JE697" s="23"/>
      <c r="JF697" s="23"/>
      <c r="JG697" s="23"/>
      <c r="JH697" s="23"/>
      <c r="JI697" s="23"/>
      <c r="JJ697" s="23"/>
      <c r="JK697" s="23"/>
      <c r="JL697" s="23"/>
      <c r="JM697" s="23"/>
      <c r="JN697" s="23"/>
      <c r="JO697" s="23"/>
      <c r="JP697" s="23"/>
      <c r="JQ697" s="23"/>
      <c r="JR697" s="23"/>
      <c r="JS697" s="23"/>
      <c r="JT697" s="23"/>
    </row>
    <row r="698" spans="1:327"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  <c r="IL698" s="23"/>
      <c r="IM698" s="23"/>
      <c r="IN698" s="23"/>
      <c r="IO698" s="23"/>
      <c r="IP698" s="23"/>
      <c r="IQ698" s="23"/>
      <c r="IR698" s="23"/>
      <c r="IS698" s="23"/>
      <c r="IT698" s="23"/>
      <c r="IU698" s="23"/>
      <c r="IV698" s="23"/>
      <c r="IW698" s="23"/>
      <c r="IX698" s="23"/>
      <c r="IY698" s="23"/>
      <c r="IZ698" s="23"/>
      <c r="JA698" s="23"/>
      <c r="JB698" s="23"/>
      <c r="JC698" s="23"/>
      <c r="JD698" s="23"/>
      <c r="JE698" s="23"/>
      <c r="JF698" s="23"/>
      <c r="JG698" s="23"/>
      <c r="JH698" s="23"/>
      <c r="JI698" s="23"/>
      <c r="JJ698" s="23"/>
      <c r="JK698" s="23"/>
      <c r="JL698" s="23"/>
      <c r="JM698" s="23"/>
      <c r="JN698" s="23"/>
      <c r="JO698" s="23"/>
      <c r="JP698" s="23"/>
      <c r="JQ698" s="23"/>
      <c r="JR698" s="23"/>
      <c r="JS698" s="23"/>
      <c r="JT698" s="23"/>
    </row>
    <row r="699" spans="1:327"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  <c r="IL699" s="23"/>
      <c r="IM699" s="23"/>
      <c r="IN699" s="23"/>
      <c r="IO699" s="23"/>
      <c r="IP699" s="23"/>
      <c r="IQ699" s="23"/>
      <c r="IR699" s="23"/>
      <c r="IS699" s="23"/>
      <c r="IT699" s="23"/>
      <c r="IU699" s="23"/>
      <c r="IV699" s="23"/>
      <c r="IW699" s="23"/>
      <c r="IX699" s="23"/>
      <c r="IY699" s="23"/>
      <c r="IZ699" s="23"/>
      <c r="JA699" s="23"/>
      <c r="JB699" s="23"/>
      <c r="JC699" s="23"/>
      <c r="JD699" s="23"/>
      <c r="JE699" s="23"/>
      <c r="JF699" s="23"/>
      <c r="JG699" s="23"/>
      <c r="JH699" s="23"/>
      <c r="JI699" s="23"/>
      <c r="JJ699" s="23"/>
      <c r="JK699" s="23"/>
      <c r="JL699" s="23"/>
      <c r="JM699" s="23"/>
      <c r="JN699" s="23"/>
      <c r="JO699" s="23"/>
      <c r="JP699" s="23"/>
      <c r="JQ699" s="23"/>
      <c r="JR699" s="23"/>
      <c r="JS699" s="23"/>
      <c r="JT699" s="23"/>
    </row>
  </sheetData>
  <autoFilter ref="A5:NO85" xr:uid="{C0CC8843-4B83-428E-9B4A-90A2A348CCB6}">
    <filterColumn colId="2">
      <filters blank="1">
        <filter val="-"/>
        <filter val="Alpha"/>
        <filter val="Beta"/>
        <filter val="Gamma"/>
      </filters>
    </filterColumn>
  </autoFilter>
  <mergeCells count="35">
    <mergeCell ref="NC2:NO2"/>
    <mergeCell ref="KC2:KO2"/>
    <mergeCell ref="KP2:LB2"/>
    <mergeCell ref="LC2:LO2"/>
    <mergeCell ref="LP2:MB2"/>
    <mergeCell ref="MC2:MO2"/>
    <mergeCell ref="MP2:NB2"/>
    <mergeCell ref="JP2:KB2"/>
    <mergeCell ref="EC2:EO2"/>
    <mergeCell ref="EP2:FB2"/>
    <mergeCell ref="FC2:FO2"/>
    <mergeCell ref="FP2:GB2"/>
    <mergeCell ref="GC2:GO2"/>
    <mergeCell ref="GP2:HB2"/>
    <mergeCell ref="HC2:HO2"/>
    <mergeCell ref="HP2:IB2"/>
    <mergeCell ref="IC2:IO2"/>
    <mergeCell ref="IP2:JB2"/>
    <mergeCell ref="JC2:JO2"/>
    <mergeCell ref="LP1:NO1"/>
    <mergeCell ref="P2:AB2"/>
    <mergeCell ref="AC2:AO2"/>
    <mergeCell ref="AP2:BB2"/>
    <mergeCell ref="BC2:BO2"/>
    <mergeCell ref="BP2:CB2"/>
    <mergeCell ref="CC2:CO2"/>
    <mergeCell ref="CP2:DB2"/>
    <mergeCell ref="DC2:DO2"/>
    <mergeCell ref="DP2:EB2"/>
    <mergeCell ref="P1:BO1"/>
    <mergeCell ref="BP1:DO1"/>
    <mergeCell ref="DP1:FO1"/>
    <mergeCell ref="FP1:HO1"/>
    <mergeCell ref="HP1:JO1"/>
    <mergeCell ref="JP1:LO1"/>
  </mergeCells>
  <hyperlinks>
    <hyperlink ref="E1" r:id="rId1" xr:uid="{7FD1D7B6-A4B1-4E25-949F-656677882B21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044B-32AA-4D6E-9CEF-7DAD25302C8B}">
  <sheetPr codeName="Feuil7"/>
  <dimension ref="A1:E1"/>
  <sheetViews>
    <sheetView workbookViewId="0">
      <selection activeCell="A2" sqref="A2"/>
    </sheetView>
  </sheetViews>
  <sheetFormatPr defaultColWidth="11.42578125" defaultRowHeight="14.45"/>
  <sheetData>
    <row r="1" spans="1:5">
      <c r="A1">
        <v>2026</v>
      </c>
      <c r="B1">
        <v>2027</v>
      </c>
      <c r="C1">
        <v>2028</v>
      </c>
      <c r="D1">
        <v>2029</v>
      </c>
      <c r="E1">
        <v>2030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2A85484D6B14A85DFB060DB744BA3" ma:contentTypeVersion="22" ma:contentTypeDescription="Create a new document." ma:contentTypeScope="" ma:versionID="7e3db35b3a3ea6e1f81b8e14c9f967da">
  <xsd:schema xmlns:xsd="http://www.w3.org/2001/XMLSchema" xmlns:xs="http://www.w3.org/2001/XMLSchema" xmlns:p="http://schemas.microsoft.com/office/2006/metadata/properties" xmlns:ns2="85bb83e1-d7ae-46d0-8456-f6326885fdbf" xmlns:ns3="6b4efa79-7cbe-427a-94b6-1a40c945df00" targetNamespace="http://schemas.microsoft.com/office/2006/metadata/properties" ma:root="true" ma:fieldsID="b14c3f1a18a2967fc8a9e4e5b5c6923b" ns2:_="" ns3:_="">
    <xsd:import namespace="85bb83e1-d7ae-46d0-8456-f6326885fdbf"/>
    <xsd:import namespace="6b4efa79-7cbe-427a-94b6-1a40c945df00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83e1-d7ae-46d0-8456-f6326885fdbf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4" nillable="true" ma:displayName="Sign-off status" ma:internalName="Sign_x002d_off_x0020_status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c0caf5-e0c2-4b30-8768-d3860fe40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efa79-7cbe-427a-94b6-1a40c945df0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d4a47f4-0292-4e6d-8a8a-2d5639635d17}" ma:internalName="TaxCatchAll" ma:showField="CatchAllData" ma:web="6b4efa79-7cbe-427a-94b6-1a40c945df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85bb83e1-d7ae-46d0-8456-f6326885fdbf" xsi:nil="true"/>
    <lcf76f155ced4ddcb4097134ff3c332f xmlns="85bb83e1-d7ae-46d0-8456-f6326885fdbf">
      <Terms xmlns="http://schemas.microsoft.com/office/infopath/2007/PartnerControls"/>
    </lcf76f155ced4ddcb4097134ff3c332f>
    <TaxCatchAll xmlns="6b4efa79-7cbe-427a-94b6-1a40c945df00" xsi:nil="true"/>
  </documentManagement>
</p:properties>
</file>

<file path=customXml/itemProps1.xml><?xml version="1.0" encoding="utf-8"?>
<ds:datastoreItem xmlns:ds="http://schemas.openxmlformats.org/officeDocument/2006/customXml" ds:itemID="{4DC13177-775A-4ED6-8554-B6DFFE7237EA}"/>
</file>

<file path=customXml/itemProps2.xml><?xml version="1.0" encoding="utf-8"?>
<ds:datastoreItem xmlns:ds="http://schemas.openxmlformats.org/officeDocument/2006/customXml" ds:itemID="{4F238C90-F8D9-49CE-AA12-DAE02C1AC75A}"/>
</file>

<file path=customXml/itemProps3.xml><?xml version="1.0" encoding="utf-8"?>
<ds:datastoreItem xmlns:ds="http://schemas.openxmlformats.org/officeDocument/2006/customXml" ds:itemID="{DA7E4F69-8407-41A4-90F9-030EC8D22633}"/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Iveco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ZABAWSKI Sylvain (Iveco Group)</dc:creator>
  <cp:keywords/>
  <dc:description/>
  <cp:lastModifiedBy/>
  <cp:revision/>
  <dcterms:created xsi:type="dcterms:W3CDTF">2025-11-07T12:42:39Z</dcterms:created>
  <dcterms:modified xsi:type="dcterms:W3CDTF">2026-09-21T09:08:27Z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0x010100F452A85484D6B14A85DFB060DB744BA3</vt:lpwstr>
  </property>
  <property fmtid="{D5CDD505-2E9C-101B-9397-08002B2CF9AE}" pid="3" name="MediaServiceImageTags">
    <vt:lpwstr/>
  </property>
</Properties>
</file>